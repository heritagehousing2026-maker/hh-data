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cb2dfc5686714260bc600f8f3dad2250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2">
    <x:numFmt numFmtId="167" formatCode="M/d/yyyy"/>
    <x:numFmt numFmtId="168" formatCode="[$$-409]#,##0.00"/>
  </x:numFmts>
  <x:fonts count="1">
    <x:font/>
  </x:fonts>
  <x:fills count="1">
    <x:fill/>
  </x:fills>
  <x:borders count="1">
    <x:border/>
  </x:borders>
  <x:cellStyleXfs count="1">
    <x:xf/>
  </x:cellStyleXfs>
  <x:cellXfs count="8">
    <x:xf numFmtId="0" fontId="0" fillId="0" borderId="0" xfId="0"/>
    <x:xf numFmtId="0" fontId="0" fillId="0" borderId="0" xfId="0"/>
    <x:xf numFmtId="0" fontId="0" fillId="0" borderId="0" xfId="0"/>
    <x:xf numFmtId="14" fontId="0" fillId="0" borderId="0" xfId="0" applyNumberFormat="1"/>
    <x:xf numFmtId="0" fontId="0" fillId="0" borderId="0" xfId="0"/>
    <x:xf numFmtId="21" fontId="0" fillId="0" borderId="0" xfId="0" applyNumberFormat="1"/>
    <x:xf numFmtId="167" fontId="0" fillId="0" borderId="0" xfId="0" applyNumberFormat="1"/>
    <x:xf numFmtId="168" fontId="0" fillId="0" borderId="0" xfId="0" applyNumberFormat="1"/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cb2dfc5686714260bc600f8f3dad2250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K2085"/>
  <x:sheetViews>
    <x:sheetView tabSelected="0" workbookViewId="0" rightToLeft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cols>
    <x:col min="1" max="1" width="25.71428571" hidden="0" customWidth="1"/>
    <x:col min="2" max="2" width="9.142857144285713" hidden="0" customWidth="1"/>
    <x:col min="3" max="3" width="9.142857144285713" hidden="0" customWidth="1"/>
    <x:col min="4" max="4" width="25.71428571" hidden="0" customWidth="1"/>
    <x:col min="5" max="5" width="25.71428571" hidden="0" customWidth="1"/>
    <x:col min="6" max="6" width="25.71428571" hidden="0" customWidth="1"/>
    <x:col min="7" max="7" width="25.71428571" hidden="0" customWidth="1"/>
    <x:col min="8" max="8" width="23.71428571" hidden="0" customWidth="1"/>
    <x:col min="9" max="9" width="12.71428571" hidden="0" customWidth="1"/>
    <x:col min="10" max="10" width="19.71428571" hidden="0" customWidth="1"/>
    <x:col min="11" max="11" width="9.142857144285713" hidden="0" customWidth="1"/>
    <x:col min="12" max="12" width="9.142857144285713" hidden="0" customWidth="1"/>
    <x:col min="13" max="13" width="9.71428571" hidden="0" customWidth="1"/>
    <x:col min="14" max="14" width="16.71428571" hidden="0" customWidth="1"/>
    <x:col min="15" max="15" width="9.142857144285713" hidden="0" customWidth="1"/>
    <x:col min="16" max="16" width="9.142857144285713" hidden="0" customWidth="1"/>
    <x:col min="17" max="17" width="18.71428571" hidden="0" customWidth="1"/>
    <x:col min="18" max="18" width="23.71428571" hidden="0" customWidth="1"/>
    <x:col min="19" max="19" width="9.142857144285713" hidden="0" customWidth="1"/>
    <x:col min="20" max="20" width="9.142857144285713" hidden="0" customWidth="1"/>
    <x:col min="21" max="21" width="9.142857144285713" hidden="0" customWidth="1"/>
    <x:col min="22" max="22" width="9.142857144285713" hidden="0" customWidth="1"/>
    <x:col min="23" max="23" width="9.142857144285713" hidden="0" customWidth="1"/>
    <x:col min="24" max="24" width="15.71428571" hidden="0" customWidth="1"/>
    <x:col min="25" max="25" width="25.71428571" hidden="0" customWidth="1"/>
    <x:col min="26" max="26" width="18.71428571" hidden="0" customWidth="1"/>
    <x:col min="27" max="27" width="23.71428571" hidden="0" customWidth="1"/>
    <x:col min="28" max="28" width="18.71428571" hidden="0" customWidth="1"/>
    <x:col min="29" max="29" width="9.142857144285713" hidden="0" customWidth="1"/>
    <x:col min="30" max="30" width="10.71428571" hidden="0" customWidth="1"/>
    <x:col min="31" max="31" width="25.71428571" hidden="0" customWidth="1"/>
    <x:col min="32" max="32" width="9.71428571" hidden="0" customWidth="1"/>
    <x:col min="33" max="33" width="9.71428571" hidden="0" customWidth="1"/>
    <x:col min="34" max="34" width="9.71428571" hidden="0" customWidth="1"/>
    <x:col min="35" max="35" width="9.142857144285713" hidden="0" customWidth="1"/>
    <x:col min="36" max="36" width="9.142857144285713" hidden="0" customWidth="1"/>
    <x:col min="37" max="37" width="10.71428571" hidden="0" customWidth="1"/>
  </x:cols>
  <x:sheetData>
    <x:row r="1">
      <x:c r="A1" t="str" s="1">
        <x:v>Customer</x:v>
      </x:c>
      <x:c r="B1" t="str" s="1">
        <x:v>Days After Creation</x:v>
      </x:c>
      <x:c r="C1" t="str" s="1">
        <x:v>Tasks (Active/Total)</x:v>
      </x:c>
      <x:c r="D1" t="str" s="1">
        <x:v>Labels</x:v>
      </x:c>
      <x:c r="E1" t="str" s="1">
        <x:v>CoApplicant Name</x:v>
      </x:c>
      <x:c r="F1" t="str" s="1">
        <x:v>Source</x:v>
      </x:c>
      <x:c r="G1" t="str" s="1">
        <x:v>Dealership</x:v>
      </x:c>
      <x:c r="H1" t="str" s="1">
        <x:v>PHC</x:v>
      </x:c>
      <x:c r="I1" t="str" s="1">
        <x:v>P.A.</x:v>
      </x:c>
      <x:c r="J1" t="str" s="1">
        <x:v>L.A.</x:v>
      </x:c>
      <x:c r="K1" t="str" s="1">
        <x:v>% to Closure</x:v>
      </x:c>
      <x:c r="L1" t="str" s="1">
        <x:v>Step</x:v>
      </x:c>
      <x:c r="M1" t="str" s="1">
        <x:v>Deal Status</x:v>
      </x:c>
      <x:c r="N1" t="str" s="1">
        <x:v>Journey Status</x:v>
      </x:c>
      <x:c r="O1" t="str" s="1">
        <x:v>Est. Close Date</x:v>
      </x:c>
      <x:c r="P1" t="str" s="1">
        <x:v>Creation Date</x:v>
      </x:c>
      <x:c r="Q1" t="str" s="1">
        <x:v>Last Contact Date</x:v>
      </x:c>
      <x:c r="R1" t="str" s="1">
        <x:v>H.C.2</x:v>
      </x:c>
      <x:c r="S1" t="str" s="1">
        <x:v>1st visit</x:v>
      </x:c>
      <x:c r="T1" t="str" s="1">
        <x:v>Application date</x:v>
      </x:c>
      <x:c r="U1" t="str" s="1">
        <x:v>Loan submission date</x:v>
      </x:c>
      <x:c r="V1" t="str" s="1">
        <x:v>Approved date</x:v>
      </x:c>
      <x:c r="W1" t="str" s="1">
        <x:v>Funding Date</x:v>
      </x:c>
      <x:c r="X1" t="str" s="1">
        <x:v>Phone Number</x:v>
      </x:c>
      <x:c r="Y1" t="str" s="1">
        <x:v>Email</x:v>
      </x:c>
      <x:c r="Z1" t="str" s="1">
        <x:v>Last Comment Date</x:v>
      </x:c>
      <x:c r="AA1" t="str" s="1">
        <x:v>Last Comment Employee</x:v>
      </x:c>
      <x:c r="AB1" t="str" s="1">
        <x:v>Date HC Assigned</x:v>
      </x:c>
      <x:c r="AC1" t="str" s="1">
        <x:v>Lead #</x:v>
      </x:c>
      <x:c r="AD1" t="str" s="1">
        <x:v>Type Wide</x:v>
      </x:c>
      <x:c r="AE1" t="str" s="1">
        <x:v>Lender</x:v>
      </x:c>
      <x:c r="AF1" t="str" s="1">
        <x:v>Down Payment Needed</x:v>
      </x:c>
      <x:c r="AG1" t="str" s="1">
        <x:v>Down Payment customer has</x:v>
      </x:c>
      <x:c r="AH1" t="str" s="1">
        <x:v>Down Payment Received</x:v>
      </x:c>
      <x:c r="AI1" t="str" s="1">
        <x:v>Fico Applicant</x:v>
      </x:c>
      <x:c r="AJ1" t="str" s="1">
        <x:v>Fico Co-Applicant</x:v>
      </x:c>
      <x:c r="AK1" t="str" s="1">
        <x:v>Est. Delivery Date</x:v>
      </x:c>
    </x:row>
    <x:row r="2">
      <x:c r="A2" t="str" s="2">
        <x:f>=HYPERLINK("https://rsms.futurehomex.com/lead/38199", "Theresa Davis")</x:f>
      </x:c>
      <x:c r="B2" t="n" s="2">
        <x:v>104</x:v>
      </x:c>
      <x:c r="C2" t="str" s="2">
        <x:v>0/1</x:v>
      </x:c>
      <x:c r="D2" t="str" s="2">
        <x:f>=""</x:f>
      </x:c>
      <x:c r="E2" s="0"/>
      <x:c r="F2" t="str" s="2">
        <x:v>Walk-in</x:v>
      </x:c>
      <x:c r="G2" t="str" s="2">
        <x:v>Heritage Housing of Augusta</x:v>
      </x:c>
      <x:c r="H2" t="str" s="2">
        <x:v>Faye Lively</x:v>
      </x:c>
      <x:c r="I2" t="str" s="2">
        <x:v>Karol Romero</x:v>
      </x:c>
      <x:c r="J2" s="0"/>
      <x:c r="K2" t="n" s="2">
        <x:v>34</x:v>
      </x:c>
      <x:c r="L2" t="str" s="2">
        <x:v>2.4</x:v>
      </x:c>
      <x:c r="M2" t="str" s="2">
        <x:v>Active</x:v>
      </x:c>
      <x:c r="N2" t="str" s="2">
        <x:v>Deal approval</x:v>
      </x:c>
      <x:c r="O2" s="0"/>
      <x:c r="P2" s="6">
        <x:v>46204</x:v>
      </x:c>
      <x:c r="Q2" s="6">
        <x:v>46204.66836797454</x:v>
      </x:c>
      <x:c r="R2" s="0"/>
      <x:c r="S2" s="6">
        <x:v>46204</x:v>
      </x:c>
      <x:c r="T2" s="0"/>
      <x:c r="U2" s="0"/>
      <x:c r="V2" s="0"/>
      <x:c r="W2" s="0"/>
      <x:c r="X2" t="str" s="2">
        <x:v>7068773010</x:v>
      </x:c>
      <x:c r="Y2" t="str" s="2">
        <x:v>theresadavis508@gmail.com</x:v>
      </x:c>
      <x:c r="Z2" s="6">
        <x:v>46235.70799077546</x:v>
      </x:c>
      <x:c r="AA2" t="str" s="2">
        <x:v>Alex Jones</x:v>
      </x:c>
      <x:c r="AB2" s="6">
        <x:v>46204.56012947916</x:v>
      </x:c>
      <x:c r="AC2" t="n" s="2">
        <x:v>38199</x:v>
      </x:c>
      <x:c r="AD2" t="str" s="2">
        <x:v>Singlewide</x:v>
      </x:c>
      <x:c r="AE2" s="0"/>
      <x:c r="AF2" s="0"/>
      <x:c r="AG2" s="0"/>
      <x:c r="AH2" s="0"/>
      <x:c r="AI2" s="0"/>
      <x:c r="AJ2" s="0"/>
      <x:c r="AK2" s="0"/>
    </x:row>
    <x:row r="3">
      <x:c r="A3" t="str" s="2">
        <x:f>=HYPERLINK("https://rsms.futurehomex.com/lead/38200", "Erick Alejandro Ruiz Vasquez")</x:f>
      </x:c>
      <x:c r="B3" t="n" s="2">
        <x:v>104</x:v>
      </x:c>
      <x:c r="C3" t="str" s="2">
        <x:v>0/1</x:v>
      </x:c>
      <x:c r="D3" t="str" s="2">
        <x:f>=""</x:f>
      </x:c>
      <x:c r="E3" s="0"/>
      <x:c r="F3" t="str" s="2">
        <x:v>Meta Ads - Forms</x:v>
      </x:c>
      <x:c r="G3" t="str" s="2">
        <x:v>Legacy Housing Corp. DBA Americasa</x:v>
      </x:c>
      <x:c r="H3" t="str" s="2">
        <x:v>Joey Marquez</x:v>
      </x:c>
      <x:c r="I3" s="0"/>
      <x:c r="J3" t="str" s="2">
        <x:v>Rodrigo Ramirez</x:v>
      </x:c>
      <x:c r="K3" t="n" s="2">
        <x:v>5</x:v>
      </x:c>
      <x:c r="L3" t="str" s="2">
        <x:v>1.1</x:v>
      </x:c>
      <x:c r="M3" t="str" s="2">
        <x:v>Tentative</x:v>
      </x:c>
      <x:c r="N3" t="str" s="2">
        <x:v>Deal Created</x:v>
      </x:c>
      <x:c r="O3" s="0"/>
      <x:c r="P3" s="6">
        <x:v>46204</x:v>
      </x:c>
      <x:c r="Q3" s="6">
        <x:v>46204.883202777775</x:v>
      </x:c>
      <x:c r="R3" s="0"/>
      <x:c r="S3" s="0"/>
      <x:c r="T3" s="0"/>
      <x:c r="U3" s="0"/>
      <x:c r="V3" s="0"/>
      <x:c r="W3" s="0"/>
      <x:c r="X3" t="str" s="2">
        <x:v>8329012920</x:v>
      </x:c>
      <x:c r="Y3" t="str" s="2">
        <x:v>erickruiz04111994@gmail.com</x:v>
      </x:c>
      <x:c r="Z3" s="6">
        <x:v>46204.89075640046</x:v>
      </x:c>
      <x:c r="AA3" t="str" s="2">
        <x:v>Victoria Sanchez</x:v>
      </x:c>
      <x:c r="AB3" s="6">
        <x:v>46204.607946296295</x:v>
      </x:c>
      <x:c r="AC3" t="n" s="2">
        <x:v>38200</x:v>
      </x:c>
      <x:c r="AD3" s="0"/>
      <x:c r="AE3" s="0"/>
      <x:c r="AF3" s="0"/>
      <x:c r="AG3" s="0"/>
      <x:c r="AH3" s="0"/>
      <x:c r="AI3" s="0"/>
      <x:c r="AJ3" s="0"/>
      <x:c r="AK3" s="0"/>
    </x:row>
    <x:row r="4">
      <x:c r="A4" t="str" s="2">
        <x:f>=HYPERLINK("https://rsms.futurehomex.com/lead/38201", "Ricky Williams")</x:f>
      </x:c>
      <x:c r="B4" t="n" s="2">
        <x:v>104</x:v>
      </x:c>
      <x:c r="C4" t="str" s="2">
        <x:v>1/1</x:v>
      </x:c>
      <x:c r="D4" t="str" s="2">
        <x:f>=""</x:f>
      </x:c>
      <x:c r="E4" s="0"/>
      <x:c r="F4" t="str" s="2">
        <x:v>Meta Ads - Forms</x:v>
      </x:c>
      <x:c r="G4" t="str" s="2">
        <x:v>Heritage Housing of Oklahoma City</x:v>
      </x:c>
      <x:c r="H4" t="str" s="2">
        <x:v>Trey Rixleben</x:v>
      </x:c>
      <x:c r="I4" t="str" s="2">
        <x:v>Karol Romero</x:v>
      </x:c>
      <x:c r="J4" t="str" s="2">
        <x:v>Trey Rixleben</x:v>
      </x:c>
      <x:c r="K4" t="n" s="2">
        <x:v>5</x:v>
      </x:c>
      <x:c r="L4" t="str" s="2">
        <x:v>1.1</x:v>
      </x:c>
      <x:c r="M4" t="str" s="2">
        <x:v>Tentative</x:v>
      </x:c>
      <x:c r="N4" t="str" s="2">
        <x:v>Deal Created</x:v>
      </x:c>
      <x:c r="O4" s="0"/>
      <x:c r="P4" s="6">
        <x:v>46204</x:v>
      </x:c>
      <x:c r="Q4" s="6">
        <x:v>46297.92052503472</x:v>
      </x:c>
      <x:c r="R4" s="0"/>
      <x:c r="S4" s="0"/>
      <x:c r="T4" s="0"/>
      <x:c r="U4" s="0"/>
      <x:c r="V4" s="0"/>
      <x:c r="W4" s="0"/>
      <x:c r="X4" t="str" s="2">
        <x:v>5809179715</x:v>
      </x:c>
      <x:c r="Y4" t="str" s="2">
        <x:v>rbwilliams734@gmail.com</x:v>
      </x:c>
      <x:c r="Z4" s="6">
        <x:v>46297.92147592593</x:v>
      </x:c>
      <x:c r="AA4" t="str" s="2">
        <x:v>Trey Rixleben</x:v>
      </x:c>
      <x:c r="AB4" s="6">
        <x:v>46204.609244444444</x:v>
      </x:c>
      <x:c r="AC4" t="n" s="2">
        <x:v>38201</x:v>
      </x:c>
      <x:c r="AD4" s="0"/>
      <x:c r="AE4" s="0"/>
      <x:c r="AF4" s="0"/>
      <x:c r="AG4" s="0"/>
      <x:c r="AH4" s="0"/>
      <x:c r="AI4" s="0"/>
      <x:c r="AJ4" s="0"/>
      <x:c r="AK4" s="0"/>
    </x:row>
    <x:row r="5">
      <x:c r="A5" t="str" s="2">
        <x:f>=HYPERLINK("https://rsms.futurehomex.com/lead/38204", "Karen Gardner")</x:f>
      </x:c>
      <x:c r="B5" t="n" s="2">
        <x:v>104</x:v>
      </x:c>
      <x:c r="C5" t="str" s="2">
        <x:v/>
      </x:c>
      <x:c r="D5" t="str" s="2">
        <x:f>=""</x:f>
      </x:c>
      <x:c r="E5" s="0"/>
      <x:c r="F5" t="str" s="2">
        <x:v>Walk-in</x:v>
      </x:c>
      <x:c r="G5" t="str" s="2">
        <x:v>Heritage Housing of Asheboro</x:v>
      </x:c>
      <x:c r="H5" t="str" s="2">
        <x:v>Maria Lopez</x:v>
      </x:c>
      <x:c r="I5" s="0"/>
      <x:c r="J5" s="0"/>
      <x:c r="K5" t="n" s="2">
        <x:v>21</x:v>
      </x:c>
      <x:c r="L5" t="str" s="2">
        <x:v>2.1</x:v>
      </x:c>
      <x:c r="M5" t="str" s="2">
        <x:v>Dead</x:v>
      </x:c>
      <x:c r="N5" t="str" s="2">
        <x:v>Qualified</x:v>
      </x:c>
      <x:c r="O5" s="0"/>
      <x:c r="P5" s="6">
        <x:v>46204</x:v>
      </x:c>
      <x:c r="Q5" s="6">
        <x:v>46216.76001045139</x:v>
      </x:c>
      <x:c r="R5" s="0"/>
      <x:c r="S5" s="0"/>
      <x:c r="T5" s="0"/>
      <x:c r="U5" s="0"/>
      <x:c r="V5" s="0"/>
      <x:c r="W5" s="0"/>
      <x:c r="X5" t="str" s="2">
        <x:v>2527673222</x:v>
      </x:c>
      <x:c r="Y5" t="str" s="2">
        <x:v>zacxmom@gmail.com</x:v>
      </x:c>
      <x:c r="Z5" s="6">
        <x:v>46261.879366354166</x:v>
      </x:c>
      <x:c r="AA5" t="str" s="2">
        <x:v>Maria Lopez</x:v>
      </x:c>
      <x:c r="AB5" s="6">
        <x:v>46204.67413105324</x:v>
      </x:c>
      <x:c r="AC5" t="n" s="2">
        <x:v>38204</x:v>
      </x:c>
      <x:c r="AD5" s="0"/>
      <x:c r="AE5" s="0"/>
      <x:c r="AF5" s="0"/>
      <x:c r="AG5" s="0"/>
      <x:c r="AH5" s="0"/>
      <x:c r="AI5" s="0"/>
      <x:c r="AJ5" s="0"/>
      <x:c r="AK5" s="0"/>
    </x:row>
    <x:row r="6">
      <x:c r="A6" t="str" s="2">
        <x:f>=HYPERLINK("https://rsms.futurehomex.com/lead/38205", "Dusten Prather")</x:f>
      </x:c>
      <x:c r="B6" t="n" s="2">
        <x:v>104</x:v>
      </x:c>
      <x:c r="C6" t="str" s="2">
        <x:v>0/1</x:v>
      </x:c>
      <x:c r="D6" t="str" s="2">
        <x:f>=""</x:f>
      </x:c>
      <x:c r="E6" s="0"/>
      <x:c r="F6" t="str" s="2">
        <x:v>Facebook Messenger</x:v>
      </x:c>
      <x:c r="G6" t="str" s="2">
        <x:v>Heritage Housing of Oklahoma City</x:v>
      </x:c>
      <x:c r="H6" t="str" s="2">
        <x:v>Trey Rixleben</x:v>
      </x:c>
      <x:c r="I6" t="str" s="2">
        <x:v>Karol Romero</x:v>
      </x:c>
      <x:c r="J6" t="str" s="2">
        <x:v>Trey Rixleben</x:v>
      </x:c>
      <x:c r="K6" t="n" s="2">
        <x:v>5</x:v>
      </x:c>
      <x:c r="L6" t="str" s="2">
        <x:v>1.1</x:v>
      </x:c>
      <x:c r="M6" t="str" s="2">
        <x:v>Dead</x:v>
      </x:c>
      <x:c r="N6" t="str" s="2">
        <x:v>Deal Created</x:v>
      </x:c>
      <x:c r="O6" s="0"/>
      <x:c r="P6" s="6">
        <x:v>46204</x:v>
      </x:c>
      <x:c r="Q6" s="6">
        <x:v>46227.81838136574</x:v>
      </x:c>
      <x:c r="R6" s="0"/>
      <x:c r="S6" s="0"/>
      <x:c r="T6" s="0"/>
      <x:c r="U6" s="0"/>
      <x:c r="V6" s="0"/>
      <x:c r="W6" s="0"/>
      <x:c r="X6" t="str" s="2">
        <x:v>3162300158</x:v>
      </x:c>
      <x:c r="Y6" t="str" s="2">
        <x:v>Fordman_1987@yahoo.com</x:v>
      </x:c>
      <x:c r="Z6" s="6">
        <x:v>46261.829938773146</x:v>
      </x:c>
      <x:c r="AA6" t="str" s="2">
        <x:v>Trey Rixleben</x:v>
      </x:c>
      <x:c r="AB6" s="6">
        <x:v>46204.6891122338</x:v>
      </x:c>
      <x:c r="AC6" t="n" s="2">
        <x:v>38205</x:v>
      </x:c>
      <x:c r="AD6" s="0"/>
      <x:c r="AE6" s="0"/>
      <x:c r="AF6" s="0"/>
      <x:c r="AG6" s="0"/>
      <x:c r="AH6" s="0"/>
      <x:c r="AI6" s="0"/>
      <x:c r="AJ6" s="0"/>
      <x:c r="AK6" s="0"/>
    </x:row>
    <x:row r="7">
      <x:c r="A7" t="str" s="2">
        <x:f>=HYPERLINK("https://rsms.futurehomex.com/lead/38206", "Vickie Howell")</x:f>
      </x:c>
      <x:c r="B7" t="n" s="2">
        <x:v>104</x:v>
      </x:c>
      <x:c r="C7" t="str" s="2">
        <x:v/>
      </x:c>
      <x:c r="D7" t="str" s="2">
        <x:f>=""</x:f>
      </x:c>
      <x:c r="E7" s="0"/>
      <x:c r="F7" t="str" s="2">
        <x:v>Walk-in</x:v>
      </x:c>
      <x:c r="G7" t="str" s="2">
        <x:v>Heritage Housing of Asheboro</x:v>
      </x:c>
      <x:c r="H7" t="str" s="2">
        <x:v>Maria Lopez</x:v>
      </x:c>
      <x:c r="I7" s="0"/>
      <x:c r="J7" s="0"/>
      <x:c r="K7" t="n" s="2">
        <x:v>21</x:v>
      </x:c>
      <x:c r="L7" t="str" s="2">
        <x:v>2.1</x:v>
      </x:c>
      <x:c r="M7" t="str" s="2">
        <x:v>Tentative</x:v>
      </x:c>
      <x:c r="N7" t="str" s="2">
        <x:v>Qualified</x:v>
      </x:c>
      <x:c r="O7" s="0"/>
      <x:c r="P7" s="6">
        <x:v>46204</x:v>
      </x:c>
      <x:c r="Q7" s="6">
        <x:v>46216.758718136574</x:v>
      </x:c>
      <x:c r="R7" s="0"/>
      <x:c r="S7" s="0"/>
      <x:c r="T7" s="0"/>
      <x:c r="U7" s="0"/>
      <x:c r="V7" s="0"/>
      <x:c r="W7" s="0"/>
      <x:c r="X7" t="str" s="2">
        <x:v>3366863712</x:v>
      </x:c>
      <x:c r="Y7" t="str" s="2">
        <x:v>vickiegrn2@gmail.com</x:v>
      </x:c>
      <x:c r="Z7" s="6">
        <x:v>46216.758705127315</x:v>
      </x:c>
      <x:c r="AA7" t="str" s="2">
        <x:v>Jeremy Jacques</x:v>
      </x:c>
      <x:c r="AB7" s="6">
        <x:v>46204.69654197917</x:v>
      </x:c>
      <x:c r="AC7" t="n" s="2">
        <x:v>38206</x:v>
      </x:c>
      <x:c r="AD7" s="0"/>
      <x:c r="AE7" s="0"/>
      <x:c r="AF7" s="0"/>
      <x:c r="AG7" s="0"/>
      <x:c r="AH7" s="0"/>
      <x:c r="AI7" s="0"/>
      <x:c r="AJ7" s="0"/>
      <x:c r="AK7" s="0"/>
    </x:row>
    <x:row r="8">
      <x:c r="A8" t="str" s="2">
        <x:f>=HYPERLINK("https://rsms.futurehomex.com/lead/38207", "Braulio Marte de la Cruz")</x:f>
      </x:c>
      <x:c r="B8" t="n" s="2">
        <x:v>104</x:v>
      </x:c>
      <x:c r="C8" t="str" s="2">
        <x:v/>
      </x:c>
      <x:c r="D8" t="str" s="2">
        <x:f>=""</x:f>
      </x:c>
      <x:c r="E8" s="0"/>
      <x:c r="F8" t="str" s="2">
        <x:v>Meta Ads - Forms</x:v>
      </x:c>
      <x:c r="G8" t="str" s="2">
        <x:v>Legacy Housing Corp. DBA Americasa</x:v>
      </x:c>
      <x:c r="H8" t="str" s="2">
        <x:v>Rodrigo Ramirez</x:v>
      </x:c>
      <x:c r="I8" s="0"/>
      <x:c r="J8" t="str" s="2">
        <x:v>Rodrigo Ramirez</x:v>
      </x:c>
      <x:c r="K8" t="n" s="2">
        <x:v>5</x:v>
      </x:c>
      <x:c r="L8" t="str" s="2">
        <x:v>1.1</x:v>
      </x:c>
      <x:c r="M8" t="str" s="2">
        <x:v>Dead</x:v>
      </x:c>
      <x:c r="N8" t="str" s="2">
        <x:v>Deal Created</x:v>
      </x:c>
      <x:c r="O8" s="0"/>
      <x:c r="P8" s="6">
        <x:v>46204</x:v>
      </x:c>
      <x:c r="Q8" s="6">
        <x:v>46204.706191006946</x:v>
      </x:c>
      <x:c r="R8" s="0"/>
      <x:c r="S8" s="0"/>
      <x:c r="T8" s="0"/>
      <x:c r="U8" s="0"/>
      <x:c r="V8" s="0"/>
      <x:c r="W8" s="0"/>
      <x:c r="X8" t="str" s="2">
        <x:v>7133024336</x:v>
      </x:c>
      <x:c r="Y8" t="str" s="2">
        <x:v>Brauliomanuelmarte861@gmail.com</x:v>
      </x:c>
      <x:c r="Z8" s="6">
        <x:v>46204.706349305554</x:v>
      </x:c>
      <x:c r="AA8" t="str" s="2">
        <x:v>Rodrigo Ramirez</x:v>
      </x:c>
      <x:c r="AB8" s="6">
        <x:v>46204.706191516205</x:v>
      </x:c>
      <x:c r="AC8" t="n" s="2">
        <x:v>38207</x:v>
      </x:c>
      <x:c r="AD8" s="0"/>
      <x:c r="AE8" s="0"/>
      <x:c r="AF8" s="0"/>
      <x:c r="AG8" s="0"/>
      <x:c r="AH8" s="0"/>
      <x:c r="AI8" s="0"/>
      <x:c r="AJ8" s="0"/>
      <x:c r="AK8" s="0"/>
    </x:row>
    <x:row r="9">
      <x:c r="A9" t="str" s="2">
        <x:f>=HYPERLINK("https://rsms.futurehomex.com/lead/38208", "Lidia Hernandez")</x:f>
      </x:c>
      <x:c r="B9" t="n" s="2">
        <x:v>104</x:v>
      </x:c>
      <x:c r="C9" t="str" s="2">
        <x:v/>
      </x:c>
      <x:c r="D9" t="str" s="2">
        <x:f>=""</x:f>
      </x:c>
      <x:c r="E9" s="0"/>
      <x:c r="F9" t="str" s="2">
        <x:v>Website</x:v>
      </x:c>
      <x:c r="G9" t="str" s="2">
        <x:v>Heritage Housing Mt Pleasant</x:v>
      </x:c>
      <x:c r="H9" t="str" s="2">
        <x:v>Yarelis Torres</x:v>
      </x:c>
      <x:c r="I9" s="0"/>
      <x:c r="J9" t="str" s="2">
        <x:v>Yarelis Torres</x:v>
      </x:c>
      <x:c r="K9" t="n" s="2">
        <x:v>5</x:v>
      </x:c>
      <x:c r="L9" t="str" s="2">
        <x:v>1.1</x:v>
      </x:c>
      <x:c r="M9" t="str" s="2">
        <x:v>Tentative</x:v>
      </x:c>
      <x:c r="N9" t="str" s="2">
        <x:v>Deal Created</x:v>
      </x:c>
      <x:c r="O9" s="0"/>
      <x:c r="P9" s="6">
        <x:v>46204</x:v>
      </x:c>
      <x:c r="Q9" s="6">
        <x:v>46204.718468402774</x:v>
      </x:c>
      <x:c r="R9" s="0"/>
      <x:c r="S9" s="6">
        <x:v>46203</x:v>
      </x:c>
      <x:c r="T9" s="0"/>
      <x:c r="U9" s="0"/>
      <x:c r="V9" s="0"/>
      <x:c r="W9" s="0"/>
      <x:c r="X9" t="str" s="2">
        <x:v>3137212543</x:v>
      </x:c>
      <x:c r="Y9" t="str" s="2">
        <x:v>3137212543</x:v>
      </x:c>
      <x:c r="Z9" s="6">
        <x:v>46204.726885034725</x:v>
      </x:c>
      <x:c r="AA9" t="str" s="2">
        <x:v>Yarelis Torres</x:v>
      </x:c>
      <x:c r="AB9" s="6">
        <x:v>46204.718470486114</x:v>
      </x:c>
      <x:c r="AC9" t="n" s="2">
        <x:v>38208</x:v>
      </x:c>
      <x:c r="AD9" s="0"/>
      <x:c r="AE9" s="0"/>
      <x:c r="AF9" s="0"/>
      <x:c r="AG9" s="0"/>
      <x:c r="AH9" s="0"/>
      <x:c r="AI9" s="0"/>
      <x:c r="AJ9" s="0"/>
      <x:c r="AK9" s="0"/>
    </x:row>
    <x:row r="10">
      <x:c r="A10" t="str" s="2">
        <x:f>=HYPERLINK("https://rsms.futurehomex.com/lead/38209", "Lori Joiner")</x:f>
      </x:c>
      <x:c r="B10" t="n" s="2">
        <x:v>104</x:v>
      </x:c>
      <x:c r="C10" t="str" s="2">
        <x:v/>
      </x:c>
      <x:c r="D10" t="str" s="2">
        <x:f>=""</x:f>
      </x:c>
      <x:c r="E10" s="0"/>
      <x:c r="F10" t="str" s="2">
        <x:v>Meta Ads - Messenger</x:v>
      </x:c>
      <x:c r="G10" t="str" s="2">
        <x:v>Heritage Housing Mt Pleasant</x:v>
      </x:c>
      <x:c r="H10" t="str" s="2">
        <x:v>Yarelis Torres</x:v>
      </x:c>
      <x:c r="I10" s="0"/>
      <x:c r="J10" t="str" s="2">
        <x:v>Yarelis Torres</x:v>
      </x:c>
      <x:c r="K10" t="n" s="2">
        <x:v>5</x:v>
      </x:c>
      <x:c r="L10" t="str" s="2">
        <x:v>1.1</x:v>
      </x:c>
      <x:c r="M10" t="str" s="2">
        <x:v>Dead</x:v>
      </x:c>
      <x:c r="N10" t="str" s="2">
        <x:v>Deal Created</x:v>
      </x:c>
      <x:c r="O10" s="0"/>
      <x:c r="P10" s="6">
        <x:v>46204</x:v>
      </x:c>
      <x:c r="Q10" s="6">
        <x:v>46206.87324278935</x:v>
      </x:c>
      <x:c r="R10" s="0"/>
      <x:c r="S10" s="6">
        <x:v>46203</x:v>
      </x:c>
      <x:c r="T10" s="0"/>
      <x:c r="U10" s="0"/>
      <x:c r="V10" s="0"/>
      <x:c r="W10" s="0"/>
      <x:c r="X10" t="str" s="2">
        <x:v>9039466958</x:v>
      </x:c>
      <x:c r="Y10" t="str" s="2">
        <x:v>9039466958</x:v>
      </x:c>
      <x:c r="Z10" s="6">
        <x:v>46204.740504166664</x:v>
      </x:c>
      <x:c r="AA10" t="str" s="2">
        <x:v>Yarelis Torres</x:v>
      </x:c>
      <x:c r="AB10" s="6">
        <x:v>46204.72797033565</x:v>
      </x:c>
      <x:c r="AC10" t="n" s="2">
        <x:v>38209</x:v>
      </x:c>
      <x:c r="AD10" s="0"/>
      <x:c r="AE10" s="0"/>
      <x:c r="AF10" s="0"/>
      <x:c r="AG10" s="0"/>
      <x:c r="AH10" s="7">
        <x:v>500</x:v>
      </x:c>
      <x:c r="AI10" s="0"/>
      <x:c r="AJ10" s="0"/>
      <x:c r="AK10" s="0"/>
    </x:row>
    <x:row r="11">
      <x:c r="A11" t="str" s="2">
        <x:f>=HYPERLINK("https://rsms.futurehomex.com/lead/38210", "Juan Saldana")</x:f>
      </x:c>
      <x:c r="B11" t="n" s="2">
        <x:v>104</x:v>
      </x:c>
      <x:c r="C11" t="str" s="2">
        <x:v/>
      </x:c>
      <x:c r="D11" t="str" s="2">
        <x:f>=""</x:f>
      </x:c>
      <x:c r="E11" s="0"/>
      <x:c r="F11" t="str" s="2">
        <x:v>Meta Ads - Messenger</x:v>
      </x:c>
      <x:c r="G11" t="str" s="2">
        <x:v>Heritage Housing Mt Pleasant</x:v>
      </x:c>
      <x:c r="H11" t="str" s="2">
        <x:v>Sandra Saldana</x:v>
      </x:c>
      <x:c r="I11" s="0"/>
      <x:c r="J11" t="str" s="2">
        <x:v>Sandra Saldana</x:v>
      </x:c>
      <x:c r="K11" t="n" s="2">
        <x:v>5</x:v>
      </x:c>
      <x:c r="L11" t="str" s="2">
        <x:v>1.1</x:v>
      </x:c>
      <x:c r="M11" t="str" s="2">
        <x:v>Tentative</x:v>
      </x:c>
      <x:c r="N11" t="str" s="2">
        <x:v>Deal Created</x:v>
      </x:c>
      <x:c r="O11" s="0"/>
      <x:c r="P11" s="6">
        <x:v>46204</x:v>
      </x:c>
      <x:c r="Q11" s="6">
        <x:v>46204.73109328704</x:v>
      </x:c>
      <x:c r="R11" s="0"/>
      <x:c r="S11" s="0"/>
      <x:c r="T11" s="0"/>
      <x:c r="U11" s="0"/>
      <x:c r="V11" s="0"/>
      <x:c r="W11" s="0"/>
      <x:c r="X11" t="str" s="2">
        <x:v>9034343516</x:v>
      </x:c>
      <x:c r="Y11" t="str" s="2">
        <x:v>9034343516</x:v>
      </x:c>
      <x:c r="Z11" s="6">
        <x:v>46214.76208047454</x:v>
      </x:c>
      <x:c r="AA11" t="str" s="2">
        <x:v>Sandra Saldana</x:v>
      </x:c>
      <x:c r="AB11" s="6">
        <x:v>46204.731094710645</x:v>
      </x:c>
      <x:c r="AC11" t="n" s="2">
        <x:v>38210</x:v>
      </x:c>
      <x:c r="AD11" s="0"/>
      <x:c r="AE11" s="0"/>
      <x:c r="AF11" s="0"/>
      <x:c r="AG11" s="0"/>
      <x:c r="AH11" s="0"/>
      <x:c r="AI11" s="0"/>
      <x:c r="AJ11" s="0"/>
      <x:c r="AK11" s="0"/>
    </x:row>
    <x:row r="12">
      <x:c r="A12" t="str" s="2">
        <x:f>=HYPERLINK("https://rsms.futurehomex.com/lead/38211", "Darrin Nichols")</x:f>
      </x:c>
      <x:c r="B12" t="n" s="2">
        <x:v>104</x:v>
      </x:c>
      <x:c r="C12" t="str" s="2">
        <x:v/>
      </x:c>
      <x:c r="D12" t="str" s="2">
        <x:f>=""</x:f>
      </x:c>
      <x:c r="E12" s="0"/>
      <x:c r="F12" t="str" s="2">
        <x:v>Walk-in</x:v>
      </x:c>
      <x:c r="G12" t="str" s="2">
        <x:v>Heritage Housing of Asheboro</x:v>
      </x:c>
      <x:c r="H12" t="str" s="2">
        <x:v>Maria Lopez</x:v>
      </x:c>
      <x:c r="I12" s="0"/>
      <x:c r="J12" s="0"/>
      <x:c r="K12" t="n" s="2">
        <x:v>21</x:v>
      </x:c>
      <x:c r="L12" t="str" s="2">
        <x:v>2.1</x:v>
      </x:c>
      <x:c r="M12" t="str" s="2">
        <x:v>Tentative</x:v>
      </x:c>
      <x:c r="N12" t="str" s="2">
        <x:v>Qualified</x:v>
      </x:c>
      <x:c r="O12" s="0"/>
      <x:c r="P12" s="6">
        <x:v>46204</x:v>
      </x:c>
      <x:c r="Q12" s="6">
        <x:v>46234.81662866898</x:v>
      </x:c>
      <x:c r="R12" s="0"/>
      <x:c r="S12" s="0"/>
      <x:c r="T12" s="0"/>
      <x:c r="U12" s="0"/>
      <x:c r="V12" s="0"/>
      <x:c r="W12" s="0"/>
      <x:c r="X12" t="str" s="2">
        <x:v>7432397655</x:v>
      </x:c>
      <x:c r="Y12" t="str" s="2">
        <x:v>trulyble55ed4ever1@gmail.com</x:v>
      </x:c>
      <x:c r="Z12" s="6">
        <x:v>46216.760653935184</x:v>
      </x:c>
      <x:c r="AA12" t="str" s="2">
        <x:v>Jeremy Jacques</x:v>
      </x:c>
      <x:c r="AB12" s="6">
        <x:v>46204.75315304398</x:v>
      </x:c>
      <x:c r="AC12" t="n" s="2">
        <x:v>38211</x:v>
      </x:c>
      <x:c r="AD12" s="0"/>
      <x:c r="AE12" s="0"/>
      <x:c r="AF12" s="0"/>
      <x:c r="AG12" s="0"/>
      <x:c r="AH12" s="0"/>
      <x:c r="AI12" s="0"/>
      <x:c r="AJ12" s="0"/>
      <x:c r="AK12" s="0"/>
    </x:row>
    <x:row r="13">
      <x:c r="A13" t="str" s="2">
        <x:f>=HYPERLINK("https://rsms.futurehomex.com/lead/38212", "Elpidio Herrera")</x:f>
      </x:c>
      <x:c r="B13" t="n" s="2">
        <x:v>104</x:v>
      </x:c>
      <x:c r="C13" t="str" s="2">
        <x:v/>
      </x:c>
      <x:c r="D13" t="str" s="2">
        <x:f>=""</x:f>
      </x:c>
      <x:c r="E13" s="0"/>
      <x:c r="F13" t="str" s="2">
        <x:v>Walk-in</x:v>
      </x:c>
      <x:c r="G13" t="str" s="2">
        <x:v>Heritage Housing of Asheboro</x:v>
      </x:c>
      <x:c r="H13" t="str" s="2">
        <x:v>Maria Lopez</x:v>
      </x:c>
      <x:c r="I13" s="0"/>
      <x:c r="J13" s="0"/>
      <x:c r="K13" t="n" s="2">
        <x:v>21</x:v>
      </x:c>
      <x:c r="L13" t="str" s="2">
        <x:v>2.1</x:v>
      </x:c>
      <x:c r="M13" t="str" s="2">
        <x:v>Active</x:v>
      </x:c>
      <x:c r="N13" t="str" s="2">
        <x:v>Qualified</x:v>
      </x:c>
      <x:c r="O13" s="0"/>
      <x:c r="P13" s="6">
        <x:v>46204</x:v>
      </x:c>
      <x:c r="Q13" s="6">
        <x:v>46216.76319537037</x:v>
      </x:c>
      <x:c r="R13" s="0"/>
      <x:c r="S13" s="0"/>
      <x:c r="T13" s="0"/>
      <x:c r="U13" s="0"/>
      <x:c r="V13" s="0"/>
      <x:c r="W13" s="0"/>
      <x:c r="X13" t="str" s="2">
        <x:v>9195485903</x:v>
      </x:c>
      <x:c r="Y13" t="str" s="2">
        <x:v>elpidioherrera4242@gmail.co</x:v>
      </x:c>
      <x:c r="Z13" s="6">
        <x:v>46216.76318383102</x:v>
      </x:c>
      <x:c r="AA13" t="str" s="2">
        <x:v>Jeremy Jacques</x:v>
      </x:c>
      <x:c r="AB13" s="6">
        <x:v>46204.75323167824</x:v>
      </x:c>
      <x:c r="AC13" t="n" s="2">
        <x:v>38212</x:v>
      </x:c>
      <x:c r="AD13" s="0"/>
      <x:c r="AE13" s="0"/>
      <x:c r="AF13" s="0"/>
      <x:c r="AG13" s="0"/>
      <x:c r="AH13" s="0"/>
      <x:c r="AI13" s="0"/>
      <x:c r="AJ13" s="0"/>
      <x:c r="AK13" s="0"/>
    </x:row>
    <x:row r="14">
      <x:c r="A14" t="str" s="2">
        <x:f>=HYPERLINK("https://rsms.futurehomex.com/lead/38214", "Amirrah Green")</x:f>
      </x:c>
      <x:c r="B14" t="n" s="2">
        <x:v>104</x:v>
      </x:c>
      <x:c r="C14" t="str" s="2">
        <x:v>0/4</x:v>
      </x:c>
      <x:c r="D14" t="str" s="2">
        <x:f>="Dead Deal"</x:f>
      </x:c>
      <x:c r="E14" s="0"/>
      <x:c r="F14" t="str" s="2">
        <x:v>Financing Form</x:v>
      </x:c>
      <x:c r="G14" t="str" s="2">
        <x:v>Heritage Housing of Augusta</x:v>
      </x:c>
      <x:c r="H14" t="str" s="2">
        <x:v>Jennifer Johnson</x:v>
      </x:c>
      <x:c r="I14" s="0"/>
      <x:c r="J14" t="str" s="2">
        <x:v>Jennifer Johnson</x:v>
      </x:c>
      <x:c r="K14" t="n" s="2">
        <x:v>59</x:v>
      </x:c>
      <x:c r="L14" t="str" s="2">
        <x:v>4.3</x:v>
      </x:c>
      <x:c r="M14" t="str" s="2">
        <x:v>Active</x:v>
      </x:c>
      <x:c r="N14" t="str" s="2">
        <x:v>Loan Approved</x:v>
      </x:c>
      <x:c r="O14" s="0"/>
      <x:c r="P14" s="6">
        <x:v>46204</x:v>
      </x:c>
      <x:c r="Q14" s="6">
        <x:v>46230.87796805555</x:v>
      </x:c>
      <x:c r="R14" s="0"/>
      <x:c r="S14" s="6">
        <x:v>46204</x:v>
      </x:c>
      <x:c r="T14" s="0"/>
      <x:c r="U14" s="6">
        <x:v>46230</x:v>
      </x:c>
      <x:c r="V14" s="0"/>
      <x:c r="W14" s="0"/>
      <x:c r="X14" t="str" s="2">
        <x:v>8032929848</x:v>
      </x:c>
      <x:c r="Y14" t="str" s="2">
        <x:v>g.amirrah1@gmail.com</x:v>
      </x:c>
      <x:c r="Z14" s="6">
        <x:v>46244.8396528125</x:v>
      </x:c>
      <x:c r="AA14" t="str" s="2">
        <x:v>Brian Amato</x:v>
      </x:c>
      <x:c r="AB14" s="6">
        <x:v>46209.7351133912</x:v>
      </x:c>
      <x:c r="AC14" t="n" s="2">
        <x:v>38214</x:v>
      </x:c>
      <x:c r="AD14" t="str" s="2">
        <x:v>Singlewide</x:v>
      </x:c>
      <x:c r="AE14" s="0"/>
      <x:c r="AF14" s="0"/>
      <x:c r="AG14" s="7">
        <x:v>5000</x:v>
      </x:c>
      <x:c r="AH14" s="0"/>
      <x:c r="AI14" s="0"/>
      <x:c r="AJ14" s="0"/>
      <x:c r="AK14" s="0"/>
    </x:row>
    <x:row r="15">
      <x:c r="A15" t="str" s="2">
        <x:f>=HYPERLINK("https://rsms.futurehomex.com/lead/38216", "Albert J Tezeno")</x:f>
      </x:c>
      <x:c r="B15" t="n" s="2">
        <x:v>104</x:v>
      </x:c>
      <x:c r="C15" t="str" s="2">
        <x:v>0/7</x:v>
      </x:c>
      <x:c r="D15" t="str" s="2">
        <x:f>=""</x:f>
      </x:c>
      <x:c r="E15" s="0"/>
      <x:c r="F15" t="str" s="2">
        <x:v>Website</x:v>
      </x:c>
      <x:c r="G15" t="str" s="2">
        <x:v>Heritage Housing of Jennings</x:v>
      </x:c>
      <x:c r="H15" t="str" s="2">
        <x:v>Mervin Leslie Smith</x:v>
      </x:c>
      <x:c r="I15" s="0"/>
      <x:c r="J15" s="0"/>
      <x:c r="K15" t="n" s="2">
        <x:v>100</x:v>
      </x:c>
      <x:c r="L15" t="str" s="2">
        <x:v>6.2</x:v>
      </x:c>
      <x:c r="M15" t="str" s="2">
        <x:v>Closed</x:v>
      </x:c>
      <x:c r="N15" t="str" s="2">
        <x:v>Delivered</x:v>
      </x:c>
      <x:c r="O15" s="6">
        <x:v>46233</x:v>
      </x:c>
      <x:c r="P15" s="6">
        <x:v>46204</x:v>
      </x:c>
      <x:c r="Q15" s="6">
        <x:v>46274.70113819445</x:v>
      </x:c>
      <x:c r="R15" s="0"/>
      <x:c r="S15" s="6">
        <x:v>46226</x:v>
      </x:c>
      <x:c r="T15" s="6">
        <x:v>46226</x:v>
      </x:c>
      <x:c r="U15" s="6">
        <x:v>46230</x:v>
      </x:c>
      <x:c r="V15" s="6">
        <x:v>46229</x:v>
      </x:c>
      <x:c r="W15" s="6">
        <x:v>46234</x:v>
      </x:c>
      <x:c r="X15" t="str" s="2">
        <x:v>8326426937</x:v>
      </x:c>
      <x:c r="Y15" t="str" s="2">
        <x:v>tezeno_aj@yahoo.com</x:v>
      </x:c>
      <x:c r="Z15" s="6">
        <x:v>46238.603838344905</x:v>
      </x:c>
      <x:c r="AA15" t="str" s="2">
        <x:v>Tina Dallas</x:v>
      </x:c>
      <x:c r="AB15" s="6">
        <x:v>46204.8172783912</x:v>
      </x:c>
      <x:c r="AC15" t="n" s="2">
        <x:v>38216</x:v>
      </x:c>
      <x:c r="AD15" t="str" s="2">
        <x:v>Singlewide</x:v>
      </x:c>
      <x:c r="AE15" t="str" s="2">
        <x:v>Legacy Housing Corporation</x:v>
      </x:c>
      <x:c r="AF15" s="7">
        <x:v>21320</x:v>
      </x:c>
      <x:c r="AG15" s="0"/>
      <x:c r="AH15" s="7">
        <x:v>21320</x:v>
      </x:c>
      <x:c r="AI15" t="str" s="2">
        <x:v>747</x:v>
      </x:c>
      <x:c r="AJ15" s="0"/>
      <x:c r="AK15" t="str" s="6">
        <x:v>2026-07-31</x:v>
      </x:c>
    </x:row>
    <x:row r="16">
      <x:c r="A16" t="str" s="2">
        <x:f>=HYPERLINK("https://rsms.futurehomex.com/lead/38217", "Brent Rudoleh")</x:f>
      </x:c>
      <x:c r="B16" t="n" s="2">
        <x:v>104</x:v>
      </x:c>
      <x:c r="C16" t="str" s="2">
        <x:v/>
      </x:c>
      <x:c r="D16" t="str" s="2">
        <x:f>=""</x:f>
      </x:c>
      <x:c r="E16" s="0"/>
      <x:c r="F16" t="str" s="2">
        <x:v>Website</x:v>
      </x:c>
      <x:c r="G16" t="str" s="2">
        <x:v>Heritage Housing Mt Pleasant</x:v>
      </x:c>
      <x:c r="H16" t="str" s="2">
        <x:v>Yarelis Torres</x:v>
      </x:c>
      <x:c r="I16" s="0"/>
      <x:c r="J16" t="str" s="2">
        <x:v>Yarelis Torres</x:v>
      </x:c>
      <x:c r="K16" t="n" s="2">
        <x:v>5</x:v>
      </x:c>
      <x:c r="L16" t="str" s="2">
        <x:v>1.1</x:v>
      </x:c>
      <x:c r="M16" t="str" s="2">
        <x:v>Tentative</x:v>
      </x:c>
      <x:c r="N16" t="str" s="2">
        <x:v>Deal Created</x:v>
      </x:c>
      <x:c r="O16" s="0"/>
      <x:c r="P16" s="6">
        <x:v>46204</x:v>
      </x:c>
      <x:c r="Q16" s="6">
        <x:v>46204.832506516206</x:v>
      </x:c>
      <x:c r="R16" s="0"/>
      <x:c r="S16" s="0"/>
      <x:c r="T16" s="0"/>
      <x:c r="U16" s="0"/>
      <x:c r="V16" s="0"/>
      <x:c r="W16" s="0"/>
      <x:c r="X16" t="str" s="2">
        <x:v>4062240309</x:v>
      </x:c>
      <x:c r="Y16" t="str" s="2">
        <x:v>4062240309</x:v>
      </x:c>
      <x:c r="Z16" s="6">
        <x:v>46205.0066803588</x:v>
      </x:c>
      <x:c r="AA16" t="str" s="2">
        <x:v>Yarelis Torres</x:v>
      </x:c>
      <x:c r="AB16" s="6">
        <x:v>46204.8325084838</x:v>
      </x:c>
      <x:c r="AC16" t="n" s="2">
        <x:v>38217</x:v>
      </x:c>
      <x:c r="AD16" s="0"/>
      <x:c r="AE16" s="0"/>
      <x:c r="AF16" s="0"/>
      <x:c r="AG16" s="0"/>
      <x:c r="AH16" s="0"/>
      <x:c r="AI16" s="0"/>
      <x:c r="AJ16" s="0"/>
      <x:c r="AK16" s="0"/>
    </x:row>
    <x:row r="17">
      <x:c r="A17" t="str" s="2">
        <x:f>=HYPERLINK("https://rsms.futurehomex.com/lead/38218", "Peyton Ulmer")</x:f>
      </x:c>
      <x:c r="B17" t="n" s="2">
        <x:v>104</x:v>
      </x:c>
      <x:c r="C17" t="str" s="2">
        <x:v>1/5</x:v>
      </x:c>
      <x:c r="D17" t="str" s="2">
        <x:f>=""</x:f>
      </x:c>
      <x:c r="E17" t="str" s="2">
        <x:v>Halee Ulmer</x:v>
      </x:c>
      <x:c r="F17" t="str" s="2">
        <x:v>Referrals</x:v>
      </x:c>
      <x:c r="G17" t="str" s="2">
        <x:v>Heritage Housing of Oklahoma City</x:v>
      </x:c>
      <x:c r="H17" t="str" s="2">
        <x:v>Trey Rixleben</x:v>
      </x:c>
      <x:c r="I17" t="str" s="2">
        <x:v>Karol Romero</x:v>
      </x:c>
      <x:c r="J17" t="str" s="2">
        <x:v>Trey Rixleben</x:v>
      </x:c>
      <x:c r="K17" t="n" s="2">
        <x:v>38</x:v>
      </x:c>
      <x:c r="L17" t="str" s="2">
        <x:v>3.2</x:v>
      </x:c>
      <x:c r="M17" t="str" s="2">
        <x:v>Tentative</x:v>
      </x:c>
      <x:c r="N17" t="str" s="2">
        <x:v>Application</x:v>
      </x:c>
      <x:c r="O17" s="0"/>
      <x:c r="P17" s="6">
        <x:v>46204</x:v>
      </x:c>
      <x:c r="Q17" s="6">
        <x:v>46239.81216501157</x:v>
      </x:c>
      <x:c r="R17" s="0"/>
      <x:c r="S17" s="6">
        <x:v>46204</x:v>
      </x:c>
      <x:c r="T17" s="6">
        <x:v>46204</x:v>
      </x:c>
      <x:c r="U17" s="6">
        <x:v>46232</x:v>
      </x:c>
      <x:c r="V17" s="0"/>
      <x:c r="W17" s="0"/>
      <x:c r="X17" t="str" s="2">
        <x:v>4056265656</x:v>
      </x:c>
      <x:c r="Y17" t="str" s="2">
        <x:v>nukacolainc@icloud.com</x:v>
      </x:c>
      <x:c r="Z17" s="6">
        <x:v>46290.93502827546</x:v>
      </x:c>
      <x:c r="AA17" t="str" s="2">
        <x:v>Trey Rixleben</x:v>
      </x:c>
      <x:c r="AB17" s="6">
        <x:v>46204.84510200231</x:v>
      </x:c>
      <x:c r="AC17" t="n" s="2">
        <x:v>38218</x:v>
      </x:c>
      <x:c r="AD17" t="str" s="2">
        <x:v>Doublewide</x:v>
      </x:c>
      <x:c r="AE17" s="0"/>
      <x:c r="AF17" s="0"/>
      <x:c r="AG17" s="0"/>
      <x:c r="AH17" s="0"/>
      <x:c r="AI17" s="0"/>
      <x:c r="AJ17" s="0"/>
      <x:c r="AK17" s="0"/>
    </x:row>
    <x:row r="18">
      <x:c r="A18" t="str" s="2">
        <x:f>=HYPERLINK("https://rsms.futurehomex.com/lead/38219", "Nicholas Zitzloff")</x:f>
      </x:c>
      <x:c r="B18" t="n" s="2">
        <x:v>104</x:v>
      </x:c>
      <x:c r="C18" t="str" s="2">
        <x:v/>
      </x:c>
      <x:c r="D18" t="str" s="2">
        <x:f>=""</x:f>
      </x:c>
      <x:c r="E18" s="0"/>
      <x:c r="F18" t="str" s="2">
        <x:v>Walk-in</x:v>
      </x:c>
      <x:c r="G18" t="str" s="2">
        <x:v>Heritage Housing of Asheboro</x:v>
      </x:c>
      <x:c r="H18" t="str" s="2">
        <x:v>Maria Lopez</x:v>
      </x:c>
      <x:c r="I18" s="0"/>
      <x:c r="J18" s="0"/>
      <x:c r="K18" t="n" s="2">
        <x:v>21</x:v>
      </x:c>
      <x:c r="L18" t="str" s="2">
        <x:v>2.1</x:v>
      </x:c>
      <x:c r="M18" t="str" s="2">
        <x:v>Active</x:v>
      </x:c>
      <x:c r="N18" t="str" s="2">
        <x:v>Qualified</x:v>
      </x:c>
      <x:c r="O18" s="0"/>
      <x:c r="P18" s="6">
        <x:v>46204</x:v>
      </x:c>
      <x:c r="Q18" s="6">
        <x:v>46216.75918429398</x:v>
      </x:c>
      <x:c r="R18" s="0"/>
      <x:c r="S18" s="0"/>
      <x:c r="T18" s="0"/>
      <x:c r="U18" s="0"/>
      <x:c r="V18" s="0"/>
      <x:c r="W18" s="0"/>
      <x:c r="X18" t="str" s="2">
        <x:v>3332596628</x:v>
      </x:c>
      <x:c r="Y18" t="str" s="2">
        <x:v>nickzitzloff@gmaill.com</x:v>
      </x:c>
      <x:c r="Z18" s="6">
        <x:v>46216.75917172454</x:v>
      </x:c>
      <x:c r="AA18" t="str" s="2">
        <x:v>Jeremy Jacques</x:v>
      </x:c>
      <x:c r="AB18" s="6">
        <x:v>46210.56534016204</x:v>
      </x:c>
      <x:c r="AC18" t="n" s="2">
        <x:v>38219</x:v>
      </x:c>
      <x:c r="AD18" s="0"/>
      <x:c r="AE18" s="0"/>
      <x:c r="AF18" s="0"/>
      <x:c r="AG18" s="0"/>
      <x:c r="AH18" s="0"/>
      <x:c r="AI18" s="0"/>
      <x:c r="AJ18" s="0"/>
      <x:c r="AK18" s="0"/>
    </x:row>
    <x:row r="19">
      <x:c r="A19" t="str" s="2">
        <x:f>=HYPERLINK("https://rsms.futurehomex.com/lead/38220", "Moe Collins")</x:f>
      </x:c>
      <x:c r="B19" t="n" s="2">
        <x:v>104</x:v>
      </x:c>
      <x:c r="C19" t="str" s="2">
        <x:v>0/1</x:v>
      </x:c>
      <x:c r="D19" t="str" s="2">
        <x:f>=""</x:f>
      </x:c>
      <x:c r="E19" s="0"/>
      <x:c r="F19" t="str" s="2">
        <x:v>Meta Ads - Forms</x:v>
      </x:c>
      <x:c r="G19" t="str" s="2">
        <x:v>Heritage Housing of Oklahoma City</x:v>
      </x:c>
      <x:c r="H19" t="str" s="2">
        <x:v>Trey Rixleben</x:v>
      </x:c>
      <x:c r="I19" t="str" s="2">
        <x:v>Karol Romero</x:v>
      </x:c>
      <x:c r="J19" s="0"/>
      <x:c r="K19" t="n" s="2">
        <x:v>5</x:v>
      </x:c>
      <x:c r="L19" t="str" s="2">
        <x:v>1.1</x:v>
      </x:c>
      <x:c r="M19" t="str" s="2">
        <x:v>Dead</x:v>
      </x:c>
      <x:c r="N19" t="str" s="2">
        <x:v>Prospect</x:v>
      </x:c>
      <x:c r="O19" s="0"/>
      <x:c r="P19" s="6">
        <x:v>46204</x:v>
      </x:c>
      <x:c r="Q19" s="6">
        <x:v>46213.83107349537</x:v>
      </x:c>
      <x:c r="R19" s="0"/>
      <x:c r="S19" s="0"/>
      <x:c r="T19" s="0"/>
      <x:c r="U19" s="0"/>
      <x:c r="V19" s="0"/>
      <x:c r="W19" s="0"/>
      <x:c r="X19" t="str" s="2">
        <x:v>5807986232</x:v>
      </x:c>
      <x:c r="Y19" t="str" s="2">
        <x:v>moecollins71.mc@gmail.com</x:v>
      </x:c>
      <x:c r="Z19" s="6">
        <x:v>46213.83226704861</x:v>
      </x:c>
      <x:c r="AA19" t="str" s="2">
        <x:v>Trey Rixleben</x:v>
      </x:c>
      <x:c r="AB19" s="6">
        <x:v>46204.96174722222</x:v>
      </x:c>
      <x:c r="AC19" t="n" s="2">
        <x:v>38220</x:v>
      </x:c>
      <x:c r="AD19" s="0"/>
      <x:c r="AE19" s="0"/>
      <x:c r="AF19" s="0"/>
      <x:c r="AG19" s="0"/>
      <x:c r="AH19" s="0"/>
      <x:c r="AI19" s="0"/>
      <x:c r="AJ19" s="0"/>
      <x:c r="AK19" s="0"/>
    </x:row>
    <x:row r="20">
      <x:c r="A20" t="str" s="2">
        <x:f>=HYPERLINK("https://rsms.futurehomex.com/lead/38223", "SUZANNE WADE")</x:f>
      </x:c>
      <x:c r="B20" t="n" s="2">
        <x:v>103</x:v>
      </x:c>
      <x:c r="C20" t="str" s="2">
        <x:v/>
      </x:c>
      <x:c r="D20" t="str" s="2">
        <x:f>=""</x:f>
      </x:c>
      <x:c r="E20" s="0"/>
      <x:c r="F20" t="str" s="2">
        <x:v>Walk-in</x:v>
      </x:c>
      <x:c r="G20" t="str" s="2">
        <x:v>Legacy Housing Corp. DBA Americasa</x:v>
      </x:c>
      <x:c r="H20" t="str" s="2">
        <x:v>Jose Parada</x:v>
      </x:c>
      <x:c r="I20" s="0"/>
      <x:c r="J20" s="0"/>
      <x:c r="K20" t="n" s="2">
        <x:v>5</x:v>
      </x:c>
      <x:c r="L20" t="str" s="2">
        <x:v>1.1</x:v>
      </x:c>
      <x:c r="M20" t="str" s="2">
        <x:v>Tentative</x:v>
      </x:c>
      <x:c r="N20" t="str" s="2">
        <x:v>Prospect</x:v>
      </x:c>
      <x:c r="O20" s="0"/>
      <x:c r="P20" s="6">
        <x:v>46205</x:v>
      </x:c>
      <x:c r="Q20" s="6">
        <x:v>46205.531105821756</x:v>
      </x:c>
      <x:c r="R20" s="0"/>
      <x:c r="S20" s="0"/>
      <x:c r="T20" s="0"/>
      <x:c r="U20" s="0"/>
      <x:c r="V20" s="0"/>
      <x:c r="W20" s="0"/>
      <x:c r="X20" t="str" s="2">
        <x:v>3464489488</x:v>
      </x:c>
      <x:c r="Y20" t="str" s="2">
        <x:v>suewade46@gmail.com</x:v>
      </x:c>
      <x:c r="Z20" s="0"/>
      <x:c r="AA20" s="0"/>
      <x:c r="AB20" s="6">
        <x:v>46205.531106712966</x:v>
      </x:c>
      <x:c r="AC20" t="n" s="2">
        <x:v>38223</x:v>
      </x:c>
      <x:c r="AD20" s="0"/>
      <x:c r="AE20" s="0"/>
      <x:c r="AF20" s="0"/>
      <x:c r="AG20" s="0"/>
      <x:c r="AH20" s="0"/>
      <x:c r="AI20" s="0"/>
      <x:c r="AJ20" s="0"/>
      <x:c r="AK20" s="0"/>
    </x:row>
    <x:row r="21">
      <x:c r="A21" t="str" s="2">
        <x:f>=HYPERLINK("https://rsms.futurehomex.com/lead/38224", "Brooklynn Allen")</x:f>
      </x:c>
      <x:c r="B21" t="n" s="2">
        <x:v>103</x:v>
      </x:c>
      <x:c r="C21" t="str" s="2">
        <x:v/>
      </x:c>
      <x:c r="D21" t="str" s="2">
        <x:f>=""</x:f>
      </x:c>
      <x:c r="E21" s="0"/>
      <x:c r="F21" t="str" s="2">
        <x:v>Greenville</x:v>
      </x:c>
      <x:c r="G21" t="str" s="2">
        <x:v>Heritage Housing of Greenville</x:v>
      </x:c>
      <x:c r="H21" t="str" s="2">
        <x:v>Brandie Sartor</x:v>
      </x:c>
      <x:c r="I21" s="0"/>
      <x:c r="J21" s="0"/>
      <x:c r="K21" t="n" s="2">
        <x:v>5</x:v>
      </x:c>
      <x:c r="L21" t="str" s="2">
        <x:v>1.1</x:v>
      </x:c>
      <x:c r="M21" t="str" s="2">
        <x:v>Dead</x:v>
      </x:c>
      <x:c r="N21" t="str" s="2">
        <x:v>Prospect</x:v>
      </x:c>
      <x:c r="O21" s="0"/>
      <x:c r="P21" s="6">
        <x:v>46205</x:v>
      </x:c>
      <x:c r="Q21" s="6">
        <x:v>46205.53413804398</x:v>
      </x:c>
      <x:c r="R21" s="0"/>
      <x:c r="S21" s="0"/>
      <x:c r="T21" s="0"/>
      <x:c r="U21" s="0"/>
      <x:c r="V21" s="0"/>
      <x:c r="W21" s="0"/>
      <x:c r="X21" t="str" s="2">
        <x:v>9034368004</x:v>
      </x:c>
      <x:c r="Y21" t="str" s="2">
        <x:v>9034368004</x:v>
      </x:c>
      <x:c r="Z21" s="0"/>
      <x:c r="AA21" s="0"/>
      <x:c r="AB21" s="6">
        <x:v>46205.532907326386</x:v>
      </x:c>
      <x:c r="AC21" t="n" s="2">
        <x:v>38224</x:v>
      </x:c>
      <x:c r="AD21" s="0"/>
      <x:c r="AE21" s="0"/>
      <x:c r="AF21" s="0"/>
      <x:c r="AG21" s="0"/>
      <x:c r="AH21" s="0"/>
      <x:c r="AI21" t="str" s="2">
        <x:v>498</x:v>
      </x:c>
      <x:c r="AJ21" s="0"/>
      <x:c r="AK21" s="0"/>
    </x:row>
    <x:row r="22">
      <x:c r="A22" t="str" s="2">
        <x:f>=HYPERLINK("https://rsms.futurehomex.com/lead/38226", "Rebecca Taylor")</x:f>
      </x:c>
      <x:c r="B22" t="n" s="2">
        <x:v>103</x:v>
      </x:c>
      <x:c r="C22" t="str" s="2">
        <x:v/>
      </x:c>
      <x:c r="D22" t="str" s="2">
        <x:f>=""</x:f>
      </x:c>
      <x:c r="E22" s="0"/>
      <x:c r="F22" t="str" s="2">
        <x:v>Canton</x:v>
      </x:c>
      <x:c r="G22" t="str" s="2">
        <x:v>Heritage Housing of Canton</x:v>
      </x:c>
      <x:c r="H22" t="str" s="2">
        <x:v>Adriana Jaimes-Martinez</x:v>
      </x:c>
      <x:c r="I22" s="0"/>
      <x:c r="J22" s="0"/>
      <x:c r="K22" t="n" s="2">
        <x:v>5</x:v>
      </x:c>
      <x:c r="L22" t="str" s="2">
        <x:v>1.1</x:v>
      </x:c>
      <x:c r="M22" t="str" s="2">
        <x:v>Tentative</x:v>
      </x:c>
      <x:c r="N22" t="str" s="2">
        <x:v>Prospect</x:v>
      </x:c>
      <x:c r="O22" s="0"/>
      <x:c r="P22" s="6">
        <x:v>46205</x:v>
      </x:c>
      <x:c r="Q22" s="6">
        <x:v>46205.61497766204</x:v>
      </x:c>
      <x:c r="R22" s="0"/>
      <x:c r="S22" s="0"/>
      <x:c r="T22" s="0"/>
      <x:c r="U22" s="0"/>
      <x:c r="V22" s="0"/>
      <x:c r="W22" s="0"/>
      <x:c r="X22" t="str" s="2">
        <x:v>2143924792</x:v>
      </x:c>
      <x:c r="Y22" t="str" s="2">
        <x:v>2143924792</x:v>
      </x:c>
      <x:c r="Z22" s="0"/>
      <x:c r="AA22" s="0"/>
      <x:c r="AB22" s="6">
        <x:v>46205.59784193287</x:v>
      </x:c>
      <x:c r="AC22" t="n" s="2">
        <x:v>38226</x:v>
      </x:c>
      <x:c r="AD22" s="0"/>
      <x:c r="AE22" s="0"/>
      <x:c r="AF22" s="0"/>
      <x:c r="AG22" s="0"/>
      <x:c r="AH22" s="0"/>
      <x:c r="AI22" s="0"/>
      <x:c r="AJ22" s="0"/>
      <x:c r="AK22" s="0"/>
    </x:row>
    <x:row r="23">
      <x:c r="A23" t="str" s="2">
        <x:f>=HYPERLINK("https://rsms.futurehomex.com/lead/38227", "Oscar Moreno")</x:f>
      </x:c>
      <x:c r="B23" t="n" s="2">
        <x:v>103</x:v>
      </x:c>
      <x:c r="C23" t="str" s="2">
        <x:v/>
      </x:c>
      <x:c r="D23" t="str" s="2">
        <x:f>=""</x:f>
      </x:c>
      <x:c r="E23" s="0"/>
      <x:c r="F23" t="str" s="2">
        <x:v>Google Ads</x:v>
      </x:c>
      <x:c r="G23" t="str" s="2">
        <x:v>Legacy Housing Corp. DBA Americasa</x:v>
      </x:c>
      <x:c r="H23" t="str" s="2">
        <x:v>Rodrigo Ramirez</x:v>
      </x:c>
      <x:c r="I23" s="0"/>
      <x:c r="J23" t="str" s="2">
        <x:v>Rodrigo Ramirez</x:v>
      </x:c>
      <x:c r="K23" t="n" s="2">
        <x:v>5</x:v>
      </x:c>
      <x:c r="L23" t="str" s="2">
        <x:v>1.1</x:v>
      </x:c>
      <x:c r="M23" t="str" s="2">
        <x:v>Dead</x:v>
      </x:c>
      <x:c r="N23" t="str" s="2">
        <x:v>Deal Created</x:v>
      </x:c>
      <x:c r="O23" s="0"/>
      <x:c r="P23" s="6">
        <x:v>46205</x:v>
      </x:c>
      <x:c r="Q23" s="6">
        <x:v>46205.627045023146</x:v>
      </x:c>
      <x:c r="R23" s="0"/>
      <x:c r="S23" s="0"/>
      <x:c r="T23" s="0"/>
      <x:c r="U23" s="0"/>
      <x:c r="V23" s="0"/>
      <x:c r="W23" s="0"/>
      <x:c r="X23" t="str" s="2">
        <x:v>(713)420-9339</x:v>
      </x:c>
      <x:c r="Y23" t="str" s="2">
        <x:v>oscsrmoreno2191@gmail.com</x:v>
      </x:c>
      <x:c r="Z23" s="6">
        <x:v>46205.62716246528</x:v>
      </x:c>
      <x:c r="AA23" t="str" s="2">
        <x:v>Rodrigo Ramirez</x:v>
      </x:c>
      <x:c r="AB23" s="6">
        <x:v>46205.62704556713</x:v>
      </x:c>
      <x:c r="AC23" t="n" s="2">
        <x:v>38227</x:v>
      </x:c>
      <x:c r="AD23" s="0"/>
      <x:c r="AE23" s="0"/>
      <x:c r="AF23" s="0"/>
      <x:c r="AG23" s="0"/>
      <x:c r="AH23" s="0"/>
      <x:c r="AI23" s="0"/>
      <x:c r="AJ23" s="0"/>
      <x:c r="AK23" s="0"/>
    </x:row>
    <x:row r="24">
      <x:c r="A24" t="str" s="2">
        <x:f>=HYPERLINK("https://rsms.futurehomex.com/lead/38228", "William Holmes")</x:f>
      </x:c>
      <x:c r="B24" t="n" s="2">
        <x:v>103</x:v>
      </x:c>
      <x:c r="C24" t="str" s="2">
        <x:v>0/2</x:v>
      </x:c>
      <x:c r="D24" t="str" s="2">
        <x:f>=""</x:f>
      </x:c>
      <x:c r="E24" s="0"/>
      <x:c r="F24" t="str" s="2">
        <x:v>Facebook Messenger</x:v>
      </x:c>
      <x:c r="G24" t="str" s="2">
        <x:v>Heritage Housing of Oklahoma City</x:v>
      </x:c>
      <x:c r="H24" t="str" s="2">
        <x:v>Steve Castell</x:v>
      </x:c>
      <x:c r="I24" s="0"/>
      <x:c r="J24" t="str" s="2">
        <x:v>Steve Castell</x:v>
      </x:c>
      <x:c r="K24" t="n" s="2">
        <x:v>5</x:v>
      </x:c>
      <x:c r="L24" t="str" s="2">
        <x:v>1.1</x:v>
      </x:c>
      <x:c r="M24" t="str" s="2">
        <x:v>Dead</x:v>
      </x:c>
      <x:c r="N24" t="str" s="2">
        <x:v>Deal Created</x:v>
      </x:c>
      <x:c r="O24" s="0"/>
      <x:c r="P24" s="6">
        <x:v>46205</x:v>
      </x:c>
      <x:c r="Q24" s="6">
        <x:v>46205.677830706016</x:v>
      </x:c>
      <x:c r="R24" s="0"/>
      <x:c r="S24" s="0"/>
      <x:c r="T24" s="0"/>
      <x:c r="U24" s="0"/>
      <x:c r="V24" s="0"/>
      <x:c r="W24" s="0"/>
      <x:c r="X24" t="str" s="2">
        <x:v>9852887100</x:v>
      </x:c>
      <x:c r="Y24" t="str" s="2">
        <x:v>9852887100</x:v>
      </x:c>
      <x:c r="Z24" s="6">
        <x:v>46262.95135679398</x:v>
      </x:c>
      <x:c r="AA24" t="str" s="2">
        <x:v>Steve Castell</x:v>
      </x:c>
      <x:c r="AB24" s="6">
        <x:v>46205.67783260417</x:v>
      </x:c>
      <x:c r="AC24" t="n" s="2">
        <x:v>38228</x:v>
      </x:c>
      <x:c r="AD24" s="0"/>
      <x:c r="AE24" s="0"/>
      <x:c r="AF24" s="0"/>
      <x:c r="AG24" s="0"/>
      <x:c r="AH24" s="0"/>
      <x:c r="AI24" s="0"/>
      <x:c r="AJ24" s="0"/>
      <x:c r="AK24" s="0"/>
    </x:row>
    <x:row r="25">
      <x:c r="A25" t="str" s="2">
        <x:f>=HYPERLINK("https://rsms.futurehomex.com/lead/38229", "Celia Soto")</x:f>
      </x:c>
      <x:c r="B25" t="n" s="2">
        <x:v>103</x:v>
      </x:c>
      <x:c r="C25" t="str" s="2">
        <x:v>1/3</x:v>
      </x:c>
      <x:c r="D25" t="str" s="2">
        <x:f>=""</x:f>
      </x:c>
      <x:c r="E25" s="0"/>
      <x:c r="F25" t="str" s="2">
        <x:v>Office Hot Calls</x:v>
      </x:c>
      <x:c r="G25" t="str" s="2">
        <x:v>Heritage Housing of Oklahoma City</x:v>
      </x:c>
      <x:c r="H25" t="str" s="2">
        <x:v>Alejandra Calderon</x:v>
      </x:c>
      <x:c r="I25" s="0"/>
      <x:c r="J25" s="0"/>
      <x:c r="K25" t="n" s="2">
        <x:v>5</x:v>
      </x:c>
      <x:c r="L25" t="str" s="2">
        <x:v>1.1</x:v>
      </x:c>
      <x:c r="M25" t="str" s="2">
        <x:v>Tentative</x:v>
      </x:c>
      <x:c r="N25" t="str" s="2">
        <x:v>Prospect</x:v>
      </x:c>
      <x:c r="O25" s="0"/>
      <x:c r="P25" s="6">
        <x:v>46205</x:v>
      </x:c>
      <x:c r="Q25" s="6">
        <x:v>46208.79066489583</x:v>
      </x:c>
      <x:c r="R25" t="str" s="2">
        <x:v>Eva Misheva</x:v>
      </x:c>
      <x:c r="S25" s="6">
        <x:v>46208</x:v>
      </x:c>
      <x:c r="T25" s="0"/>
      <x:c r="U25" s="0"/>
      <x:c r="V25" s="0"/>
      <x:c r="W25" s="0"/>
      <x:c r="X25" t="str" s="2">
        <x:v>4054353986</x:v>
      </x:c>
      <x:c r="Y25" t="str" s="2">
        <x:v>SOTOOPHELIA77@GMAIL.COM</x:v>
      </x:c>
      <x:c r="Z25" s="6">
        <x:v>46285.88734649306</x:v>
      </x:c>
      <x:c r="AA25" t="str" s="2">
        <x:v>Eva Misheva</x:v>
      </x:c>
      <x:c r="AB25" s="6">
        <x:v>46205.67790559028</x:v>
      </x:c>
      <x:c r="AC25" t="n" s="2">
        <x:v>38229</x:v>
      </x:c>
      <x:c r="AD25" s="0"/>
      <x:c r="AE25" s="0"/>
      <x:c r="AF25" s="0"/>
      <x:c r="AG25" s="0"/>
      <x:c r="AH25" s="0"/>
      <x:c r="AI25" s="0"/>
      <x:c r="AJ25" s="0"/>
      <x:c r="AK25" s="0"/>
    </x:row>
    <x:row r="26">
      <x:c r="A26" t="str" s="2">
        <x:f>=HYPERLINK("https://rsms.futurehomex.com/lead/38230", "Dolly Varden Management")</x:f>
      </x:c>
      <x:c r="B26" t="n" s="2">
        <x:v>103</x:v>
      </x:c>
      <x:c r="C26" t="str" s="2">
        <x:v/>
      </x:c>
      <x:c r="D26" t="str" s="2">
        <x:f>="CASH, Closed"</x:f>
      </x:c>
      <x:c r="E26" s="0"/>
      <x:c r="F26" t="str" s="2">
        <x:v>Referrals</x:v>
      </x:c>
      <x:c r="G26" t="str" s="2">
        <x:v>Heritage Housing Marble Falls</x:v>
      </x:c>
      <x:c r="H26" t="str" s="2">
        <x:v>Stephen Sanders</x:v>
      </x:c>
      <x:c r="I26" t="str" s="2">
        <x:v>Karol Romero</x:v>
      </x:c>
      <x:c r="J26" t="str" s="2">
        <x:v>Stephen Sanders</x:v>
      </x:c>
      <x:c r="K26" t="n" s="2">
        <x:v>100</x:v>
      </x:c>
      <x:c r="L26" t="str" s="2">
        <x:v>6.2</x:v>
      </x:c>
      <x:c r="M26" t="str" s="2">
        <x:v>Closed</x:v>
      </x:c>
      <x:c r="N26" t="str" s="2">
        <x:v>Delivered</x:v>
      </x:c>
      <x:c r="O26" s="6">
        <x:v>46210</x:v>
      </x:c>
      <x:c r="P26" s="6">
        <x:v>46205</x:v>
      </x:c>
      <x:c r="Q26" s="6">
        <x:v>46237.65494359954</x:v>
      </x:c>
      <x:c r="R26" s="0"/>
      <x:c r="S26" s="6">
        <x:v>46204</x:v>
      </x:c>
      <x:c r="T26" s="6">
        <x:v>46205</x:v>
      </x:c>
      <x:c r="U26" s="6">
        <x:v>46206</x:v>
      </x:c>
      <x:c r="V26" s="6">
        <x:v>46205</x:v>
      </x:c>
      <x:c r="W26" s="6">
        <x:v>46224</x:v>
      </x:c>
      <x:c r="X26" t="str" s="2">
        <x:v>3252489284</x:v>
      </x:c>
      <x:c r="Y26" t="str" s="2">
        <x:v>DVmanagers@outlook.com</x:v>
      </x:c>
      <x:c r="Z26" s="6">
        <x:v>46225.60515578704</x:v>
      </x:c>
      <x:c r="AA26" t="str" s="2">
        <x:v>Jessica Kohanek</x:v>
      </x:c>
      <x:c r="AB26" s="6">
        <x:v>46205.69019583333</x:v>
      </x:c>
      <x:c r="AC26" t="n" s="2">
        <x:v>38230</x:v>
      </x:c>
      <x:c r="AD26" t="str" s="2">
        <x:v>Singlewide</x:v>
      </x:c>
      <x:c r="AE26" s="0"/>
      <x:c r="AF26" s="7">
        <x:v>64255</x:v>
      </x:c>
      <x:c r="AG26" s="7">
        <x:v>64255</x:v>
      </x:c>
      <x:c r="AH26" s="0"/>
      <x:c r="AI26" s="0"/>
      <x:c r="AJ26" s="0"/>
      <x:c r="AK26" s="0"/>
    </x:row>
    <x:row r="27">
      <x:c r="A27" t="str" s="2">
        <x:f>=HYPERLINK("https://rsms.futurehomex.com/lead/38231", "Sharon Noah")</x:f>
      </x:c>
      <x:c r="B27" t="n" s="2">
        <x:v>103</x:v>
      </x:c>
      <x:c r="C27" t="str" s="2">
        <x:v/>
      </x:c>
      <x:c r="D27" t="str" s="2">
        <x:f>=""</x:f>
      </x:c>
      <x:c r="E27" s="0"/>
      <x:c r="F27" t="str" s="2">
        <x:v>Financing Form</x:v>
      </x:c>
      <x:c r="G27" t="str" s="2">
        <x:v>Heritage Housing Mt Pleasant</x:v>
      </x:c>
      <x:c r="H27" t="str" s="2">
        <x:v>Elias Gallardo</x:v>
      </x:c>
      <x:c r="I27" s="0"/>
      <x:c r="J27" t="str" s="2">
        <x:v>Elias Gallardo</x:v>
      </x:c>
      <x:c r="K27" t="n" s="2">
        <x:v>5</x:v>
      </x:c>
      <x:c r="L27" t="str" s="2">
        <x:v>1.1</x:v>
      </x:c>
      <x:c r="M27" t="str" s="2">
        <x:v>Tentative</x:v>
      </x:c>
      <x:c r="N27" t="str" s="2">
        <x:v>Prospect</x:v>
      </x:c>
      <x:c r="O27" s="0"/>
      <x:c r="P27" s="6">
        <x:v>46205</x:v>
      </x:c>
      <x:c r="Q27" s="6">
        <x:v>46205.69363958333</x:v>
      </x:c>
      <x:c r="R27" s="0"/>
      <x:c r="S27" s="0"/>
      <x:c r="T27" s="0"/>
      <x:c r="U27" s="0"/>
      <x:c r="V27" s="0"/>
      <x:c r="W27" s="0"/>
      <x:c r="X27" t="str" s="2">
        <x:v>9039180753</x:v>
      </x:c>
      <x:c r="Y27" t="str" s="2">
        <x:v>s.noah33@gmail.com</x:v>
      </x:c>
      <x:c r="Z27" s="6">
        <x:v>46206.603865625</x:v>
      </x:c>
      <x:c r="AA27" t="str" s="2">
        <x:v>Elias Gallardo</x:v>
      </x:c>
      <x:c r="AB27" s="6">
        <x:v>46205.693641122685</x:v>
      </x:c>
      <x:c r="AC27" t="n" s="2">
        <x:v>38231</x:v>
      </x:c>
      <x:c r="AD27" s="0"/>
      <x:c r="AE27" s="0"/>
      <x:c r="AF27" s="0"/>
      <x:c r="AG27" s="0"/>
      <x:c r="AH27" s="0"/>
      <x:c r="AI27" s="0"/>
      <x:c r="AJ27" s="0"/>
      <x:c r="AK27" s="0"/>
    </x:row>
    <x:row r="28">
      <x:c r="A28" t="str" s="2">
        <x:f>=HYPERLINK("https://rsms.futurehomex.com/lead/38232", "Dolly Varden Management")</x:f>
      </x:c>
      <x:c r="B28" t="n" s="2">
        <x:v>103</x:v>
      </x:c>
      <x:c r="C28" t="str" s="2">
        <x:v/>
      </x:c>
      <x:c r="D28" t="str" s="2">
        <x:f>="CASH, Closed"</x:f>
      </x:c>
      <x:c r="E28" s="0"/>
      <x:c r="F28" t="str" s="2">
        <x:v>Referrals</x:v>
      </x:c>
      <x:c r="G28" t="str" s="2">
        <x:v>Heritage Housing Marble Falls</x:v>
      </x:c>
      <x:c r="H28" t="str" s="2">
        <x:v>Stephen Sanders</x:v>
      </x:c>
      <x:c r="I28" t="str" s="2">
        <x:v>Karol Romero</x:v>
      </x:c>
      <x:c r="J28" t="str" s="2">
        <x:v>Stephen Sanders</x:v>
      </x:c>
      <x:c r="K28" t="n" s="2">
        <x:v>100</x:v>
      </x:c>
      <x:c r="L28" t="str" s="2">
        <x:v>6.2</x:v>
      </x:c>
      <x:c r="M28" t="str" s="2">
        <x:v>Closed</x:v>
      </x:c>
      <x:c r="N28" t="str" s="2">
        <x:v>Delivered</x:v>
      </x:c>
      <x:c r="O28" s="6">
        <x:v>46210</x:v>
      </x:c>
      <x:c r="P28" s="6">
        <x:v>46205</x:v>
      </x:c>
      <x:c r="Q28" s="6">
        <x:v>46231.594225925925</x:v>
      </x:c>
      <x:c r="R28" s="0"/>
      <x:c r="S28" s="6">
        <x:v>46205</x:v>
      </x:c>
      <x:c r="T28" s="6">
        <x:v>46205</x:v>
      </x:c>
      <x:c r="U28" s="6">
        <x:v>46206</x:v>
      </x:c>
      <x:c r="V28" s="6">
        <x:v>46205</x:v>
      </x:c>
      <x:c r="W28" s="6">
        <x:v>46224</x:v>
      </x:c>
      <x:c r="X28" t="str" s="2">
        <x:v>3252489284</x:v>
      </x:c>
      <x:c r="Y28" t="str" s="2">
        <x:v>DVmanagers@outlook.com</x:v>
      </x:c>
      <x:c r="Z28" s="6">
        <x:v>46225.60845177084</x:v>
      </x:c>
      <x:c r="AA28" t="str" s="2">
        <x:v>Jessica Kohanek</x:v>
      </x:c>
      <x:c r="AB28" s="6">
        <x:v>46205.69382422454</x:v>
      </x:c>
      <x:c r="AC28" t="n" s="2">
        <x:v>38232</x:v>
      </x:c>
      <x:c r="AD28" t="str" s="2">
        <x:v>Singlewide</x:v>
      </x:c>
      <x:c r="AE28" s="0"/>
      <x:c r="AF28" s="7">
        <x:v>50255</x:v>
      </x:c>
      <x:c r="AG28" s="7">
        <x:v>50255</x:v>
      </x:c>
      <x:c r="AH28" s="0"/>
      <x:c r="AI28" s="0"/>
      <x:c r="AJ28" s="0"/>
      <x:c r="AK28" s="0"/>
    </x:row>
    <x:row r="29">
      <x:c r="A29" t="str" s="2">
        <x:f>=HYPERLINK("https://rsms.futurehomex.com/lead/38233", "Dolly Varden Management")</x:f>
      </x:c>
      <x:c r="B29" t="n" s="2">
        <x:v>103</x:v>
      </x:c>
      <x:c r="C29" t="str" s="2">
        <x:v/>
      </x:c>
      <x:c r="D29" t="str" s="2">
        <x:f>="CASH, Closed"</x:f>
      </x:c>
      <x:c r="E29" s="0"/>
      <x:c r="F29" t="str" s="2">
        <x:v>Referrals</x:v>
      </x:c>
      <x:c r="G29" t="str" s="2">
        <x:v>Heritage Housing Marble Falls</x:v>
      </x:c>
      <x:c r="H29" t="str" s="2">
        <x:v>Stephen Sanders</x:v>
      </x:c>
      <x:c r="I29" t="str" s="2">
        <x:v>Karol Romero</x:v>
      </x:c>
      <x:c r="J29" s="0"/>
      <x:c r="K29" t="n" s="2">
        <x:v>100</x:v>
      </x:c>
      <x:c r="L29" t="str" s="2">
        <x:v>6.2</x:v>
      </x:c>
      <x:c r="M29" t="str" s="2">
        <x:v>Closed</x:v>
      </x:c>
      <x:c r="N29" t="str" s="2">
        <x:v>Delivered</x:v>
      </x:c>
      <x:c r="O29" s="6">
        <x:v>46210</x:v>
      </x:c>
      <x:c r="P29" s="6">
        <x:v>46205</x:v>
      </x:c>
      <x:c r="Q29" s="6">
        <x:v>46237.65450092593</x:v>
      </x:c>
      <x:c r="R29" s="0"/>
      <x:c r="S29" s="6">
        <x:v>46204</x:v>
      </x:c>
      <x:c r="T29" s="6">
        <x:v>46205</x:v>
      </x:c>
      <x:c r="U29" s="6">
        <x:v>46206</x:v>
      </x:c>
      <x:c r="V29" s="6">
        <x:v>46205</x:v>
      </x:c>
      <x:c r="W29" s="6">
        <x:v>46224</x:v>
      </x:c>
      <x:c r="X29" t="str" s="2">
        <x:v>3252489284</x:v>
      </x:c>
      <x:c r="Y29" t="str" s="2">
        <x:v>DVmanagers@outlook.com</x:v>
      </x:c>
      <x:c r="Z29" s="6">
        <x:v>46224.937411493054</x:v>
      </x:c>
      <x:c r="AA29" t="str" s="2">
        <x:v>Jessica Kohanek</x:v>
      </x:c>
      <x:c r="AB29" s="6">
        <x:v>46205.69421883102</x:v>
      </x:c>
      <x:c r="AC29" t="n" s="2">
        <x:v>38233</x:v>
      </x:c>
      <x:c r="AD29" t="str" s="2">
        <x:v>Singlewide</x:v>
      </x:c>
      <x:c r="AE29" s="0"/>
      <x:c r="AF29" s="7">
        <x:v>50255</x:v>
      </x:c>
      <x:c r="AG29" s="7">
        <x:v>50255</x:v>
      </x:c>
      <x:c r="AH29" s="0"/>
      <x:c r="AI29" s="0"/>
      <x:c r="AJ29" s="0"/>
      <x:c r="AK29" s="0"/>
    </x:row>
    <x:row r="30">
      <x:c r="A30" t="str" s="2">
        <x:f>=HYPERLINK("https://rsms.futurehomex.com/lead/38234", "Francisco Hernandez")</x:f>
      </x:c>
      <x:c r="B30" t="n" s="2">
        <x:v>103</x:v>
      </x:c>
      <x:c r="C30" t="str" s="2">
        <x:v>0/3</x:v>
      </x:c>
      <x:c r="D30" t="str" s="2">
        <x:f>=""</x:f>
      </x:c>
      <x:c r="E30" s="0"/>
      <x:c r="F30" t="str" s="2">
        <x:v>Meta Ads - Forms</x:v>
      </x:c>
      <x:c r="G30" t="str" s="2">
        <x:v>Legacy Housing Corp. DBA Americasa</x:v>
      </x:c>
      <x:c r="H30" t="str" s="2">
        <x:v>Joey Marquez</x:v>
      </x:c>
      <x:c r="I30" s="0"/>
      <x:c r="J30" t="str" s="2">
        <x:v>Rodrigo Ramirez</x:v>
      </x:c>
      <x:c r="K30" t="n" s="2">
        <x:v>5</x:v>
      </x:c>
      <x:c r="L30" t="str" s="2">
        <x:v>1.1</x:v>
      </x:c>
      <x:c r="M30" t="str" s="2">
        <x:v>Tentative</x:v>
      </x:c>
      <x:c r="N30" t="str" s="2">
        <x:v>Deal Created</x:v>
      </x:c>
      <x:c r="O30" s="0"/>
      <x:c r="P30" s="6">
        <x:v>46205</x:v>
      </x:c>
      <x:c r="Q30" s="6">
        <x:v>46281.04668903935</x:v>
      </x:c>
      <x:c r="R30" s="0"/>
      <x:c r="S30" s="0"/>
      <x:c r="T30" s="0"/>
      <x:c r="U30" s="0"/>
      <x:c r="V30" s="0"/>
      <x:c r="W30" s="0"/>
      <x:c r="X30" t="str" s="2">
        <x:v>4199219243</x:v>
      </x:c>
      <x:c r="Y30" t="str" s="2">
        <x:v>chefpelonhtx@gmail.com</x:v>
      </x:c>
      <x:c r="Z30" s="6">
        <x:v>46286.91869332176</x:v>
      </x:c>
      <x:c r="AA30" t="str" s="2">
        <x:v>Joey Marquez</x:v>
      </x:c>
      <x:c r="AB30" s="6">
        <x:v>46205.69461331019</x:v>
      </x:c>
      <x:c r="AC30" t="n" s="2">
        <x:v>38234</x:v>
      </x:c>
      <x:c r="AD30" s="0"/>
      <x:c r="AE30" s="0"/>
      <x:c r="AF30" s="0"/>
      <x:c r="AG30" s="0"/>
      <x:c r="AH30" s="0"/>
      <x:c r="AI30" s="0"/>
      <x:c r="AJ30" s="0"/>
      <x:c r="AK30" s="0"/>
    </x:row>
    <x:row r="31">
      <x:c r="A31" t="str" s="2">
        <x:f>=HYPERLINK("https://rsms.futurehomex.com/lead/38235", "Ruben Jimenez")</x:f>
      </x:c>
      <x:c r="B31" t="n" s="2">
        <x:v>103</x:v>
      </x:c>
      <x:c r="C31" t="str" s="2">
        <x:v/>
      </x:c>
      <x:c r="D31" t="str" s="2">
        <x:f>=""</x:f>
      </x:c>
      <x:c r="E31" s="0"/>
      <x:c r="F31" t="str" s="2">
        <x:v>META Marketplace</x:v>
      </x:c>
      <x:c r="G31" t="str" s="2">
        <x:v>Heritage Housing Mt Pleasant</x:v>
      </x:c>
      <x:c r="H31" t="str" s="2">
        <x:v>Elias Gallardo</x:v>
      </x:c>
      <x:c r="I31" s="0"/>
      <x:c r="J31" t="str" s="2">
        <x:v>Elias Gallardo</x:v>
      </x:c>
      <x:c r="K31" t="n" s="2">
        <x:v>5</x:v>
      </x:c>
      <x:c r="L31" t="str" s="2">
        <x:v>1.1</x:v>
      </x:c>
      <x:c r="M31" t="str" s="2">
        <x:v>Tentative</x:v>
      </x:c>
      <x:c r="N31" t="str" s="2">
        <x:v>Deal Created</x:v>
      </x:c>
      <x:c r="O31" s="0"/>
      <x:c r="P31" s="6">
        <x:v>46205</x:v>
      </x:c>
      <x:c r="Q31" s="6">
        <x:v>46205.71516420139</x:v>
      </x:c>
      <x:c r="R31" s="0"/>
      <x:c r="S31" s="0"/>
      <x:c r="T31" s="0"/>
      <x:c r="U31" s="0"/>
      <x:c r="V31" s="0"/>
      <x:c r="W31" s="0"/>
      <x:c r="X31" t="str" s="2">
        <x:v>4699265087</x:v>
      </x:c>
      <x:c r="Y31" t="str" s="2">
        <x:v>4699265087</x:v>
      </x:c>
      <x:c r="Z31" s="0"/>
      <x:c r="AA31" s="0"/>
      <x:c r="AB31" s="6">
        <x:v>46205.715166979164</x:v>
      </x:c>
      <x:c r="AC31" t="n" s="2">
        <x:v>38235</x:v>
      </x:c>
      <x:c r="AD31" s="0"/>
      <x:c r="AE31" s="0"/>
      <x:c r="AF31" s="0"/>
      <x:c r="AG31" s="0"/>
      <x:c r="AH31" s="0"/>
      <x:c r="AI31" s="0"/>
      <x:c r="AJ31" s="0"/>
      <x:c r="AK31" s="0"/>
    </x:row>
    <x:row r="32">
      <x:c r="A32" t="str" s="2">
        <x:f>=HYPERLINK("https://rsms.futurehomex.com/lead/38236", "Jose Llamas")</x:f>
      </x:c>
      <x:c r="B32" t="n" s="2">
        <x:v>103</x:v>
      </x:c>
      <x:c r="C32" t="str" s="2">
        <x:v>0/2</x:v>
      </x:c>
      <x:c r="D32" t="str" s="2">
        <x:f>=""</x:f>
      </x:c>
      <x:c r="E32" t="str" s="2">
        <x:v>Nallely LLamas</x:v>
      </x:c>
      <x:c r="F32" t="str" s="2">
        <x:v>Walk-in</x:v>
      </x:c>
      <x:c r="G32" t="str" s="2">
        <x:v>Legacy Housing Corp. DBA Americasa</x:v>
      </x:c>
      <x:c r="H32" t="str" s="2">
        <x:v>Angelica Mendoza </x:v>
      </x:c>
      <x:c r="I32" t="str" s="2">
        <x:v>Karol Romero</x:v>
      </x:c>
      <x:c r="J32" t="str" s="2">
        <x:v>Rodrigo Ramirez</x:v>
      </x:c>
      <x:c r="K32" t="n" s="2">
        <x:v>5</x:v>
      </x:c>
      <x:c r="L32" t="str" s="2">
        <x:v>1.1</x:v>
      </x:c>
      <x:c r="M32" t="str" s="2">
        <x:v>Tentative</x:v>
      </x:c>
      <x:c r="N32" t="str" s="2">
        <x:v>Deal Created</x:v>
      </x:c>
      <x:c r="O32" s="0"/>
      <x:c r="P32" s="6">
        <x:v>46205</x:v>
      </x:c>
      <x:c r="Q32" s="6">
        <x:v>46247.86954811343</x:v>
      </x:c>
      <x:c r="R32" s="0"/>
      <x:c r="S32" s="6">
        <x:v>46205</x:v>
      </x:c>
      <x:c r="T32" s="0"/>
      <x:c r="U32" s="0"/>
      <x:c r="V32" s="0"/>
      <x:c r="W32" s="0"/>
      <x:c r="X32" t="str" s="2">
        <x:v>8326569446</x:v>
      </x:c>
      <x:c r="Y32" t="str" s="2">
        <x:v>8326569446</x:v>
      </x:c>
      <x:c r="Z32" s="6">
        <x:v>46247.86991342593</x:v>
      </x:c>
      <x:c r="AA32" t="str" s="2">
        <x:v>Victoria Sanchez</x:v>
      </x:c>
      <x:c r="AB32" s="6">
        <x:v>46205.78296362268</x:v>
      </x:c>
      <x:c r="AC32" t="n" s="2">
        <x:v>38236</x:v>
      </x:c>
      <x:c r="AD32" s="0"/>
      <x:c r="AE32" s="0"/>
      <x:c r="AF32" s="0"/>
      <x:c r="AG32" s="7">
        <x:v>10000</x:v>
      </x:c>
      <x:c r="AH32" s="0"/>
      <x:c r="AI32" s="0"/>
      <x:c r="AJ32" s="0"/>
      <x:c r="AK32" s="0"/>
    </x:row>
    <x:row r="33">
      <x:c r="A33" t="str" s="2">
        <x:f>=HYPERLINK("https://rsms.futurehomex.com/lead/38237", "LaMikeya Jones")</x:f>
      </x:c>
      <x:c r="B33" t="n" s="2">
        <x:v>103</x:v>
      </x:c>
      <x:c r="C33" t="str" s="2">
        <x:v/>
      </x:c>
      <x:c r="D33" t="str" s="2">
        <x:f>=""</x:f>
      </x:c>
      <x:c r="E33" s="0"/>
      <x:c r="F33" t="str" s="2">
        <x:v>Walk-in</x:v>
      </x:c>
      <x:c r="G33" t="str" s="2">
        <x:v>Heritage Housing of Asheboro</x:v>
      </x:c>
      <x:c r="H33" t="str" s="2">
        <x:v>Maria Lopez</x:v>
      </x:c>
      <x:c r="I33" s="0"/>
      <x:c r="J33" s="0"/>
      <x:c r="K33" t="n" s="2">
        <x:v>9</x:v>
      </x:c>
      <x:c r="L33" t="str" s="2">
        <x:v>1.2</x:v>
      </x:c>
      <x:c r="M33" t="str" s="2">
        <x:v>Tentative</x:v>
      </x:c>
      <x:c r="N33" t="str" s="2">
        <x:v>Prospect</x:v>
      </x:c>
      <x:c r="O33" s="0"/>
      <x:c r="P33" s="6">
        <x:v>46205</x:v>
      </x:c>
      <x:c r="Q33" s="6">
        <x:v>46205.78800300926</x:v>
      </x:c>
      <x:c r="R33" s="0"/>
      <x:c r="S33" s="0"/>
      <x:c r="T33" s="0"/>
      <x:c r="U33" s="0"/>
      <x:c r="V33" s="0"/>
      <x:c r="W33" s="0"/>
      <x:c r="X33" t="str" s="2">
        <x:v>3363918910</x:v>
      </x:c>
      <x:c r="Y33" t="str" s="2">
        <x:v>3363918910</x:v>
      </x:c>
      <x:c r="Z33" s="0"/>
      <x:c r="AA33" s="0"/>
      <x:c r="AB33" s="6">
        <x:v>46205.788003587964</x:v>
      </x:c>
      <x:c r="AC33" t="n" s="2">
        <x:v>38237</x:v>
      </x:c>
      <x:c r="AD33" s="0"/>
      <x:c r="AE33" s="0"/>
      <x:c r="AF33" s="0"/>
      <x:c r="AG33" s="0"/>
      <x:c r="AH33" s="0"/>
      <x:c r="AI33" s="0"/>
      <x:c r="AJ33" s="0"/>
      <x:c r="AK33" s="0"/>
    </x:row>
    <x:row r="34">
      <x:c r="A34" t="str" s="2">
        <x:f>=HYPERLINK("https://rsms.futurehomex.com/lead/38238", "Jamie Edwards")</x:f>
      </x:c>
      <x:c r="B34" t="n" s="2">
        <x:v>103</x:v>
      </x:c>
      <x:c r="C34" t="str" s="2">
        <x:v>0/6</x:v>
      </x:c>
      <x:c r="D34" t="str" s="2">
        <x:f>=""</x:f>
      </x:c>
      <x:c r="E34" s="0"/>
      <x:c r="F34" t="str" s="2">
        <x:v>Facebook Messenger</x:v>
      </x:c>
      <x:c r="G34" t="str" s="2">
        <x:v>Heritage Housing of Oklahoma City</x:v>
      </x:c>
      <x:c r="H34" t="str" s="2">
        <x:v>Trey Rixleben</x:v>
      </x:c>
      <x:c r="I34" s="0"/>
      <x:c r="J34" t="str" s="2">
        <x:v>Steve Castell</x:v>
      </x:c>
      <x:c r="K34" t="n" s="2">
        <x:v>5</x:v>
      </x:c>
      <x:c r="L34" t="str" s="2">
        <x:v>1.1</x:v>
      </x:c>
      <x:c r="M34" t="str" s="2">
        <x:v>Dead</x:v>
      </x:c>
      <x:c r="N34" t="str" s="2">
        <x:v>Deal Created</x:v>
      </x:c>
      <x:c r="O34" s="0"/>
      <x:c r="P34" s="6">
        <x:v>46205</x:v>
      </x:c>
      <x:c r="Q34" s="6">
        <x:v>46205.7919878125</x:v>
      </x:c>
      <x:c r="R34" t="str" s="2">
        <x:v>Steve Castell</x:v>
      </x:c>
      <x:c r="S34" s="6">
        <x:v>46205</x:v>
      </x:c>
      <x:c r="T34" s="0"/>
      <x:c r="U34" s="0"/>
      <x:c r="V34" s="0"/>
      <x:c r="W34" s="0"/>
      <x:c r="X34" t="str" s="2">
        <x:v>4055414126</x:v>
      </x:c>
      <x:c r="Y34" t="str" s="2">
        <x:v/>
      </x:c>
      <x:c r="Z34" s="6">
        <x:v>46261.98762893519</x:v>
      </x:c>
      <x:c r="AA34" t="str" s="2">
        <x:v>Steve Castell</x:v>
      </x:c>
      <x:c r="AB34" s="6">
        <x:v>46209.92569181713</x:v>
      </x:c>
      <x:c r="AC34" t="n" s="2">
        <x:v>38238</x:v>
      </x:c>
      <x:c r="AD34" s="0"/>
      <x:c r="AE34" s="0"/>
      <x:c r="AF34" s="0"/>
      <x:c r="AG34" s="0"/>
      <x:c r="AH34" s="0"/>
      <x:c r="AI34" s="0"/>
      <x:c r="AJ34" s="0"/>
      <x:c r="AK34" s="0"/>
    </x:row>
    <x:row r="35">
      <x:c r="A35" t="str" s="2">
        <x:f>=HYPERLINK("https://rsms.futurehomex.com/lead/38239", "Tanya Turner")</x:f>
      </x:c>
      <x:c r="B35" t="n" s="2">
        <x:v>103</x:v>
      </x:c>
      <x:c r="C35" t="str" s="2">
        <x:v>1/1</x:v>
      </x:c>
      <x:c r="D35" t="str" s="2">
        <x:f>=""</x:f>
      </x:c>
      <x:c r="E35" s="0"/>
      <x:c r="F35" t="str" s="2">
        <x:v>HH - Tulsa</x:v>
      </x:c>
      <x:c r="G35" t="str" s="2">
        <x:v>Heritage Housing of Tulsa</x:v>
      </x:c>
      <x:c r="H35" t="str" s="2">
        <x:v>Brittany Cobb</x:v>
      </x:c>
      <x:c r="I35" t="str" s="2">
        <x:v>Karol Romero</x:v>
      </x:c>
      <x:c r="J35" t="str" s="2">
        <x:v>Brittany Cobb</x:v>
      </x:c>
      <x:c r="K35" t="n" s="2">
        <x:v>5</x:v>
      </x:c>
      <x:c r="L35" t="str" s="2">
        <x:v>1.1</x:v>
      </x:c>
      <x:c r="M35" t="str" s="2">
        <x:v>Dead</x:v>
      </x:c>
      <x:c r="N35" t="str" s="2">
        <x:v>Deal Created</x:v>
      </x:c>
      <x:c r="O35" s="0"/>
      <x:c r="P35" s="6">
        <x:v>46205</x:v>
      </x:c>
      <x:c r="Q35" s="6">
        <x:v>46205.80063773148</x:v>
      </x:c>
      <x:c r="R35" s="0"/>
      <x:c r="S35" s="0"/>
      <x:c r="T35" s="0"/>
      <x:c r="U35" s="0"/>
      <x:c r="V35" s="0"/>
      <x:c r="W35" s="0"/>
      <x:c r="X35" t="str" s="2">
        <x:v>9189519390</x:v>
      </x:c>
      <x:c r="Y35" t="str" s="2">
        <x:v>9189519390</x:v>
      </x:c>
      <x:c r="Z35" s="6">
        <x:v>46205.801116979164</x:v>
      </x:c>
      <x:c r="AA35" t="str" s="2">
        <x:v>Brittany Cobb</x:v>
      </x:c>
      <x:c r="AB35" s="6">
        <x:v>46205.80063912037</x:v>
      </x:c>
      <x:c r="AC35" t="n" s="2">
        <x:v>38239</x:v>
      </x:c>
      <x:c r="AD35" s="0"/>
      <x:c r="AE35" s="0"/>
      <x:c r="AF35" s="0"/>
      <x:c r="AG35" s="0"/>
      <x:c r="AH35" s="0"/>
      <x:c r="AI35" s="0"/>
      <x:c r="AJ35" s="0"/>
      <x:c r="AK35" s="0"/>
    </x:row>
    <x:row r="36">
      <x:c r="A36" t="str" s="2">
        <x:f>=HYPERLINK("https://rsms.futurehomex.com/lead/38240", "liv smith")</x:f>
      </x:c>
      <x:c r="B36" t="n" s="2">
        <x:v>103</x:v>
      </x:c>
      <x:c r="C36" t="str" s="2">
        <x:v>0/2</x:v>
      </x:c>
      <x:c r="D36" t="str" s="2">
        <x:f>=""</x:f>
      </x:c>
      <x:c r="E36" s="0"/>
      <x:c r="F36" t="str" s="2">
        <x:v>Meta Ads - Forms</x:v>
      </x:c>
      <x:c r="G36" t="str" s="2">
        <x:v>Heritage Housing of Jennings</x:v>
      </x:c>
      <x:c r="H36" t="str" s="2">
        <x:v>Mervin Leslie Smith</x:v>
      </x:c>
      <x:c r="I36" s="0"/>
      <x:c r="J36" t="str" s="2">
        <x:v>Mervin Leslie Smith</x:v>
      </x:c>
      <x:c r="K36" t="n" s="2">
        <x:v>5</x:v>
      </x:c>
      <x:c r="L36" t="str" s="2">
        <x:v>1.1</x:v>
      </x:c>
      <x:c r="M36" t="str" s="2">
        <x:v>Dead</x:v>
      </x:c>
      <x:c r="N36" t="str" s="2">
        <x:v>Deal Created</x:v>
      </x:c>
      <x:c r="O36" s="0"/>
      <x:c r="P36" s="6">
        <x:v>46205</x:v>
      </x:c>
      <x:c r="Q36" s="6">
        <x:v>46205.80429100694</x:v>
      </x:c>
      <x:c r="R36" s="0"/>
      <x:c r="S36" s="0"/>
      <x:c r="T36" s="0"/>
      <x:c r="U36" s="0"/>
      <x:c r="V36" s="0"/>
      <x:c r="W36" s="0"/>
      <x:c r="X36" t="str" s="2">
        <x:v>3372909121</x:v>
      </x:c>
      <x:c r="Y36" t="str" s="2">
        <x:v>richardolivia955@gmail.com</x:v>
      </x:c>
      <x:c r="Z36" s="6">
        <x:v>46219.81329039352</x:v>
      </x:c>
      <x:c r="AA36" t="str" s="2">
        <x:v>Mervin Leslie Smith</x:v>
      </x:c>
      <x:c r="AB36" s="6">
        <x:v>46205.80429166667</x:v>
      </x:c>
      <x:c r="AC36" t="n" s="2">
        <x:v>38240</x:v>
      </x:c>
      <x:c r="AD36" s="0"/>
      <x:c r="AE36" s="0"/>
      <x:c r="AF36" s="0"/>
      <x:c r="AG36" s="0"/>
      <x:c r="AH36" s="0"/>
      <x:c r="AI36" s="0"/>
      <x:c r="AJ36" s="0"/>
      <x:c r="AK36" s="0"/>
    </x:row>
    <x:row r="37">
      <x:c r="A37" t="str" s="2">
        <x:f>=HYPERLINK("https://rsms.futurehomex.com/lead/38241", "Arelis Planes")</x:f>
      </x:c>
      <x:c r="B37" t="n" s="2">
        <x:v>103</x:v>
      </x:c>
      <x:c r="C37" t="str" s="2">
        <x:v>0/4</x:v>
      </x:c>
      <x:c r="D37" t="str" s="2">
        <x:f>=""</x:f>
      </x:c>
      <x:c r="E37" t="str" s="2">
        <x:v>Orlando Misiara</x:v>
      </x:c>
      <x:c r="F37" t="str" s="2">
        <x:v>Website</x:v>
      </x:c>
      <x:c r="G37" t="str" s="2">
        <x:v>Legacy Housing Corp. DBA Americasa</x:v>
      </x:c>
      <x:c r="H37" t="str" s="2">
        <x:v>Joey Marquez</x:v>
      </x:c>
      <x:c r="I37" t="str" s="2">
        <x:v>Karol Romero</x:v>
      </x:c>
      <x:c r="J37" t="str" s="2">
        <x:v>Rodrigo Ramirez</x:v>
      </x:c>
      <x:c r="K37" t="n" s="2">
        <x:v>5</x:v>
      </x:c>
      <x:c r="L37" t="str" s="2">
        <x:v>1.1</x:v>
      </x:c>
      <x:c r="M37" t="str" s="2">
        <x:v>Inactive</x:v>
      </x:c>
      <x:c r="N37" t="str" s="2">
        <x:v>Prospect</x:v>
      </x:c>
      <x:c r="O37" s="0"/>
      <x:c r="P37" s="6">
        <x:v>46205</x:v>
      </x:c>
      <x:c r="Q37" s="6">
        <x:v>46258.886426192126</x:v>
      </x:c>
      <x:c r="R37" s="0"/>
      <x:c r="S37" s="6">
        <x:v>46214</x:v>
      </x:c>
      <x:c r="T37" s="0"/>
      <x:c r="U37" s="0"/>
      <x:c r="V37" s="0"/>
      <x:c r="W37" s="0"/>
      <x:c r="X37" t="str" s="2">
        <x:v>8328725920</x:v>
      </x:c>
      <x:c r="Y37" t="str" s="2">
        <x:v>arelisplanes@gmail.com</x:v>
      </x:c>
      <x:c r="Z37" s="6">
        <x:v>46298.85526956018</x:v>
      </x:c>
      <x:c r="AA37" t="str" s="2">
        <x:v>Joey Marquez</x:v>
      </x:c>
      <x:c r="AB37" s="6">
        <x:v>46205.83045648148</x:v>
      </x:c>
      <x:c r="AC37" t="n" s="2">
        <x:v>38241</x:v>
      </x:c>
      <x:c r="AD37" s="0"/>
      <x:c r="AE37" s="0"/>
      <x:c r="AF37" s="0"/>
      <x:c r="AG37" s="7">
        <x:v>0</x:v>
      </x:c>
      <x:c r="AH37" s="0"/>
      <x:c r="AI37" s="0"/>
      <x:c r="AJ37" s="0"/>
      <x:c r="AK37" s="0"/>
    </x:row>
    <x:row r="38">
      <x:c r="A38" t="str" s="2">
        <x:f>=HYPERLINK("https://rsms.futurehomex.com/lead/38242", "Marylou Ingram")</x:f>
      </x:c>
      <x:c r="B38" t="n" s="2">
        <x:v>103</x:v>
      </x:c>
      <x:c r="C38" t="str" s="2">
        <x:v>1/1</x:v>
      </x:c>
      <x:c r="D38" t="str" s="2">
        <x:f>=""</x:f>
      </x:c>
      <x:c r="E38" s="0"/>
      <x:c r="F38" t="str" s="2">
        <x:v>Meta Ads - Forms</x:v>
      </x:c>
      <x:c r="G38" t="str" s="2">
        <x:v>Heritage Housing of Oklahoma City</x:v>
      </x:c>
      <x:c r="H38" t="str" s="2">
        <x:v>Trey Rixleben</x:v>
      </x:c>
      <x:c r="I38" t="str" s="2">
        <x:v>Karol Romero</x:v>
      </x:c>
      <x:c r="J38" t="str" s="2">
        <x:v>Trey Rixleben</x:v>
      </x:c>
      <x:c r="K38" t="n" s="2">
        <x:v>5</x:v>
      </x:c>
      <x:c r="L38" t="str" s="2">
        <x:v>1.1</x:v>
      </x:c>
      <x:c r="M38" t="str" s="2">
        <x:v>Tentative</x:v>
      </x:c>
      <x:c r="N38" t="str" s="2">
        <x:v>Deal Created</x:v>
      </x:c>
      <x:c r="O38" s="0"/>
      <x:c r="P38" s="6">
        <x:v>46205</x:v>
      </x:c>
      <x:c r="Q38" s="6">
        <x:v>46219.576943831016</x:v>
      </x:c>
      <x:c r="R38" s="0"/>
      <x:c r="S38" s="0"/>
      <x:c r="T38" s="0"/>
      <x:c r="U38" s="0"/>
      <x:c r="V38" s="0"/>
      <x:c r="W38" s="0"/>
      <x:c r="X38" t="str" s="2">
        <x:v>5174749826</x:v>
      </x:c>
      <x:c r="Y38" t="str" s="2">
        <x:v>Ingrammary523@gmail.com</x:v>
      </x:c>
      <x:c r="Z38" s="6">
        <x:v>46219.57828649306</x:v>
      </x:c>
      <x:c r="AA38" t="str" s="2">
        <x:v>Trey Rixleben</x:v>
      </x:c>
      <x:c r="AB38" s="6">
        <x:v>46205.86138371528</x:v>
      </x:c>
      <x:c r="AC38" t="n" s="2">
        <x:v>38242</x:v>
      </x:c>
      <x:c r="AD38" s="0"/>
      <x:c r="AE38" s="0"/>
      <x:c r="AF38" s="0"/>
      <x:c r="AG38" s="0"/>
      <x:c r="AH38" s="0"/>
      <x:c r="AI38" s="0"/>
      <x:c r="AJ38" s="0"/>
      <x:c r="AK38" s="0"/>
    </x:row>
    <x:row r="39">
      <x:c r="A39" t="str" s="2">
        <x:f>=HYPERLINK("https://rsms.futurehomex.com/lead/38243", "R Mitchell Reville")</x:f>
      </x:c>
      <x:c r="B39" t="n" s="2">
        <x:v>103</x:v>
      </x:c>
      <x:c r="C39" t="str" s="2">
        <x:v/>
      </x:c>
      <x:c r="D39" t="str" s="2">
        <x:f>=""</x:f>
      </x:c>
      <x:c r="E39" s="0"/>
      <x:c r="F39" t="str" s="2">
        <x:v>Meta Ads - Forms</x:v>
      </x:c>
      <x:c r="G39" t="str" s="2">
        <x:v>Heritage Housing of Augusta</x:v>
      </x:c>
      <x:c r="H39" t="str" s="2">
        <x:v>Brian Amato</x:v>
      </x:c>
      <x:c r="I39" t="str" s="2">
        <x:v>Karol Romero</x:v>
      </x:c>
      <x:c r="J39" s="0"/>
      <x:c r="K39" t="n" s="2">
        <x:v>5</x:v>
      </x:c>
      <x:c r="L39" t="str" s="2">
        <x:v>1.1</x:v>
      </x:c>
      <x:c r="M39" t="str" s="2">
        <x:v>Dead</x:v>
      </x:c>
      <x:c r="N39" t="str" s="2">
        <x:v>Prospect</x:v>
      </x:c>
      <x:c r="O39" s="0"/>
      <x:c r="P39" s="6">
        <x:v>46205</x:v>
      </x:c>
      <x:c r="Q39" s="6">
        <x:v>46206.77840783565</x:v>
      </x:c>
      <x:c r="R39" s="0"/>
      <x:c r="S39" s="0"/>
      <x:c r="T39" s="0"/>
      <x:c r="U39" s="0"/>
      <x:c r="V39" s="0"/>
      <x:c r="W39" s="0"/>
      <x:c r="X39" t="str" s="2">
        <x:v>7064666450</x:v>
      </x:c>
      <x:c r="Y39" t="str" s="2">
        <x:v>pickledog04@gmail.com</x:v>
      </x:c>
      <x:c r="Z39" s="6">
        <x:v>46206.77864016204</x:v>
      </x:c>
      <x:c r="AA39" t="str" s="2">
        <x:v>LeeAnne Newsome</x:v>
      </x:c>
      <x:c r="AB39" s="6">
        <x:v>46205.88974008102</x:v>
      </x:c>
      <x:c r="AC39" t="n" s="2">
        <x:v>38243</x:v>
      </x:c>
      <x:c r="AD39" s="0"/>
      <x:c r="AE39" s="0"/>
      <x:c r="AF39" s="0"/>
      <x:c r="AG39" s="0"/>
      <x:c r="AH39" s="7">
        <x:v>89872</x:v>
      </x:c>
      <x:c r="AI39" s="0"/>
      <x:c r="AJ39" s="0"/>
      <x:c r="AK39" s="0"/>
    </x:row>
    <x:row r="40">
      <x:c r="A40" t="str" s="2">
        <x:f>=HYPERLINK("https://rsms.futurehomex.com/lead/38244", "R Mitchell Reville")</x:f>
      </x:c>
      <x:c r="B40" t="n" s="2">
        <x:v>103</x:v>
      </x:c>
      <x:c r="C40" t="str" s="2">
        <x:v/>
      </x:c>
      <x:c r="D40" t="str" s="2">
        <x:f>="CASH"</x:f>
      </x:c>
      <x:c r="E40" s="0"/>
      <x:c r="F40" t="str" s="2">
        <x:v>Meta Ads - Forms</x:v>
      </x:c>
      <x:c r="G40" t="str" s="2">
        <x:v>Heritage Housing of Augusta</x:v>
      </x:c>
      <x:c r="H40" t="str" s="2">
        <x:v>Brian Amato</x:v>
      </x:c>
      <x:c r="I40" t="str" s="2">
        <x:v>Karol Romero</x:v>
      </x:c>
      <x:c r="J40" s="0"/>
      <x:c r="K40" t="n" s="2">
        <x:v>100</x:v>
      </x:c>
      <x:c r="L40" t="str" s="2">
        <x:v>6.2</x:v>
      </x:c>
      <x:c r="M40" t="str" s="2">
        <x:v>Closed</x:v>
      </x:c>
      <x:c r="N40" t="str" s="2">
        <x:v>Delivered</x:v>
      </x:c>
      <x:c r="O40" s="6">
        <x:v>46216</x:v>
      </x:c>
      <x:c r="P40" s="6">
        <x:v>46205</x:v>
      </x:c>
      <x:c r="Q40" s="6">
        <x:v>46225.57933877315</x:v>
      </x:c>
      <x:c r="R40" s="0"/>
      <x:c r="S40" s="6">
        <x:v>46208</x:v>
      </x:c>
      <x:c r="T40" s="6">
        <x:v>46208</x:v>
      </x:c>
      <x:c r="U40" s="6">
        <x:v>46211</x:v>
      </x:c>
      <x:c r="V40" s="6">
        <x:v>46212</x:v>
      </x:c>
      <x:c r="W40" s="6">
        <x:v>46230</x:v>
      </x:c>
      <x:c r="X40" t="str" s="2">
        <x:v>7064666450</x:v>
      </x:c>
      <x:c r="Y40" t="str" s="2">
        <x:v>pickledog04@gmail.com</x:v>
      </x:c>
      <x:c r="Z40" s="6">
        <x:v>46225.5418783912</x:v>
      </x:c>
      <x:c r="AA40" t="str" s="2">
        <x:v>Dane Lara</x:v>
      </x:c>
      <x:c r="AB40" s="6">
        <x:v>46205.891127118055</x:v>
      </x:c>
      <x:c r="AC40" t="n" s="2">
        <x:v>38244</x:v>
      </x:c>
      <x:c r="AD40" t="str" s="2">
        <x:v>Singlewide</x:v>
      </x:c>
      <x:c r="AE40" s="0"/>
      <x:c r="AF40" s="0"/>
      <x:c r="AG40" s="7">
        <x:v>89872</x:v>
      </x:c>
      <x:c r="AH40" s="7">
        <x:v>89872</x:v>
      </x:c>
      <x:c r="AI40" s="0"/>
      <x:c r="AJ40" s="0"/>
      <x:c r="AK40" s="0"/>
    </x:row>
    <x:row r="41">
      <x:c r="A41" t="str" s="2">
        <x:f>=HYPERLINK("https://rsms.futurehomex.com/lead/38246", "Janeth Mardtinez")</x:f>
      </x:c>
      <x:c r="B41" t="n" s="2">
        <x:v>103</x:v>
      </x:c>
      <x:c r="C41" t="str" s="2">
        <x:v/>
      </x:c>
      <x:c r="D41" t="str" s="2">
        <x:f>=""</x:f>
      </x:c>
      <x:c r="E41" s="0"/>
      <x:c r="F41" t="str" s="2">
        <x:v>META Marketplace</x:v>
      </x:c>
      <x:c r="G41" t="str" s="2">
        <x:v>Heritage Housing Mt Pleasant</x:v>
      </x:c>
      <x:c r="H41" t="str" s="2">
        <x:v>Elias Gallardo</x:v>
      </x:c>
      <x:c r="I41" s="0"/>
      <x:c r="J41" t="str" s="2">
        <x:v>Elias Gallardo</x:v>
      </x:c>
      <x:c r="K41" t="n" s="2">
        <x:v>5</x:v>
      </x:c>
      <x:c r="L41" t="str" s="2">
        <x:v>1.1</x:v>
      </x:c>
      <x:c r="M41" t="str" s="2">
        <x:v>Tentative</x:v>
      </x:c>
      <x:c r="N41" t="str" s="2">
        <x:v>Deal Created</x:v>
      </x:c>
      <x:c r="O41" s="0"/>
      <x:c r="P41" s="6">
        <x:v>46205</x:v>
      </x:c>
      <x:c r="Q41" s="6">
        <x:v>46205.92436585648</x:v>
      </x:c>
      <x:c r="R41" s="0"/>
      <x:c r="S41" s="0"/>
      <x:c r="T41" s="0"/>
      <x:c r="U41" s="0"/>
      <x:c r="V41" s="0"/>
      <x:c r="W41" s="0"/>
      <x:c r="X41" t="str" s="2">
        <x:v>8702796399</x:v>
      </x:c>
      <x:c r="Y41" t="str" s="2">
        <x:v>8702796399</x:v>
      </x:c>
      <x:c r="Z41" s="0"/>
      <x:c r="AA41" s="0"/>
      <x:c r="AB41" s="6">
        <x:v>46209.622091516205</x:v>
      </x:c>
      <x:c r="AC41" t="n" s="2">
        <x:v>38246</x:v>
      </x:c>
      <x:c r="AD41" s="0"/>
      <x:c r="AE41" s="0"/>
      <x:c r="AF41" s="0"/>
      <x:c r="AG41" s="0"/>
      <x:c r="AH41" s="0"/>
      <x:c r="AI41" s="0"/>
      <x:c r="AJ41" s="0"/>
      <x:c r="AK41" s="0"/>
    </x:row>
    <x:row r="42">
      <x:c r="A42" t="str" s="2">
        <x:f>=HYPERLINK("https://rsms.futurehomex.com/lead/38247", "Nichole Roesha Harrinson")</x:f>
      </x:c>
      <x:c r="B42" t="n" s="2">
        <x:v>103</x:v>
      </x:c>
      <x:c r="C42" t="str" s="2">
        <x:v>0/1</x:v>
      </x:c>
      <x:c r="D42" t="str" s="2">
        <x:f>=""</x:f>
      </x:c>
      <x:c r="E42" s="0"/>
      <x:c r="F42" t="str" s="2">
        <x:v>Terrenos Houston</x:v>
      </x:c>
      <x:c r="G42" t="str" s="2">
        <x:v>Legacy Housing Corp. DBA Americasa</x:v>
      </x:c>
      <x:c r="H42" t="str" s="2">
        <x:v>Joey Marquez</x:v>
      </x:c>
      <x:c r="I42" s="0"/>
      <x:c r="J42" t="str" s="2">
        <x:v>Rodrigo Ramirez</x:v>
      </x:c>
      <x:c r="K42" t="n" s="2">
        <x:v>5</x:v>
      </x:c>
      <x:c r="L42" t="str" s="2">
        <x:v>1.1</x:v>
      </x:c>
      <x:c r="M42" t="str" s="2">
        <x:v>Tentative</x:v>
      </x:c>
      <x:c r="N42" t="str" s="2">
        <x:v>Deal Created</x:v>
      </x:c>
      <x:c r="O42" s="0"/>
      <x:c r="P42" s="6">
        <x:v>46205</x:v>
      </x:c>
      <x:c r="Q42" s="6">
        <x:v>46245.878301157405</x:v>
      </x:c>
      <x:c r="R42" s="0"/>
      <x:c r="S42" s="0"/>
      <x:c r="T42" s="0"/>
      <x:c r="U42" s="0"/>
      <x:c r="V42" s="0"/>
      <x:c r="W42" s="0"/>
      <x:c r="X42" t="str" s="2">
        <x:v>8323960016</x:v>
      </x:c>
      <x:c r="Y42" t="str" s="2">
        <x:v>pumpkinlove@myyahoo.com</x:v>
      </x:c>
      <x:c r="Z42" s="6">
        <x:v>46266.032608912035</x:v>
      </x:c>
      <x:c r="AA42" t="str" s="2">
        <x:v>Victoria Sanchez</x:v>
      </x:c>
      <x:c r="AB42" s="6">
        <x:v>46205.92937824074</x:v>
      </x:c>
      <x:c r="AC42" t="n" s="2">
        <x:v>38247</x:v>
      </x:c>
      <x:c r="AD42" s="0"/>
      <x:c r="AE42" s="0"/>
      <x:c r="AF42" s="0"/>
      <x:c r="AG42" s="0"/>
      <x:c r="AH42" s="0"/>
      <x:c r="AI42" s="0"/>
      <x:c r="AJ42" s="0"/>
      <x:c r="AK42" s="0"/>
    </x:row>
    <x:row r="43">
      <x:c r="A43" t="str" s="2">
        <x:f>=HYPERLINK("https://rsms.futurehomex.com/lead/38248", "April Mosier")</x:f>
      </x:c>
      <x:c r="B43" t="n" s="2">
        <x:v>102</x:v>
      </x:c>
      <x:c r="C43" t="str" s="2">
        <x:v>0/2</x:v>
      </x:c>
      <x:c r="D43" t="str" s="2">
        <x:f>="Single"</x:f>
      </x:c>
      <x:c r="E43" s="0"/>
      <x:c r="F43" t="str" s="2">
        <x:v>Financing Form</x:v>
      </x:c>
      <x:c r="G43" t="str" s="2">
        <x:v>Heritage Housing Gainesville</x:v>
      </x:c>
      <x:c r="H43" t="str" s="2">
        <x:v>Kelly Ford</x:v>
      </x:c>
      <x:c r="I43" s="0"/>
      <x:c r="J43" t="str" s="2">
        <x:v>Kelly Ford</x:v>
      </x:c>
      <x:c r="K43" t="n" s="2">
        <x:v>38</x:v>
      </x:c>
      <x:c r="L43" t="str" s="2">
        <x:v>3.2</x:v>
      </x:c>
      <x:c r="M43" t="str" s="2">
        <x:v>Active</x:v>
      </x:c>
      <x:c r="N43" t="str" s="2">
        <x:v>Application</x:v>
      </x:c>
      <x:c r="O43" s="6">
        <x:v>46373</x:v>
      </x:c>
      <x:c r="P43" s="6">
        <x:v>46206</x:v>
      </x:c>
      <x:c r="Q43" s="6">
        <x:v>46206.9182315625</x:v>
      </x:c>
      <x:c r="R43" s="0"/>
      <x:c r="S43" s="0"/>
      <x:c r="T43" s="6">
        <x:v>46210</x:v>
      </x:c>
      <x:c r="U43" s="0"/>
      <x:c r="V43" s="0"/>
      <x:c r="W43" s="0"/>
      <x:c r="X43" t="str" s="2">
        <x:v>3462053007</x:v>
      </x:c>
      <x:c r="Y43" t="str" s="2">
        <x:v>ahalsey17@icloud.com</x:v>
      </x:c>
      <x:c r="Z43" s="6">
        <x:v>46214.78066894676</x:v>
      </x:c>
      <x:c r="AA43" t="str" s="2">
        <x:v>Chris Michniacki</x:v>
      </x:c>
      <x:c r="AB43" s="6">
        <x:v>46206.53472804398</x:v>
      </x:c>
      <x:c r="AC43" t="n" s="2">
        <x:v>38248</x:v>
      </x:c>
      <x:c r="AD43" t="str" s="2">
        <x:v>Singlewide</x:v>
      </x:c>
      <x:c r="AE43" s="0"/>
      <x:c r="AF43" s="0"/>
      <x:c r="AG43" s="0"/>
      <x:c r="AH43" s="0"/>
      <x:c r="AI43" s="0"/>
      <x:c r="AJ43" s="0"/>
      <x:c r="AK43" s="0"/>
    </x:row>
    <x:row r="44">
      <x:c r="A44" t="str" s="2">
        <x:f>=HYPERLINK("https://rsms.futurehomex.com/lead/38249", "Gloria Rodas")</x:f>
      </x:c>
      <x:c r="B44" t="n" s="2">
        <x:v>102</x:v>
      </x:c>
      <x:c r="C44" t="str" s="2">
        <x:v/>
      </x:c>
      <x:c r="D44" t="str" s="2">
        <x:f>=""</x:f>
      </x:c>
      <x:c r="E44" s="0"/>
      <x:c r="F44" t="str" s="2">
        <x:v>Meta Marketplace</x:v>
      </x:c>
      <x:c r="G44" t="str" s="2">
        <x:v>Heritage Housing of Asheboro</x:v>
      </x:c>
      <x:c r="H44" t="str" s="2">
        <x:v>Maria Lopez</x:v>
      </x:c>
      <x:c r="I44" s="0"/>
      <x:c r="J44" s="0"/>
      <x:c r="K44" t="n" s="2">
        <x:v>5</x:v>
      </x:c>
      <x:c r="L44" t="str" s="2">
        <x:v>1.1</x:v>
      </x:c>
      <x:c r="M44" t="str" s="2">
        <x:v>Tentative</x:v>
      </x:c>
      <x:c r="N44" t="str" s="2">
        <x:v>Prospect</x:v>
      </x:c>
      <x:c r="O44" s="0"/>
      <x:c r="P44" s="6">
        <x:v>46206</x:v>
      </x:c>
      <x:c r="Q44" s="6">
        <x:v>46206.604028738424</x:v>
      </x:c>
      <x:c r="R44" s="0"/>
      <x:c r="S44" s="0"/>
      <x:c r="T44" s="0"/>
      <x:c r="U44" s="0"/>
      <x:c r="V44" s="0"/>
      <x:c r="W44" s="0"/>
      <x:c r="X44" t="str" s="2">
        <x:v>3364253255</x:v>
      </x:c>
      <x:c r="Y44" t="str" s="2">
        <x:v>estela_cea9@hotmail.com</x:v>
      </x:c>
      <x:c r="Z44" s="0"/>
      <x:c r="AA44" s="0"/>
      <x:c r="AB44" s="6">
        <x:v>46206.60402943287</x:v>
      </x:c>
      <x:c r="AC44" t="n" s="2">
        <x:v>38249</x:v>
      </x:c>
      <x:c r="AD44" s="0"/>
      <x:c r="AE44" s="0"/>
      <x:c r="AF44" s="0"/>
      <x:c r="AG44" s="0"/>
      <x:c r="AH44" s="0"/>
      <x:c r="AI44" s="0"/>
      <x:c r="AJ44" s="0"/>
      <x:c r="AK44" s="0"/>
    </x:row>
    <x:row r="45">
      <x:c r="A45" t="str" s="2">
        <x:f>=HYPERLINK("https://rsms.futurehomex.com/lead/38250", "Paul Greer")</x:f>
      </x:c>
      <x:c r="B45" t="n" s="2">
        <x:v>102</x:v>
      </x:c>
      <x:c r="C45" t="str" s="2">
        <x:v>0/5</x:v>
      </x:c>
      <x:c r="D45" t="str" s="2">
        <x:f>=""</x:f>
      </x:c>
      <x:c r="E45" s="0"/>
      <x:c r="F45" t="str" s="2">
        <x:v>Facebook Messenger</x:v>
      </x:c>
      <x:c r="G45" t="str" s="2">
        <x:v>Heritage Housing of Greenville</x:v>
      </x:c>
      <x:c r="H45" t="str" s="2">
        <x:v>Greg Christman</x:v>
      </x:c>
      <x:c r="I45" s="0"/>
      <x:c r="J45" t="str" s="2">
        <x:v>Greg Christman</x:v>
      </x:c>
      <x:c r="K45" t="n" s="2">
        <x:v>5</x:v>
      </x:c>
      <x:c r="L45" t="str" s="2">
        <x:v>1.1</x:v>
      </x:c>
      <x:c r="M45" t="str" s="2">
        <x:v>Inactive</x:v>
      </x:c>
      <x:c r="N45" t="str" s="2">
        <x:v>Prospect</x:v>
      </x:c>
      <x:c r="O45" s="0"/>
      <x:c r="P45" s="6">
        <x:v>46206</x:v>
      </x:c>
      <x:c r="Q45" s="6">
        <x:v>46206.617323645834</x:v>
      </x:c>
      <x:c r="R45" s="0"/>
      <x:c r="S45" s="6">
        <x:v>46202</x:v>
      </x:c>
      <x:c r="T45" s="0"/>
      <x:c r="U45" s="0"/>
      <x:c r="V45" s="0"/>
      <x:c r="W45" s="0"/>
      <x:c r="X45" t="str" s="2">
        <x:v>3182359991</x:v>
      </x:c>
      <x:c r="Y45" t="str" s="2">
        <x:v>3182359991</x:v>
      </x:c>
      <x:c r="Z45" s="6">
        <x:v>46255.66145211805</x:v>
      </x:c>
      <x:c r="AA45" t="str" s="2">
        <x:v>Greg Christman</x:v>
      </x:c>
      <x:c r="AB45" s="6">
        <x:v>46206.617328506945</x:v>
      </x:c>
      <x:c r="AC45" t="n" s="2">
        <x:v>38250</x:v>
      </x:c>
      <x:c r="AD45" s="0"/>
      <x:c r="AE45" s="0"/>
      <x:c r="AF45" s="0"/>
      <x:c r="AG45" s="0"/>
      <x:c r="AH45" s="0"/>
      <x:c r="AI45" s="0"/>
      <x:c r="AJ45" s="0"/>
      <x:c r="AK45" s="0"/>
    </x:row>
    <x:row r="46">
      <x:c r="A46" t="str" s="2">
        <x:f>=HYPERLINK("https://rsms.futurehomex.com/lead/38251", "Richard Tilford")</x:f>
      </x:c>
      <x:c r="B46" t="n" s="2">
        <x:v>102</x:v>
      </x:c>
      <x:c r="C46" t="str" s="2">
        <x:v>0/1</x:v>
      </x:c>
      <x:c r="D46" t="str" s="2">
        <x:f>=""</x:f>
      </x:c>
      <x:c r="E46" s="0"/>
      <x:c r="F46" t="str" s="2">
        <x:v>Meta Ads - Messenger</x:v>
      </x:c>
      <x:c r="G46" t="str" s="2">
        <x:v>Heritage Housing of Athens</x:v>
      </x:c>
      <x:c r="H46" t="str" s="2">
        <x:v>Nathan Bishop</x:v>
      </x:c>
      <x:c r="I46" s="0"/>
      <x:c r="J46" t="str" s="2">
        <x:v>Nathan Bishop</x:v>
      </x:c>
      <x:c r="K46" t="n" s="2">
        <x:v>5</x:v>
      </x:c>
      <x:c r="L46" t="str" s="2">
        <x:v>1.1</x:v>
      </x:c>
      <x:c r="M46" t="str" s="2">
        <x:v>Tentative</x:v>
      </x:c>
      <x:c r="N46" t="str" s="2">
        <x:v>Deal Created</x:v>
      </x:c>
      <x:c r="O46" s="0"/>
      <x:c r="P46" s="6">
        <x:v>46206</x:v>
      </x:c>
      <x:c r="Q46" s="6">
        <x:v>46213.80424065972</x:v>
      </x:c>
      <x:c r="R46" s="0"/>
      <x:c r="S46" s="0"/>
      <x:c r="T46" s="0"/>
      <x:c r="U46" s="0"/>
      <x:c r="V46" s="0"/>
      <x:c r="W46" s="0"/>
      <x:c r="X46" t="str" s="2">
        <x:v>8505106584</x:v>
      </x:c>
      <x:c r="Y46" t="str" s="2">
        <x:v>tilfwear78@yahoo.com</x:v>
      </x:c>
      <x:c r="Z46" s="6">
        <x:v>46213.8054809375</x:v>
      </x:c>
      <x:c r="AA46" t="str" s="2">
        <x:v>Timothy Postlethwait</x:v>
      </x:c>
      <x:c r="AB46" s="6">
        <x:v>46206.619283831016</x:v>
      </x:c>
      <x:c r="AC46" t="n" s="2">
        <x:v>38251</x:v>
      </x:c>
      <x:c r="AD46" s="0"/>
      <x:c r="AE46" s="0"/>
      <x:c r="AF46" s="0"/>
      <x:c r="AG46" s="0"/>
      <x:c r="AH46" s="0"/>
      <x:c r="AI46" s="0"/>
      <x:c r="AJ46" s="0"/>
      <x:c r="AK46" s="0"/>
    </x:row>
    <x:row r="47">
      <x:c r="A47" t="str" s="2">
        <x:f>=HYPERLINK("https://rsms.futurehomex.com/lead/38252", "Kenneth Rowan")</x:f>
      </x:c>
      <x:c r="B47" t="n" s="2">
        <x:v>102</x:v>
      </x:c>
      <x:c r="C47" t="str" s="2">
        <x:v>1/1</x:v>
      </x:c>
      <x:c r="D47" t="str" s="2">
        <x:f>=""</x:f>
      </x:c>
      <x:c r="E47" s="0"/>
      <x:c r="F47" t="str" s="2">
        <x:v>Meta Ads - Forms</x:v>
      </x:c>
      <x:c r="G47" t="str" s="2">
        <x:v>Heritage Housing of Oklahoma City</x:v>
      </x:c>
      <x:c r="H47" t="str" s="2">
        <x:v>Trey Rixleben</x:v>
      </x:c>
      <x:c r="I47" t="str" s="2">
        <x:v>Karol Romero</x:v>
      </x:c>
      <x:c r="J47" t="str" s="2">
        <x:v>Trey Rixleben</x:v>
      </x:c>
      <x:c r="K47" t="n" s="2">
        <x:v>5</x:v>
      </x:c>
      <x:c r="L47" t="str" s="2">
        <x:v>1.1</x:v>
      </x:c>
      <x:c r="M47" t="str" s="2">
        <x:v>Inactive</x:v>
      </x:c>
      <x:c r="N47" t="str" s="2">
        <x:v>Deal Created</x:v>
      </x:c>
      <x:c r="O47" s="0"/>
      <x:c r="P47" s="6">
        <x:v>46206</x:v>
      </x:c>
      <x:c r="Q47" s="6">
        <x:v>46214.6993496875</x:v>
      </x:c>
      <x:c r="R47" s="0"/>
      <x:c r="S47" s="0"/>
      <x:c r="T47" s="0"/>
      <x:c r="U47" s="0"/>
      <x:c r="V47" s="0"/>
      <x:c r="W47" s="0"/>
      <x:c r="X47" t="str" s="2">
        <x:v>9039189782</x:v>
      </x:c>
      <x:c r="Y47" t="str" s="2">
        <x:v>rowankenneth731@gmail.com</x:v>
      </x:c>
      <x:c r="Z47" s="6">
        <x:v>46214.702018020835</x:v>
      </x:c>
      <x:c r="AA47" t="str" s="2">
        <x:v>Trey Rixleben</x:v>
      </x:c>
      <x:c r="AB47" s="6">
        <x:v>46206.63389586806</x:v>
      </x:c>
      <x:c r="AC47" t="n" s="2">
        <x:v>38252</x:v>
      </x:c>
      <x:c r="AD47" s="0"/>
      <x:c r="AE47" s="0"/>
      <x:c r="AF47" s="0"/>
      <x:c r="AG47" s="0"/>
      <x:c r="AH47" s="0"/>
      <x:c r="AI47" s="0"/>
      <x:c r="AJ47" s="0"/>
      <x:c r="AK47" s="0"/>
    </x:row>
    <x:row r="48">
      <x:c r="A48" t="str" s="2">
        <x:f>=HYPERLINK("https://rsms.futurehomex.com/lead/38254", "Guadalupe Santos")</x:f>
      </x:c>
      <x:c r="B48" t="n" s="2">
        <x:v>102</x:v>
      </x:c>
      <x:c r="C48" t="str" s="2">
        <x:v/>
      </x:c>
      <x:c r="D48" t="str" s="2">
        <x:f>=""</x:f>
      </x:c>
      <x:c r="E48" t="str" s="2">
        <x:v>SAUL CASTILLO CARRION</x:v>
      </x:c>
      <x:c r="F48" t="str" s="2">
        <x:v>Meta Marketplace</x:v>
      </x:c>
      <x:c r="G48" t="str" s="2">
        <x:v>Heritage Housing of Asheboro</x:v>
      </x:c>
      <x:c r="H48" t="str" s="2">
        <x:v>Maria Lopez</x:v>
      </x:c>
      <x:c r="I48" t="str" s="2">
        <x:v>Karol Romero</x:v>
      </x:c>
      <x:c r="J48" s="0"/>
      <x:c r="K48" t="n" s="2">
        <x:v>5</x:v>
      </x:c>
      <x:c r="L48" t="str" s="2">
        <x:v>1.1</x:v>
      </x:c>
      <x:c r="M48" t="str" s="2">
        <x:v>Dead</x:v>
      </x:c>
      <x:c r="N48" t="str" s="2">
        <x:v>Prospect</x:v>
      </x:c>
      <x:c r="O48" s="0"/>
      <x:c r="P48" s="6">
        <x:v>46206</x:v>
      </x:c>
      <x:c r="Q48" s="6">
        <x:v>46206.71253734954</x:v>
      </x:c>
      <x:c r="R48" s="0"/>
      <x:c r="S48" s="6">
        <x:v>46206</x:v>
      </x:c>
      <x:c r="T48" s="0"/>
      <x:c r="U48" s="0"/>
      <x:c r="V48" s="0"/>
      <x:c r="W48" s="0"/>
      <x:c r="X48" t="str" s="2">
        <x:v>8287726449</x:v>
      </x:c>
      <x:c r="Y48" t="str" s="2">
        <x:v>lupitasantos2994@icloud.com</x:v>
      </x:c>
      <x:c r="Z48" s="6">
        <x:v>46209.68962572917</x:v>
      </x:c>
      <x:c r="AA48" t="str" s="2">
        <x:v>Maria Lopez</x:v>
      </x:c>
      <x:c r="AB48" s="6">
        <x:v>46206.67209267361</x:v>
      </x:c>
      <x:c r="AC48" t="n" s="2">
        <x:v>38254</x:v>
      </x:c>
      <x:c r="AD48" s="0"/>
      <x:c r="AE48" s="0"/>
      <x:c r="AF48" s="0"/>
      <x:c r="AG48" s="7">
        <x:v>12000</x:v>
      </x:c>
      <x:c r="AH48" s="0"/>
      <x:c r="AI48" s="0"/>
      <x:c r="AJ48" s="0"/>
      <x:c r="AK48" s="0"/>
    </x:row>
    <x:row r="49">
      <x:c r="A49" t="str" s="2">
        <x:f>=HYPERLINK("https://rsms.futurehomex.com/lead/38255", "Rodney Winkler")</x:f>
      </x:c>
      <x:c r="B49" t="n" s="2">
        <x:v>102</x:v>
      </x:c>
      <x:c r="C49" t="str" s="2">
        <x:v>0/1</x:v>
      </x:c>
      <x:c r="D49" t="str" s="2">
        <x:f>=""</x:f>
      </x:c>
      <x:c r="E49" s="0"/>
      <x:c r="F49" t="str" s="2">
        <x:v>Walk-in</x:v>
      </x:c>
      <x:c r="G49" t="str" s="2">
        <x:v>Heritage Housing of Minden</x:v>
      </x:c>
      <x:c r="H49" t="str" s="2">
        <x:v>Alescia Ridgdell</x:v>
      </x:c>
      <x:c r="I49" t="str" s="2">
        <x:v>Karol Romero</x:v>
      </x:c>
      <x:c r="J49" t="str" s="2">
        <x:v>Alescia Ridgdell</x:v>
      </x:c>
      <x:c r="K49" t="n" s="2">
        <x:v>5</x:v>
      </x:c>
      <x:c r="L49" t="str" s="2">
        <x:v>1.1</x:v>
      </x:c>
      <x:c r="M49" t="str" s="2">
        <x:v>Dead</x:v>
      </x:c>
      <x:c r="N49" t="str" s="2">
        <x:v>Deal Created</x:v>
      </x:c>
      <x:c r="O49" s="0"/>
      <x:c r="P49" s="6">
        <x:v>46206</x:v>
      </x:c>
      <x:c r="Q49" s="6">
        <x:v>46206.69114336806</x:v>
      </x:c>
      <x:c r="R49" s="0"/>
      <x:c r="S49" s="0"/>
      <x:c r="T49" s="0"/>
      <x:c r="U49" s="0"/>
      <x:c r="V49" s="0"/>
      <x:c r="W49" s="0"/>
      <x:c r="X49" t="str" s="2">
        <x:v>3185177558</x:v>
      </x:c>
      <x:c r="Y49" t="str" s="2">
        <x:v>shellywinkler1971@gmail.com</x:v>
      </x:c>
      <x:c r="Z49" s="6">
        <x:v>46213.92859768518</x:v>
      </x:c>
      <x:c r="AA49" t="str" s="2">
        <x:v>Alescia Ridgdell</x:v>
      </x:c>
      <x:c r="AB49" s="6">
        <x:v>46206.686840625</x:v>
      </x:c>
      <x:c r="AC49" t="n" s="2">
        <x:v>38255</x:v>
      </x:c>
      <x:c r="AD49" s="0"/>
      <x:c r="AE49" s="0"/>
      <x:c r="AF49" s="0"/>
      <x:c r="AG49" s="7">
        <x:v>5000</x:v>
      </x:c>
      <x:c r="AH49" s="0"/>
      <x:c r="AI49" s="0"/>
      <x:c r="AJ49" s="0"/>
      <x:c r="AK49" s="0"/>
    </x:row>
    <x:row r="50">
      <x:c r="A50" t="str" s="2">
        <x:f>=HYPERLINK("https://rsms.futurehomex.com/lead/38256", "Borislav Karaman")</x:f>
      </x:c>
      <x:c r="B50" t="n" s="2">
        <x:v>102</x:v>
      </x:c>
      <x:c r="C50" t="str" s="2">
        <x:v/>
      </x:c>
      <x:c r="D50" t="str" s="2">
        <x:f>=""</x:f>
      </x:c>
      <x:c r="E50" s="0"/>
      <x:c r="F50" t="str" s="2">
        <x:v>Walk-in</x:v>
      </x:c>
      <x:c r="G50" t="str" s="2">
        <x:v>Heritage Housing of Asheboro</x:v>
      </x:c>
      <x:c r="H50" t="str" s="2">
        <x:v>Maria Lopez</x:v>
      </x:c>
      <x:c r="I50" s="0"/>
      <x:c r="J50" s="0"/>
      <x:c r="K50" t="n" s="2">
        <x:v>21</x:v>
      </x:c>
      <x:c r="L50" t="str" s="2">
        <x:v>2.1</x:v>
      </x:c>
      <x:c r="M50" t="str" s="2">
        <x:v>Active</x:v>
      </x:c>
      <x:c r="N50" t="str" s="2">
        <x:v>Qualified</x:v>
      </x:c>
      <x:c r="O50" s="0"/>
      <x:c r="P50" s="6">
        <x:v>46206</x:v>
      </x:c>
      <x:c r="Q50" s="6">
        <x:v>46216.757687349535</x:v>
      </x:c>
      <x:c r="R50" s="0"/>
      <x:c r="S50" s="6">
        <x:v>46206</x:v>
      </x:c>
      <x:c r="T50" s="0"/>
      <x:c r="U50" s="0"/>
      <x:c r="V50" s="0"/>
      <x:c r="W50" s="0"/>
      <x:c r="X50" t="str" s="2">
        <x:v>3367402246</x:v>
      </x:c>
      <x:c r="Y50" t="str" s="2">
        <x:v>borusija@aol.com</x:v>
      </x:c>
      <x:c r="Z50" s="6">
        <x:v>46216.75767519676</x:v>
      </x:c>
      <x:c r="AA50" t="str" s="2">
        <x:v>Jeremy Jacques</x:v>
      </x:c>
      <x:c r="AB50" s="6">
        <x:v>46206.69465142361</x:v>
      </x:c>
      <x:c r="AC50" t="n" s="2">
        <x:v>38256</x:v>
      </x:c>
      <x:c r="AD50" s="0"/>
      <x:c r="AE50" s="0"/>
      <x:c r="AF50" s="0"/>
      <x:c r="AG50" s="0"/>
      <x:c r="AH50" s="0"/>
      <x:c r="AI50" s="0"/>
      <x:c r="AJ50" s="0"/>
      <x:c r="AK50" s="0"/>
    </x:row>
    <x:row r="51">
      <x:c r="A51" t="str" s="2">
        <x:f>=HYPERLINK("https://rsms.futurehomex.com/lead/38257", "Miguel Criollo")</x:f>
      </x:c>
      <x:c r="B51" t="n" s="2">
        <x:v>102</x:v>
      </x:c>
      <x:c r="C51" t="str" s="2">
        <x:v>1/4</x:v>
      </x:c>
      <x:c r="D51" t="str" s="2">
        <x:f>=""</x:f>
      </x:c>
      <x:c r="E51" s="0"/>
      <x:c r="F51" t="str" s="2">
        <x:v>Meta Marketplace</x:v>
      </x:c>
      <x:c r="G51" t="str" s="2">
        <x:v>Legacy Housing Corp. DBA Americasa</x:v>
      </x:c>
      <x:c r="H51" t="str" s="2">
        <x:v>Joey Marquez</x:v>
      </x:c>
      <x:c r="I51" t="str" s="2">
        <x:v>Karol Romero</x:v>
      </x:c>
      <x:c r="J51" s="0"/>
      <x:c r="K51" t="n" s="2">
        <x:v>5</x:v>
      </x:c>
      <x:c r="L51" t="str" s="2">
        <x:v>1.1</x:v>
      </x:c>
      <x:c r="M51" t="str" s="2">
        <x:v>Tentative</x:v>
      </x:c>
      <x:c r="N51" t="str" s="2">
        <x:v>Prospect</x:v>
      </x:c>
      <x:c r="O51" s="0"/>
      <x:c r="P51" s="6">
        <x:v>46206</x:v>
      </x:c>
      <x:c r="Q51" s="6">
        <x:v>46206.73712751157</x:v>
      </x:c>
      <x:c r="R51" s="0"/>
      <x:c r="S51" s="6">
        <x:v>46206</x:v>
      </x:c>
      <x:c r="T51" s="0"/>
      <x:c r="U51" s="0"/>
      <x:c r="V51" s="0"/>
      <x:c r="W51" s="0"/>
      <x:c r="X51" t="str" s="2">
        <x:v>7738580572</x:v>
      </x:c>
      <x:c r="Y51" t="str" s="2">
        <x:v>miguel23@gmail.com</x:v>
      </x:c>
      <x:c r="Z51" s="6">
        <x:v>46293.66910998843</x:v>
      </x:c>
      <x:c r="AA51" t="str" s="2">
        <x:v>Joey Marquez</x:v>
      </x:c>
      <x:c r="AB51" s="6">
        <x:v>46206.73712858796</x:v>
      </x:c>
      <x:c r="AC51" t="n" s="2">
        <x:v>38257</x:v>
      </x:c>
      <x:c r="AD51" s="0"/>
      <x:c r="AE51" s="0"/>
      <x:c r="AF51" s="0"/>
      <x:c r="AG51" s="0"/>
      <x:c r="AH51" s="0"/>
      <x:c r="AI51" s="0"/>
      <x:c r="AJ51" s="0"/>
      <x:c r="AK51" s="0"/>
    </x:row>
    <x:row r="52">
      <x:c r="A52" t="str" s="2">
        <x:f>=HYPERLINK("https://rsms.futurehomex.com/lead/38258", "Gary Meadows")</x:f>
      </x:c>
      <x:c r="B52" t="n" s="2">
        <x:v>102</x:v>
      </x:c>
      <x:c r="C52" t="str" s="2">
        <x:v>0/2</x:v>
      </x:c>
      <x:c r="D52" t="str" s="2">
        <x:f>=""</x:f>
      </x:c>
      <x:c r="E52" s="0"/>
      <x:c r="F52" t="str" s="2">
        <x:v>Meta Ads - Forms</x:v>
      </x:c>
      <x:c r="G52" t="str" s="2">
        <x:v>Heritage Housing of Oklahoma City</x:v>
      </x:c>
      <x:c r="H52" t="str" s="2">
        <x:v>Trey Rixleben</x:v>
      </x:c>
      <x:c r="I52" t="str" s="2">
        <x:v>Karol Romero</x:v>
      </x:c>
      <x:c r="J52" t="str" s="2">
        <x:v>Trey Rixleben</x:v>
      </x:c>
      <x:c r="K52" t="n" s="2">
        <x:v>5</x:v>
      </x:c>
      <x:c r="L52" t="str" s="2">
        <x:v>1.1</x:v>
      </x:c>
      <x:c r="M52" t="str" s="2">
        <x:v>Dead</x:v>
      </x:c>
      <x:c r="N52" t="str" s="2">
        <x:v>Prospect</x:v>
      </x:c>
      <x:c r="O52" s="0"/>
      <x:c r="P52" s="6">
        <x:v>46206</x:v>
      </x:c>
      <x:c r="Q52" s="6">
        <x:v>46237.955724224536</x:v>
      </x:c>
      <x:c r="R52" s="0"/>
      <x:c r="S52" s="0"/>
      <x:c r="T52" s="0"/>
      <x:c r="U52" s="0"/>
      <x:c r="V52" s="0"/>
      <x:c r="W52" s="0"/>
      <x:c r="X52" t="str" s="2">
        <x:v>4792081186</x:v>
      </x:c>
      <x:c r="Y52" t="str" s="2">
        <x:v>garymeadows208@gmail.com</x:v>
      </x:c>
      <x:c r="Z52" s="6">
        <x:v>46260.95836871528</x:v>
      </x:c>
      <x:c r="AA52" t="str" s="2">
        <x:v>Trey Rixleben</x:v>
      </x:c>
      <x:c r="AB52" s="6">
        <x:v>46206.82872704861</x:v>
      </x:c>
      <x:c r="AC52" t="n" s="2">
        <x:v>38258</x:v>
      </x:c>
      <x:c r="AD52" s="0"/>
      <x:c r="AE52" s="0"/>
      <x:c r="AF52" s="0"/>
      <x:c r="AG52" s="0"/>
      <x:c r="AH52" s="0"/>
      <x:c r="AI52" s="0"/>
      <x:c r="AJ52" s="0"/>
      <x:c r="AK52" s="0"/>
    </x:row>
    <x:row r="53">
      <x:c r="A53" t="str" s="2">
        <x:f>=HYPERLINK("https://rsms.futurehomex.com/lead/38259", "Kai Gilbret")</x:f>
      </x:c>
      <x:c r="B53" t="n" s="2">
        <x:v>102</x:v>
      </x:c>
      <x:c r="C53" t="str" s="2">
        <x:v>0/2</x:v>
      </x:c>
      <x:c r="D53" t="str" s="2">
        <x:f>=""</x:f>
      </x:c>
      <x:c r="E53" s="0"/>
      <x:c r="F53" t="str" s="2">
        <x:v>Referrals</x:v>
      </x:c>
      <x:c r="G53" t="str" s="2">
        <x:v>Heritage Housing of Oklahoma City</x:v>
      </x:c>
      <x:c r="H53" t="str" s="2">
        <x:v>Trey Rixleben</x:v>
      </x:c>
      <x:c r="I53" t="str" s="2">
        <x:v>Karol Romero</x:v>
      </x:c>
      <x:c r="J53" t="str" s="2">
        <x:v>Trey Rixleben</x:v>
      </x:c>
      <x:c r="K53" t="n" s="2">
        <x:v>5</x:v>
      </x:c>
      <x:c r="L53" t="str" s="2">
        <x:v>1.1</x:v>
      </x:c>
      <x:c r="M53" t="str" s="2">
        <x:v>Dead</x:v>
      </x:c>
      <x:c r="N53" t="str" s="2">
        <x:v>Deal Created</x:v>
      </x:c>
      <x:c r="O53" s="0"/>
      <x:c r="P53" s="6">
        <x:v>46206</x:v>
      </x:c>
      <x:c r="Q53" s="6">
        <x:v>46265.90564440972</x:v>
      </x:c>
      <x:c r="R53" s="0"/>
      <x:c r="S53" s="0"/>
      <x:c r="T53" s="0"/>
      <x:c r="U53" s="0"/>
      <x:c r="V53" s="0"/>
      <x:c r="W53" s="0"/>
      <x:c r="X53" t="str" s="2">
        <x:v>4059073035</x:v>
      </x:c>
      <x:c r="Y53" t="str" s="2">
        <x:v>kdonaldgilbert@gmail.com</x:v>
      </x:c>
      <x:c r="Z53" s="6">
        <x:v>46265.90764699074</x:v>
      </x:c>
      <x:c r="AA53" t="str" s="2">
        <x:v>Trey Rixleben</x:v>
      </x:c>
      <x:c r="AB53" s="6">
        <x:v>46206.833810219905</x:v>
      </x:c>
      <x:c r="AC53" t="n" s="2">
        <x:v>38259</x:v>
      </x:c>
      <x:c r="AD53" s="0"/>
      <x:c r="AE53" s="0"/>
      <x:c r="AF53" s="0"/>
      <x:c r="AG53" s="0"/>
      <x:c r="AH53" s="0"/>
      <x:c r="AI53" s="0"/>
      <x:c r="AJ53" s="0"/>
      <x:c r="AK53" s="0"/>
    </x:row>
    <x:row r="54">
      <x:c r="A54" t="str" s="2">
        <x:f>=HYPERLINK("https://rsms.futurehomex.com/lead/38260", "Marco Lopez")</x:f>
      </x:c>
      <x:c r="B54" t="n" s="2">
        <x:v>102</x:v>
      </x:c>
      <x:c r="C54" t="str" s="2">
        <x:v/>
      </x:c>
      <x:c r="D54" t="str" s="2">
        <x:f>=""</x:f>
      </x:c>
      <x:c r="E54" s="0"/>
      <x:c r="F54" t="str" s="2">
        <x:v>META Ads</x:v>
      </x:c>
      <x:c r="G54" t="str" s="2">
        <x:v>Heritage Housing Mt Pleasant</x:v>
      </x:c>
      <x:c r="H54" t="str" s="2">
        <x:v>Yarelis Torres</x:v>
      </x:c>
      <x:c r="I54" s="0"/>
      <x:c r="J54" t="str" s="2">
        <x:v>Yarelis Torres</x:v>
      </x:c>
      <x:c r="K54" t="n" s="2">
        <x:v>5</x:v>
      </x:c>
      <x:c r="L54" t="str" s="2">
        <x:v>1.1</x:v>
      </x:c>
      <x:c r="M54" t="str" s="2">
        <x:v>Tentative</x:v>
      </x:c>
      <x:c r="N54" t="str" s="2">
        <x:v>Deal Created</x:v>
      </x:c>
      <x:c r="O54" s="0"/>
      <x:c r="P54" s="6">
        <x:v>46206</x:v>
      </x:c>
      <x:c r="Q54" s="6">
        <x:v>46206.84534490741</x:v>
      </x:c>
      <x:c r="R54" s="0"/>
      <x:c r="S54" s="0"/>
      <x:c r="T54" s="0"/>
      <x:c r="U54" s="0"/>
      <x:c r="V54" s="0"/>
      <x:c r="W54" s="0"/>
      <x:c r="X54" t="str" s="2">
        <x:v>9034346119</x:v>
      </x:c>
      <x:c r="Y54" t="str" s="2">
        <x:v>9034346119</x:v>
      </x:c>
      <x:c r="Z54" s="6">
        <x:v>46206.967154432874</x:v>
      </x:c>
      <x:c r="AA54" t="str" s="2">
        <x:v>Yarelis Torres</x:v>
      </x:c>
      <x:c r="AB54" s="6">
        <x:v>46206.84534771991</x:v>
      </x:c>
      <x:c r="AC54" t="n" s="2">
        <x:v>38260</x:v>
      </x:c>
      <x:c r="AD54" s="0"/>
      <x:c r="AE54" s="0"/>
      <x:c r="AF54" s="0"/>
      <x:c r="AG54" s="0"/>
      <x:c r="AH54" s="0"/>
      <x:c r="AI54" s="0"/>
      <x:c r="AJ54" s="0"/>
      <x:c r="AK54" s="0"/>
    </x:row>
    <x:row r="55">
      <x:c r="A55" t="str" s="2">
        <x:f>=HYPERLINK("https://rsms.futurehomex.com/lead/38261", "Jesus T Hernandez Infante")</x:f>
      </x:c>
      <x:c r="B55" t="n" s="2">
        <x:v>102</x:v>
      </x:c>
      <x:c r="C55" t="str" s="2">
        <x:v>0/1</x:v>
      </x:c>
      <x:c r="D55" t="str" s="2">
        <x:f>=""</x:f>
      </x:c>
      <x:c r="E55" s="0"/>
      <x:c r="F55" t="str" s="2">
        <x:v>Walk-in</x:v>
      </x:c>
      <x:c r="G55" t="str" s="2">
        <x:v>Legacy Housing Corp. DBA Americasa</x:v>
      </x:c>
      <x:c r="H55" t="str" s="2">
        <x:v>Jose Parada</x:v>
      </x:c>
      <x:c r="I55" t="str" s="2">
        <x:v>Karol Romero</x:v>
      </x:c>
      <x:c r="J55" t="str" s="2">
        <x:v>Rodrigo Ramirez</x:v>
      </x:c>
      <x:c r="K55" t="n" s="2">
        <x:v>5</x:v>
      </x:c>
      <x:c r="L55" t="str" s="2">
        <x:v>1.1</x:v>
      </x:c>
      <x:c r="M55" t="str" s="2">
        <x:v>Inactive</x:v>
      </x:c>
      <x:c r="N55" t="str" s="2">
        <x:v>Deal Created</x:v>
      </x:c>
      <x:c r="O55" s="0"/>
      <x:c r="P55" s="6">
        <x:v>46206</x:v>
      </x:c>
      <x:c r="Q55" s="6">
        <x:v>46206.91349143518</x:v>
      </x:c>
      <x:c r="R55" s="0"/>
      <x:c r="S55" s="6">
        <x:v>46206</x:v>
      </x:c>
      <x:c r="T55" s="0"/>
      <x:c r="U55" s="0"/>
      <x:c r="V55" s="0"/>
      <x:c r="W55" s="0"/>
      <x:c r="X55" t="str" s="2">
        <x:v>3463456061</x:v>
      </x:c>
      <x:c r="Y55" t="str" s="2">
        <x:v>jthi1024@icloud.com</x:v>
      </x:c>
      <x:c r="Z55" s="6">
        <x:v>46300.569874155095</x:v>
      </x:c>
      <x:c r="AA55" t="str" s="2">
        <x:v>Jose Parada</x:v>
      </x:c>
      <x:c r="AB55" s="6">
        <x:v>46206.89602619213</x:v>
      </x:c>
      <x:c r="AC55" t="n" s="2">
        <x:v>38261</x:v>
      </x:c>
      <x:c r="AD55" s="0"/>
      <x:c r="AE55" s="0"/>
      <x:c r="AF55" s="0"/>
      <x:c r="AG55" s="7">
        <x:v>8000</x:v>
      </x:c>
      <x:c r="AH55" s="0"/>
      <x:c r="AI55" t="str" s="2">
        <x:v>622</x:v>
      </x:c>
      <x:c r="AJ55" s="0"/>
      <x:c r="AK55" s="0"/>
    </x:row>
    <x:row r="56">
      <x:c r="A56" t="str" s="2">
        <x:f>=HYPERLINK("https://rsms.futurehomex.com/lead/38262", "Kim Niec")</x:f>
      </x:c>
      <x:c r="B56" t="n" s="2">
        <x:v>102</x:v>
      </x:c>
      <x:c r="C56" t="str" s="2">
        <x:v/>
      </x:c>
      <x:c r="D56" t="str" s="2">
        <x:f>=""</x:f>
      </x:c>
      <x:c r="E56" s="0"/>
      <x:c r="F56" t="str" s="2">
        <x:v>Walk-in</x:v>
      </x:c>
      <x:c r="G56" t="str" s="2">
        <x:v>Heritage Housing Mt Pleasant</x:v>
      </x:c>
      <x:c r="H56" t="str" s="2">
        <x:v>Yarelis Torres</x:v>
      </x:c>
      <x:c r="I56" s="0"/>
      <x:c r="J56" t="str" s="2">
        <x:v>Yarelis Torres</x:v>
      </x:c>
      <x:c r="K56" t="n" s="2">
        <x:v>5</x:v>
      </x:c>
      <x:c r="L56" t="str" s="2">
        <x:v>1.1</x:v>
      </x:c>
      <x:c r="M56" t="str" s="2">
        <x:v>Tentative</x:v>
      </x:c>
      <x:c r="N56" t="str" s="2">
        <x:v>Deal Created</x:v>
      </x:c>
      <x:c r="O56" s="0"/>
      <x:c r="P56" s="6">
        <x:v>46206</x:v>
      </x:c>
      <x:c r="Q56" s="6">
        <x:v>46206.963903703705</x:v>
      </x:c>
      <x:c r="R56" s="0"/>
      <x:c r="S56" s="0"/>
      <x:c r="T56" s="0"/>
      <x:c r="U56" s="0"/>
      <x:c r="V56" s="0"/>
      <x:c r="W56" s="0"/>
      <x:c r="X56" t="str" s="2">
        <x:v>6063690407</x:v>
      </x:c>
      <x:c r="Y56" t="str" s="2">
        <x:v>6063690407</x:v>
      </x:c>
      <x:c r="Z56" s="6">
        <x:v>46206.964918136575</x:v>
      </x:c>
      <x:c r="AA56" t="str" s="2">
        <x:v>Yarelis Torres</x:v>
      </x:c>
      <x:c r="AB56" s="6">
        <x:v>46206.9639056713</x:v>
      </x:c>
      <x:c r="AC56" t="n" s="2">
        <x:v>38262</x:v>
      </x:c>
      <x:c r="AD56" s="0"/>
      <x:c r="AE56" s="0"/>
      <x:c r="AF56" s="0"/>
      <x:c r="AG56" s="0"/>
      <x:c r="AH56" s="0"/>
      <x:c r="AI56" s="0"/>
      <x:c r="AJ56" s="0"/>
      <x:c r="AK56" s="0"/>
    </x:row>
    <x:row r="57">
      <x:c r="A57" t="str" s="2">
        <x:f>=HYPERLINK("https://rsms.futurehomex.com/lead/38263", "Nancy Herring")</x:f>
      </x:c>
      <x:c r="B57" t="n" s="2">
        <x:v>100</x:v>
      </x:c>
      <x:c r="C57" t="str" s="2">
        <x:v>0/1</x:v>
      </x:c>
      <x:c r="D57" t="str" s="2">
        <x:f>=""</x:f>
      </x:c>
      <x:c r="E57" s="0"/>
      <x:c r="F57" t="str" s="2">
        <x:v>Website</x:v>
      </x:c>
      <x:c r="G57" t="str" s="2">
        <x:v>Heritage Housing of Augusta</x:v>
      </x:c>
      <x:c r="H57" t="str" s="2">
        <x:v>Brian Amato</x:v>
      </x:c>
      <x:c r="I57" t="str" s="2">
        <x:v>Karol Romero</x:v>
      </x:c>
      <x:c r="J57" s="0"/>
      <x:c r="K57" t="n" s="2">
        <x:v>100</x:v>
      </x:c>
      <x:c r="L57" t="str" s="2">
        <x:v>6.2</x:v>
      </x:c>
      <x:c r="M57" t="str" s="2">
        <x:v>Closed</x:v>
      </x:c>
      <x:c r="N57" t="str" s="2">
        <x:v>Delivered</x:v>
      </x:c>
      <x:c r="O57" s="6">
        <x:v>46234</x:v>
      </x:c>
      <x:c r="P57" s="6">
        <x:v>46208</x:v>
      </x:c>
      <x:c r="Q57" s="6">
        <x:v>46237.566111886576</x:v>
      </x:c>
      <x:c r="R57" s="0"/>
      <x:c r="S57" s="6">
        <x:v>46207</x:v>
      </x:c>
      <x:c r="T57" s="6">
        <x:v>46209</x:v>
      </x:c>
      <x:c r="U57" s="6">
        <x:v>46217</x:v>
      </x:c>
      <x:c r="V57" s="6">
        <x:v>46217</x:v>
      </x:c>
      <x:c r="W57" s="6">
        <x:v>46241</x:v>
      </x:c>
      <x:c r="X57" t="str" s="2">
        <x:v>9513480058</x:v>
      </x:c>
      <x:c r="Y57" t="str" s="2">
        <x:v>nancy.herring@icloud.com</x:v>
      </x:c>
      <x:c r="Z57" s="6">
        <x:v>46225.89569849537</x:v>
      </x:c>
      <x:c r="AA57" t="str" s="2">
        <x:v>LeeAnne Newsome</x:v>
      </x:c>
      <x:c r="AB57" s="6">
        <x:v>46208.77079065972</x:v>
      </x:c>
      <x:c r="AC57" t="n" s="2">
        <x:v>38263</x:v>
      </x:c>
      <x:c r="AD57" t="str" s="2">
        <x:v>Doublewide</x:v>
      </x:c>
      <x:c r="AE57" t="str" s="2">
        <x:v>Legacy Housing Corporation</x:v>
      </x:c>
      <x:c r="AF57" s="7">
        <x:v>22500</x:v>
      </x:c>
      <x:c r="AG57" s="7">
        <x:v>15000</x:v>
      </x:c>
      <x:c r="AH57" s="7">
        <x:v>22500</x:v>
      </x:c>
      <x:c r="AI57" s="0"/>
      <x:c r="AJ57" s="0"/>
      <x:c r="AK57" s="0"/>
    </x:row>
    <x:row r="58">
      <x:c r="A58" t="str" s="2">
        <x:f>=HYPERLINK("https://rsms.futurehomex.com/lead/38264", "JORGE BENITEZ")</x:f>
      </x:c>
      <x:c r="B58" t="n" s="2">
        <x:v>100</x:v>
      </x:c>
      <x:c r="C58" t="str" s="2">
        <x:v/>
      </x:c>
      <x:c r="D58" t="str" s="2">
        <x:f>=""</x:f>
      </x:c>
      <x:c r="E58" s="0"/>
      <x:c r="F58" t="str" s="2">
        <x:v>Walk-in</x:v>
      </x:c>
      <x:c r="G58" t="str" s="2">
        <x:v>Heritage Housing of Augusta</x:v>
      </x:c>
      <x:c r="H58" t="str" s="2">
        <x:v>Brian Amato</x:v>
      </x:c>
      <x:c r="I58" t="str" s="2">
        <x:v>Karol Romero</x:v>
      </x:c>
      <x:c r="J58" t="str" s="2">
        <x:v>Brian Amato</x:v>
      </x:c>
      <x:c r="K58" t="n" s="2">
        <x:v>9</x:v>
      </x:c>
      <x:c r="L58" t="str" s="2">
        <x:v>1.2</x:v>
      </x:c>
      <x:c r="M58" t="str" s="2">
        <x:v>Dead</x:v>
      </x:c>
      <x:c r="N58" t="str" s="2">
        <x:v>Deal Created</x:v>
      </x:c>
      <x:c r="O58" s="0"/>
      <x:c r="P58" s="6">
        <x:v>46208</x:v>
      </x:c>
      <x:c r="Q58" s="6">
        <x:v>46208.79733738426</x:v>
      </x:c>
      <x:c r="R58" s="0"/>
      <x:c r="S58" s="0"/>
      <x:c r="T58" s="0"/>
      <x:c r="U58" s="0"/>
      <x:c r="V58" s="0"/>
      <x:c r="W58" s="0"/>
      <x:c r="X58" t="str" s="2">
        <x:v>8035968683</x:v>
      </x:c>
      <x:c r="Y58" t="str" s="2">
        <x:v>josieq49@gmail.com</x:v>
      </x:c>
      <x:c r="Z58" s="0"/>
      <x:c r="AA58" s="0"/>
      <x:c r="AB58" s="6">
        <x:v>46208.79733943287</x:v>
      </x:c>
      <x:c r="AC58" t="n" s="2">
        <x:v>38264</x:v>
      </x:c>
      <x:c r="AD58" s="0"/>
      <x:c r="AE58" s="0"/>
      <x:c r="AF58" s="0"/>
      <x:c r="AG58" s="0"/>
      <x:c r="AH58" s="0"/>
      <x:c r="AI58" s="0"/>
      <x:c r="AJ58" s="0"/>
      <x:c r="AK58" s="0"/>
    </x:row>
    <x:row r="59">
      <x:c r="A59" t="str" s="2">
        <x:f>=HYPERLINK("https://rsms.futurehomex.com/lead/38265", "John Griffith")</x:f>
      </x:c>
      <x:c r="B59" t="n" s="2">
        <x:v>100</x:v>
      </x:c>
      <x:c r="C59" t="str" s="2">
        <x:v>1/1</x:v>
      </x:c>
      <x:c r="D59" t="str" s="2">
        <x:f>=""</x:f>
      </x:c>
      <x:c r="E59" s="0"/>
      <x:c r="F59" t="str" s="2">
        <x:v>Facebook Messenger</x:v>
      </x:c>
      <x:c r="G59" t="str" s="2">
        <x:v>Heritage Housing of Oklahoma City</x:v>
      </x:c>
      <x:c r="H59" t="str" s="2">
        <x:v>Eva Misheva</x:v>
      </x:c>
      <x:c r="I59" s="0"/>
      <x:c r="J59" s="0"/>
      <x:c r="K59" t="n" s="2">
        <x:v>5</x:v>
      </x:c>
      <x:c r="L59" t="str" s="2">
        <x:v>1.1</x:v>
      </x:c>
      <x:c r="M59" t="str" s="2">
        <x:v>Tentative</x:v>
      </x:c>
      <x:c r="N59" t="str" s="2">
        <x:v>Prospect</x:v>
      </x:c>
      <x:c r="O59" s="0"/>
      <x:c r="P59" s="6">
        <x:v>46208</x:v>
      </x:c>
      <x:c r="Q59" s="6">
        <x:v>46208.90889047454</x:v>
      </x:c>
      <x:c r="R59" s="0"/>
      <x:c r="S59" s="0"/>
      <x:c r="T59" s="0"/>
      <x:c r="U59" s="0"/>
      <x:c r="V59" s="0"/>
      <x:c r="W59" s="0"/>
      <x:c r="X59" t="str" s="2">
        <x:v>4058314455</x:v>
      </x:c>
      <x:c r="Y59" t="str" s="2">
        <x:v>johngriffith1313@gmail.com</x:v>
      </x:c>
      <x:c r="Z59" s="6">
        <x:v>46264.911623645836</x:v>
      </x:c>
      <x:c r="AA59" t="str" s="2">
        <x:v>Eva Misheva</x:v>
      </x:c>
      <x:c r="AB59" s="6">
        <x:v>46208.908893402775</x:v>
      </x:c>
      <x:c r="AC59" t="n" s="2">
        <x:v>38265</x:v>
      </x:c>
      <x:c r="AD59" s="0"/>
      <x:c r="AE59" s="0"/>
      <x:c r="AF59" s="0"/>
      <x:c r="AG59" s="0"/>
      <x:c r="AH59" s="0"/>
      <x:c r="AI59" s="0"/>
      <x:c r="AJ59" s="0"/>
      <x:c r="AK59" s="0"/>
    </x:row>
    <x:row r="60">
      <x:c r="A60" t="str" s="2">
        <x:f>=HYPERLINK("https://rsms.futurehomex.com/lead/38266", "Hunter Miller")</x:f>
      </x:c>
      <x:c r="B60" t="n" s="2">
        <x:v>99</x:v>
      </x:c>
      <x:c r="C60" t="str" s="2">
        <x:v>1/2</x:v>
      </x:c>
      <x:c r="D60" t="str" s="2">
        <x:f>=""</x:f>
      </x:c>
      <x:c r="E60" s="0"/>
      <x:c r="F60" t="str" s="2">
        <x:v>HH - Jennings</x:v>
      </x:c>
      <x:c r="G60" t="str" s="2">
        <x:v>Heritage Housing of Jennings</x:v>
      </x:c>
      <x:c r="H60" t="str" s="2">
        <x:v>Clint O'Neal</x:v>
      </x:c>
      <x:c r="I60" s="0"/>
      <x:c r="J60" t="str" s="2">
        <x:v>Clint O'Neal</x:v>
      </x:c>
      <x:c r="K60" t="n" s="2">
        <x:v>5</x:v>
      </x:c>
      <x:c r="L60" t="str" s="2">
        <x:v>1.1</x:v>
      </x:c>
      <x:c r="M60" t="str" s="2">
        <x:v>Inactive</x:v>
      </x:c>
      <x:c r="N60" t="str" s="2">
        <x:v>Deal Created</x:v>
      </x:c>
      <x:c r="O60" s="0"/>
      <x:c r="P60" s="6">
        <x:v>46209</x:v>
      </x:c>
      <x:c r="Q60" s="6">
        <x:v>46209.55569814815</x:v>
      </x:c>
      <x:c r="R60" s="0"/>
      <x:c r="S60" s="0"/>
      <x:c r="T60" s="0"/>
      <x:c r="U60" s="0"/>
      <x:c r="V60" s="0"/>
      <x:c r="W60" s="0"/>
      <x:c r="X60" t="str" s="2">
        <x:v>3374582329</x:v>
      </x:c>
      <x:c r="Y60" t="str" s="2">
        <x:v>hm@nomail.com</x:v>
      </x:c>
      <x:c r="Z60" s="6">
        <x:v>46209.742507407405</x:v>
      </x:c>
      <x:c r="AA60" t="str" s="2">
        <x:v>Clint O'Neal</x:v>
      </x:c>
      <x:c r="AB60" s="6">
        <x:v>46209.55436400463</x:v>
      </x:c>
      <x:c r="AC60" t="n" s="2">
        <x:v>38266</x:v>
      </x:c>
      <x:c r="AD60" s="0"/>
      <x:c r="AE60" s="0"/>
      <x:c r="AF60" s="0"/>
      <x:c r="AG60" s="0"/>
      <x:c r="AH60" s="0"/>
      <x:c r="AI60" s="0"/>
      <x:c r="AJ60" s="0"/>
      <x:c r="AK60" s="0"/>
    </x:row>
    <x:row r="61">
      <x:c r="A61" t="str" s="2">
        <x:f>=HYPERLINK("https://rsms.futurehomex.com/lead/38267", "Lionel Brooks")</x:f>
      </x:c>
      <x:c r="B61" t="n" s="2">
        <x:v>99</x:v>
      </x:c>
      <x:c r="C61" t="str" s="2">
        <x:v/>
      </x:c>
      <x:c r="D61" t="str" s="2">
        <x:f>=""</x:f>
      </x:c>
      <x:c r="E61" s="0"/>
      <x:c r="F61" t="str" s="2">
        <x:v>Meta Marketplace</x:v>
      </x:c>
      <x:c r="G61" t="str" s="2">
        <x:v>Heritage Housing of Albany</x:v>
      </x:c>
      <x:c r="H61" t="str" s="2">
        <x:v>Alexander Bryant</x:v>
      </x:c>
      <x:c r="I61" s="0"/>
      <x:c r="J61" s="0"/>
      <x:c r="K61" t="n" s="2">
        <x:v>5</x:v>
      </x:c>
      <x:c r="L61" t="str" s="2">
        <x:v>1.1</x:v>
      </x:c>
      <x:c r="M61" t="str" s="2">
        <x:v>Tentative</x:v>
      </x:c>
      <x:c r="N61" t="str" s="2">
        <x:v>Prospect</x:v>
      </x:c>
      <x:c r="O61" s="0"/>
      <x:c r="P61" s="6">
        <x:v>46209</x:v>
      </x:c>
      <x:c r="Q61" s="6">
        <x:v>46209.57581096065</x:v>
      </x:c>
      <x:c r="R61" s="0"/>
      <x:c r="S61" s="6">
        <x:v>46130</x:v>
      </x:c>
      <x:c r="T61" s="6">
        <x:v>46130</x:v>
      </x:c>
      <x:c r="U61" s="6">
        <x:v>46131</x:v>
      </x:c>
      <x:c r="V61" s="6">
        <x:v>46227</x:v>
      </x:c>
      <x:c r="W61" s="0"/>
      <x:c r="X61" t="str" s="2">
        <x:v>2294291086</x:v>
      </x:c>
      <x:c r="Y61" t="str" s="2">
        <x:v>SEARRABROOKS25@GMAIL.COM</x:v>
      </x:c>
      <x:c r="Z61" s="0"/>
      <x:c r="AA61" s="0"/>
      <x:c r="AB61" s="6">
        <x:v>46209.57289170139</x:v>
      </x:c>
      <x:c r="AC61" t="n" s="2">
        <x:v>38267</x:v>
      </x:c>
      <x:c r="AD61" s="0"/>
      <x:c r="AE61" s="0"/>
      <x:c r="AF61" s="0"/>
      <x:c r="AG61" s="7">
        <x:v>13900</x:v>
      </x:c>
      <x:c r="AH61" s="0"/>
      <x:c r="AI61" s="0"/>
      <x:c r="AJ61" s="0"/>
      <x:c r="AK61" s="0"/>
    </x:row>
    <x:row r="62">
      <x:c r="A62" t="str" s="2">
        <x:f>=HYPERLINK("https://rsms.futurehomex.com/lead/38269", "Shakeyah Parson")</x:f>
      </x:c>
      <x:c r="B62" t="n" s="2">
        <x:v>99</x:v>
      </x:c>
      <x:c r="C62" t="str" s="2">
        <x:v/>
      </x:c>
      <x:c r="D62" t="str" s="2">
        <x:f>=""</x:f>
      </x:c>
      <x:c r="E62" s="0"/>
      <x:c r="F62" t="str" s="2">
        <x:v>Walk-in</x:v>
      </x:c>
      <x:c r="G62" t="str" s="2">
        <x:v>Heritage Housing of Asheboro</x:v>
      </x:c>
      <x:c r="H62" t="str" s="2">
        <x:v>Maria Lopez</x:v>
      </x:c>
      <x:c r="I62" s="0"/>
      <x:c r="J62" s="0"/>
      <x:c r="K62" t="n" s="2">
        <x:v>21</x:v>
      </x:c>
      <x:c r="L62" t="str" s="2">
        <x:v>2.1</x:v>
      </x:c>
      <x:c r="M62" t="str" s="2">
        <x:v>Active</x:v>
      </x:c>
      <x:c r="N62" t="str" s="2">
        <x:v>Qualified</x:v>
      </x:c>
      <x:c r="O62" s="0"/>
      <x:c r="P62" s="6">
        <x:v>46209</x:v>
      </x:c>
      <x:c r="Q62" s="6">
        <x:v>46216.75510790509</x:v>
      </x:c>
      <x:c r="R62" s="0"/>
      <x:c r="S62" s="0"/>
      <x:c r="T62" s="0"/>
      <x:c r="U62" s="0"/>
      <x:c r="V62" s="0"/>
      <x:c r="W62" s="0"/>
      <x:c r="X62" t="str" s="2">
        <x:v>3369649065</x:v>
      </x:c>
      <x:c r="Y62" t="str" s="2">
        <x:v>bookreader0512@yahoo.com</x:v>
      </x:c>
      <x:c r="Z62" s="6">
        <x:v>46216.75509556713</x:v>
      </x:c>
      <x:c r="AA62" t="str" s="2">
        <x:v>Jeremy Jacques</x:v>
      </x:c>
      <x:c r="AB62" s="6">
        <x:v>46209.59142936343</x:v>
      </x:c>
      <x:c r="AC62" t="n" s="2">
        <x:v>38269</x:v>
      </x:c>
      <x:c r="AD62" s="0"/>
      <x:c r="AE62" s="0"/>
      <x:c r="AF62" s="0"/>
      <x:c r="AG62" s="0"/>
      <x:c r="AH62" s="0"/>
      <x:c r="AI62" s="0"/>
      <x:c r="AJ62" s="0"/>
      <x:c r="AK62" s="0"/>
    </x:row>
    <x:row r="63">
      <x:c r="A63" t="str" s="2">
        <x:f>=HYPERLINK("https://rsms.futurehomex.com/lead/38270", "Shannon Ford")</x:f>
      </x:c>
      <x:c r="B63" t="n" s="2">
        <x:v>99</x:v>
      </x:c>
      <x:c r="C63" t="str" s="2">
        <x:v>1/1</x:v>
      </x:c>
      <x:c r="D63" t="str" s="2">
        <x:f>=""</x:f>
      </x:c>
      <x:c r="E63" s="0"/>
      <x:c r="F63" t="str" s="2">
        <x:v>Financing Form</x:v>
      </x:c>
      <x:c r="G63" t="str" s="2">
        <x:v>Heritage Housing of Oklahoma City</x:v>
      </x:c>
      <x:c r="H63" t="str" s="2">
        <x:v>Trey Rixleben</x:v>
      </x:c>
      <x:c r="I63" t="str" s="2">
        <x:v>Karol Romero</x:v>
      </x:c>
      <x:c r="J63" t="str" s="2">
        <x:v>Trey Rixleben</x:v>
      </x:c>
      <x:c r="K63" t="n" s="2">
        <x:v>5</x:v>
      </x:c>
      <x:c r="L63" t="str" s="2">
        <x:v>1.1</x:v>
      </x:c>
      <x:c r="M63" t="str" s="2">
        <x:v>Tentative</x:v>
      </x:c>
      <x:c r="N63" t="str" s="2">
        <x:v>Deal Created</x:v>
      </x:c>
      <x:c r="O63" s="0"/>
      <x:c r="P63" s="6">
        <x:v>46209</x:v>
      </x:c>
      <x:c r="Q63" s="6">
        <x:v>46304.77710752315</x:v>
      </x:c>
      <x:c r="R63" s="0"/>
      <x:c r="S63" s="0"/>
      <x:c r="T63" s="0"/>
      <x:c r="U63" s="0"/>
      <x:c r="V63" s="0"/>
      <x:c r="W63" s="0"/>
      <x:c r="X63" t="str" s="2">
        <x:v>9454234073</x:v>
      </x:c>
      <x:c r="Y63" t="str" s="2">
        <x:v>sheaford02@gmail.com</x:v>
      </x:c>
      <x:c r="Z63" s="6">
        <x:v>46304.77725200231</x:v>
      </x:c>
      <x:c r="AA63" t="str" s="2">
        <x:v>Trey Rixleben</x:v>
      </x:c>
      <x:c r="AB63" s="6">
        <x:v>46209.597873645835</x:v>
      </x:c>
      <x:c r="AC63" t="n" s="2">
        <x:v>38270</x:v>
      </x:c>
      <x:c r="AD63" s="0"/>
      <x:c r="AE63" s="0"/>
      <x:c r="AF63" s="0"/>
      <x:c r="AG63" s="0"/>
      <x:c r="AH63" s="0"/>
      <x:c r="AI63" s="0"/>
      <x:c r="AJ63" s="0"/>
      <x:c r="AK63" s="0"/>
    </x:row>
    <x:row r="64">
      <x:c r="A64" t="str" s="2">
        <x:f>=HYPERLINK("https://rsms.futurehomex.com/lead/38271", "Sundee Strickland")</x:f>
      </x:c>
      <x:c r="B64" t="n" s="2">
        <x:v>99</x:v>
      </x:c>
      <x:c r="C64" t="str" s="2">
        <x:v>0/6</x:v>
      </x:c>
      <x:c r="D64" t="str" s="2">
        <x:f>="REPO, Single"</x:f>
      </x:c>
      <x:c r="E64" s="0"/>
      <x:c r="F64" t="str" s="2">
        <x:v>Walk-in</x:v>
      </x:c>
      <x:c r="G64" t="str" s="2">
        <x:v>Heritage Housing Gainesville</x:v>
      </x:c>
      <x:c r="H64" t="str" s="2">
        <x:v>Kelly Ford</x:v>
      </x:c>
      <x:c r="I64" s="0"/>
      <x:c r="J64" t="str" s="2">
        <x:v>Kelly Ford</x:v>
      </x:c>
      <x:c r="K64" t="n" s="2">
        <x:v>59</x:v>
      </x:c>
      <x:c r="L64" t="str" s="2">
        <x:v>4.3</x:v>
      </x:c>
      <x:c r="M64" t="str" s="2">
        <x:v>Active</x:v>
      </x:c>
      <x:c r="N64" t="str" s="2">
        <x:v>Loan Approved</x:v>
      </x:c>
      <x:c r="O64" s="6">
        <x:v>46342</x:v>
      </x:c>
      <x:c r="P64" s="6">
        <x:v>46209</x:v>
      </x:c>
      <x:c r="Q64" s="6">
        <x:v>46220.94030991898</x:v>
      </x:c>
      <x:c r="R64" s="0"/>
      <x:c r="S64" s="6">
        <x:v>46206</x:v>
      </x:c>
      <x:c r="T64" s="6">
        <x:v>46210</x:v>
      </x:c>
      <x:c r="U64" s="6">
        <x:v>46216</x:v>
      </x:c>
      <x:c r="V64" s="6">
        <x:v>46216</x:v>
      </x:c>
      <x:c r="W64" s="0"/>
      <x:c r="X64" t="str" s="2">
        <x:v>9407824162</x:v>
      </x:c>
      <x:c r="Y64" t="str" s="2">
        <x:v>sundeestrickland125@gmail.com</x:v>
      </x:c>
      <x:c r="Z64" s="6">
        <x:v>46300.833384641206</x:v>
      </x:c>
      <x:c r="AA64" t="str" s="2">
        <x:v>Kelly Ford</x:v>
      </x:c>
      <x:c r="AB64" s="6">
        <x:v>46289.782439930554</x:v>
      </x:c>
      <x:c r="AC64" t="n" s="2">
        <x:v>38271</x:v>
      </x:c>
      <x:c r="AD64" s="0"/>
      <x:c r="AE64" t="str" s="2">
        <x:v>Legacy Housing Corporation</x:v>
      </x:c>
      <x:c r="AF64" s="7">
        <x:v>50000</x:v>
      </x:c>
      <x:c r="AG64" s="7">
        <x:v>50000</x:v>
      </x:c>
      <x:c r="AH64" s="0"/>
      <x:c r="AI64" s="0"/>
      <x:c r="AJ64" s="0"/>
      <x:c r="AK64" s="0"/>
    </x:row>
    <x:row r="65">
      <x:c r="A65" t="str" s="2">
        <x:f>=HYPERLINK("https://rsms.futurehomex.com/lead/38272", "Victor Manuel Lopez Esquivel")</x:f>
      </x:c>
      <x:c r="B65" t="n" s="2">
        <x:v>99</x:v>
      </x:c>
      <x:c r="C65" t="str" s="2">
        <x:v>0/2</x:v>
      </x:c>
      <x:c r="D65" t="str" s="2">
        <x:f>=""</x:f>
      </x:c>
      <x:c r="E65" s="0"/>
      <x:c r="F65" t="str" s="2">
        <x:v>Walk-in</x:v>
      </x:c>
      <x:c r="G65" t="str" s="2">
        <x:v>Legacy Housing Corp. DBA Americasa</x:v>
      </x:c>
      <x:c r="H65" t="str" s="2">
        <x:v>Jose Parada</x:v>
      </x:c>
      <x:c r="I65" t="str" s="2">
        <x:v>Karol Romero</x:v>
      </x:c>
      <x:c r="J65" t="str" s="2">
        <x:v>Rodrigo Ramirez</x:v>
      </x:c>
      <x:c r="K65" t="n" s="2">
        <x:v>5</x:v>
      </x:c>
      <x:c r="L65" t="str" s="2">
        <x:v>1.1</x:v>
      </x:c>
      <x:c r="M65" t="str" s="2">
        <x:v>Tentative</x:v>
      </x:c>
      <x:c r="N65" t="str" s="2">
        <x:v>Deal Created</x:v>
      </x:c>
      <x:c r="O65" s="0"/>
      <x:c r="P65" s="6">
        <x:v>46209</x:v>
      </x:c>
      <x:c r="Q65" s="6">
        <x:v>46211.716976585645</x:v>
      </x:c>
      <x:c r="R65" s="0"/>
      <x:c r="S65" s="6">
        <x:v>46186</x:v>
      </x:c>
      <x:c r="T65" s="0"/>
      <x:c r="U65" s="0"/>
      <x:c r="V65" s="0"/>
      <x:c r="W65" s="0"/>
      <x:c r="X65" t="str" s="2">
        <x:v>7134090946</x:v>
      </x:c>
      <x:c r="Y65" t="str" s="2">
        <x:v>7134090946</x:v>
      </x:c>
      <x:c r="Z65" s="6">
        <x:v>46211.71895983796</x:v>
      </x:c>
      <x:c r="AA65" t="str" s="2">
        <x:v>Victoria Sanchez</x:v>
      </x:c>
      <x:c r="AB65" s="6">
        <x:v>46209.634371875</x:v>
      </x:c>
      <x:c r="AC65" t="n" s="2">
        <x:v>38272</x:v>
      </x:c>
      <x:c r="AD65" s="0"/>
      <x:c r="AE65" s="0"/>
      <x:c r="AF65" s="0"/>
      <x:c r="AG65" s="0"/>
      <x:c r="AH65" s="0"/>
      <x:c r="AI65" s="0"/>
      <x:c r="AJ65" s="0"/>
      <x:c r="AK65" s="0"/>
    </x:row>
    <x:row r="66">
      <x:c r="A66" t="str" s="2">
        <x:f>=HYPERLINK("https://rsms.futurehomex.com/lead/38276", "Ezequiel Gamez Palomo")</x:f>
      </x:c>
      <x:c r="B66" t="n" s="2">
        <x:v>99</x:v>
      </x:c>
      <x:c r="C66" t="str" s="2">
        <x:v>0/3</x:v>
      </x:c>
      <x:c r="D66" t="str" s="2">
        <x:f>=""</x:f>
      </x:c>
      <x:c r="E66" s="0"/>
      <x:c r="F66" t="str" s="2">
        <x:v>Meta Ads - Forms</x:v>
      </x:c>
      <x:c r="G66" t="str" s="2">
        <x:v>Legacy Housing Corp. DBA Americasa</x:v>
      </x:c>
      <x:c r="H66" t="str" s="2">
        <x:v>Joey Marquez</x:v>
      </x:c>
      <x:c r="I66" t="str" s="2">
        <x:v>Karol Romero</x:v>
      </x:c>
      <x:c r="J66" t="str" s="2">
        <x:v>Rodrigo Ramirez</x:v>
      </x:c>
      <x:c r="K66" t="n" s="2">
        <x:v>5</x:v>
      </x:c>
      <x:c r="L66" t="str" s="2">
        <x:v>1.1</x:v>
      </x:c>
      <x:c r="M66" t="str" s="2">
        <x:v>Tentative</x:v>
      </x:c>
      <x:c r="N66" t="str" s="2">
        <x:v>Prospect</x:v>
      </x:c>
      <x:c r="O66" s="0"/>
      <x:c r="P66" s="6">
        <x:v>46209</x:v>
      </x:c>
      <x:c r="Q66" s="6">
        <x:v>46234.938011956016</x:v>
      </x:c>
      <x:c r="R66" s="0"/>
      <x:c r="S66" s="6">
        <x:v>46187</x:v>
      </x:c>
      <x:c r="T66" s="0"/>
      <x:c r="U66" s="0"/>
      <x:c r="V66" s="0"/>
      <x:c r="W66" s="0"/>
      <x:c r="X66" t="str" s="2">
        <x:v>2812263378</x:v>
      </x:c>
      <x:c r="Y66" t="str" s="2">
        <x:v>ezequiel_gamez@yahoo.com</x:v>
      </x:c>
      <x:c r="Z66" s="6">
        <x:v>46234.938621064815</x:v>
      </x:c>
      <x:c r="AA66" t="str" s="2">
        <x:v>Victoria Sanchez</x:v>
      </x:c>
      <x:c r="AB66" s="6">
        <x:v>46209.689141979165</x:v>
      </x:c>
      <x:c r="AC66" t="n" s="2">
        <x:v>38276</x:v>
      </x:c>
      <x:c r="AD66" s="0"/>
      <x:c r="AE66" s="0"/>
      <x:c r="AF66" s="0"/>
      <x:c r="AG66" s="0"/>
      <x:c r="AH66" s="0"/>
      <x:c r="AI66" s="0"/>
      <x:c r="AJ66" s="0"/>
      <x:c r="AK66" s="0"/>
    </x:row>
    <x:row r="67">
      <x:c r="A67" t="str" s="2">
        <x:f>=HYPERLINK("https://rsms.futurehomex.com/lead/38278", "Alfredo Garcia")</x:f>
      </x:c>
      <x:c r="B67" t="n" s="2">
        <x:v>99</x:v>
      </x:c>
      <x:c r="C67" t="str" s="2">
        <x:v>0/4</x:v>
      </x:c>
      <x:c r="D67" t="str" s="2">
        <x:f>=""</x:f>
      </x:c>
      <x:c r="E67" s="0"/>
      <x:c r="F67" t="str" s="2">
        <x:v>WhatsApp</x:v>
      </x:c>
      <x:c r="G67" t="str" s="2">
        <x:v>Legacy Housing Corp. DBA Americasa</x:v>
      </x:c>
      <x:c r="H67" t="str" s="2">
        <x:v>Joey Marquez</x:v>
      </x:c>
      <x:c r="I67" t="str" s="2">
        <x:v>Karol Romero</x:v>
      </x:c>
      <x:c r="J67" t="str" s="2">
        <x:v>Rodrigo Ramirez</x:v>
      </x:c>
      <x:c r="K67" t="n" s="2">
        <x:v>5</x:v>
      </x:c>
      <x:c r="L67" t="str" s="2">
        <x:v>1.1</x:v>
      </x:c>
      <x:c r="M67" t="str" s="2">
        <x:v>Tentative</x:v>
      </x:c>
      <x:c r="N67" t="str" s="2">
        <x:v>Deal Created</x:v>
      </x:c>
      <x:c r="O67" s="0"/>
      <x:c r="P67" s="6">
        <x:v>46209</x:v>
      </x:c>
      <x:c r="Q67" s="6">
        <x:v>46269.90209945602</x:v>
      </x:c>
      <x:c r="R67" s="0"/>
      <x:c r="S67" s="0"/>
      <x:c r="T67" s="0"/>
      <x:c r="U67" s="0"/>
      <x:c r="V67" s="0"/>
      <x:c r="W67" s="0"/>
      <x:c r="X67" t="str" s="2">
        <x:v>8328944885</x:v>
      </x:c>
      <x:c r="Y67" t="str" s="2">
        <x:v>8328944885</x:v>
      </x:c>
      <x:c r="Z67" s="6">
        <x:v>46289.722266400466</x:v>
      </x:c>
      <x:c r="AA67" t="str" s="2">
        <x:v>Joey Marquez</x:v>
      </x:c>
      <x:c r="AB67" s="6">
        <x:v>46209.70440520834</x:v>
      </x:c>
      <x:c r="AC67" t="n" s="2">
        <x:v>38278</x:v>
      </x:c>
      <x:c r="AD67" s="0"/>
      <x:c r="AE67" s="0"/>
      <x:c r="AF67" s="0"/>
      <x:c r="AG67" s="0"/>
      <x:c r="AH67" s="0"/>
      <x:c r="AI67" s="0"/>
      <x:c r="AJ67" s="0"/>
      <x:c r="AK67" s="0"/>
    </x:row>
    <x:row r="68">
      <x:c r="A68" t="str" s="2">
        <x:f>=HYPERLINK("https://rsms.futurehomex.com/lead/38279", "Candace Rougeau")</x:f>
      </x:c>
      <x:c r="B68" t="n" s="2">
        <x:v>99</x:v>
      </x:c>
      <x:c r="C68" t="str" s="2">
        <x:v>0/4</x:v>
      </x:c>
      <x:c r="D68" t="str" s="2">
        <x:f>=""</x:f>
      </x:c>
      <x:c r="E68" s="0"/>
      <x:c r="F68" t="str" s="2">
        <x:v>Financing Form</x:v>
      </x:c>
      <x:c r="G68" t="str" s="2">
        <x:v>Heritage Housing of Jennings</x:v>
      </x:c>
      <x:c r="H68" t="str" s="2">
        <x:v>Clint O'Neal</x:v>
      </x:c>
      <x:c r="I68" s="0"/>
      <x:c r="J68" t="str" s="2">
        <x:v>Clint O'Neal</x:v>
      </x:c>
      <x:c r="K68" t="n" s="2">
        <x:v>5</x:v>
      </x:c>
      <x:c r="L68" t="str" s="2">
        <x:v>1.1</x:v>
      </x:c>
      <x:c r="M68" t="str" s="2">
        <x:v>Inactive</x:v>
      </x:c>
      <x:c r="N68" t="str" s="2">
        <x:v>Deal Created</x:v>
      </x:c>
      <x:c r="O68" s="0"/>
      <x:c r="P68" s="6">
        <x:v>46209</x:v>
      </x:c>
      <x:c r="Q68" s="6">
        <x:v>46209.735067361114</x:v>
      </x:c>
      <x:c r="R68" s="0"/>
      <x:c r="S68" s="0"/>
      <x:c r="T68" s="0"/>
      <x:c r="U68" s="0"/>
      <x:c r="V68" s="0"/>
      <x:c r="W68" s="0"/>
      <x:c r="X68" t="str" s="2">
        <x:v>3183069053</x:v>
      </x:c>
      <x:c r="Y68" t="str" s="2">
        <x:v>candaceware2009@gmail.com</x:v>
      </x:c>
      <x:c r="Z68" s="6">
        <x:v>46300.78915204861</x:v>
      </x:c>
      <x:c r="AA68" t="str" s="2">
        <x:v>Clint O'Neal</x:v>
      </x:c>
      <x:c r="AB68" s="6">
        <x:v>46209.735067974536</x:v>
      </x:c>
      <x:c r="AC68" t="n" s="2">
        <x:v>38279</x:v>
      </x:c>
      <x:c r="AD68" s="0"/>
      <x:c r="AE68" s="0"/>
      <x:c r="AF68" s="0"/>
      <x:c r="AG68" s="0"/>
      <x:c r="AH68" s="0"/>
      <x:c r="AI68" s="0"/>
      <x:c r="AJ68" s="0"/>
      <x:c r="AK68" s="0"/>
    </x:row>
    <x:row r="69">
      <x:c r="A69" t="str" s="2">
        <x:f>=HYPERLINK("https://rsms.futurehomex.com/lead/38281", "Charles Pettit")</x:f>
      </x:c>
      <x:c r="B69" t="n" s="2">
        <x:v>99</x:v>
      </x:c>
      <x:c r="C69" t="str" s="2">
        <x:v>0/1</x:v>
      </x:c>
      <x:c r="D69" t="str" s="2">
        <x:f>=""</x:f>
      </x:c>
      <x:c r="E69" t="str" s="2">
        <x:v>Deborah Pettit</x:v>
      </x:c>
      <x:c r="F69" t="str" s="2">
        <x:v>Google Ads</x:v>
      </x:c>
      <x:c r="G69" t="str" s="2">
        <x:v>Heritage Housing of Oklahoma City</x:v>
      </x:c>
      <x:c r="H69" t="str" s="2">
        <x:v>Trey Rixleben</x:v>
      </x:c>
      <x:c r="I69" t="str" s="2">
        <x:v>Karol Romero</x:v>
      </x:c>
      <x:c r="J69" t="str" s="2">
        <x:v>Trey Rixleben</x:v>
      </x:c>
      <x:c r="K69" t="n" s="2">
        <x:v>21</x:v>
      </x:c>
      <x:c r="L69" t="str" s="2">
        <x:v>2.1</x:v>
      </x:c>
      <x:c r="M69" t="str" s="2">
        <x:v>Dead</x:v>
      </x:c>
      <x:c r="N69" t="str" s="2">
        <x:v>Qualified</x:v>
      </x:c>
      <x:c r="O69" s="0"/>
      <x:c r="P69" s="6">
        <x:v>46209</x:v>
      </x:c>
      <x:c r="Q69" s="6">
        <x:v>46210.71346234954</x:v>
      </x:c>
      <x:c r="R69" s="0"/>
      <x:c r="S69" s="0"/>
      <x:c r="T69" s="0"/>
      <x:c r="U69" s="0"/>
      <x:c r="V69" s="0"/>
      <x:c r="W69" s="0"/>
      <x:c r="X69" t="str" s="2">
        <x:v>9186712251</x:v>
      </x:c>
      <x:c r="Y69" t="str" s="2">
        <x:v>chip.pettit@yahoo.com</x:v>
      </x:c>
      <x:c r="Z69" s="6">
        <x:v>46212.70216770833</x:v>
      </x:c>
      <x:c r="AA69" t="str" s="2">
        <x:v>Trey Rixleben</x:v>
      </x:c>
      <x:c r="AB69" s="6">
        <x:v>46209.78705825232</x:v>
      </x:c>
      <x:c r="AC69" t="n" s="2">
        <x:v>38281</x:v>
      </x:c>
      <x:c r="AD69" s="0"/>
      <x:c r="AE69" s="0"/>
      <x:c r="AF69" s="0"/>
      <x:c r="AG69" s="7">
        <x:v>10000</x:v>
      </x:c>
      <x:c r="AH69" s="0"/>
      <x:c r="AI69" s="0"/>
      <x:c r="AJ69" s="0"/>
      <x:c r="AK69" s="0"/>
    </x:row>
    <x:row r="70">
      <x:c r="A70" t="str" s="2">
        <x:f>=HYPERLINK("https://rsms.futurehomex.com/lead/38283", "Mario Baskin")</x:f>
      </x:c>
      <x:c r="B70" t="n" s="2">
        <x:v>99</x:v>
      </x:c>
      <x:c r="C70" t="str" s="2">
        <x:v>0/1</x:v>
      </x:c>
      <x:c r="D70" t="str" s="2">
        <x:f>=""</x:f>
      </x:c>
      <x:c r="E70" s="0"/>
      <x:c r="F70" t="str" s="2">
        <x:v>Facebook Messenger</x:v>
      </x:c>
      <x:c r="G70" t="str" s="2">
        <x:v>Heritage Housing of Oklahoma City</x:v>
      </x:c>
      <x:c r="H70" t="str" s="2">
        <x:v>Alejandra Calderon</x:v>
      </x:c>
      <x:c r="I70" s="0"/>
      <x:c r="J70" s="0"/>
      <x:c r="K70" t="n" s="2">
        <x:v>5</x:v>
      </x:c>
      <x:c r="L70" t="str" s="2">
        <x:v>1.1</x:v>
      </x:c>
      <x:c r="M70" t="str" s="2">
        <x:v>Dead</x:v>
      </x:c>
      <x:c r="N70" t="str" s="2">
        <x:v>Prospect</x:v>
      </x:c>
      <x:c r="O70" s="0"/>
      <x:c r="P70" s="6">
        <x:v>46209</x:v>
      </x:c>
      <x:c r="Q70" s="6">
        <x:v>46212.92420806713</x:v>
      </x:c>
      <x:c r="R70" s="0"/>
      <x:c r="S70" s="6">
        <x:v>46209</x:v>
      </x:c>
      <x:c r="T70" s="0"/>
      <x:c r="U70" s="0"/>
      <x:c r="V70" s="0"/>
      <x:c r="W70" s="0"/>
      <x:c r="X70" t="str" s="2">
        <x:v>4054046871</x:v>
      </x:c>
      <x:c r="Y70" t="str" s="2">
        <x:v>mariobaskin6@gmail.com</x:v>
      </x:c>
      <x:c r="Z70" s="6">
        <x:v>46214.84405165509</x:v>
      </x:c>
      <x:c r="AA70" t="str" s="2">
        <x:v>Miza Pena</x:v>
      </x:c>
      <x:c r="AB70" s="6">
        <x:v>46209.827299571756</x:v>
      </x:c>
      <x:c r="AC70" t="n" s="2">
        <x:v>38283</x:v>
      </x:c>
      <x:c r="AD70" s="0"/>
      <x:c r="AE70" s="0"/>
      <x:c r="AF70" s="0"/>
      <x:c r="AG70" s="7">
        <x:v>20000</x:v>
      </x:c>
      <x:c r="AH70" s="0"/>
      <x:c r="AI70" s="0"/>
      <x:c r="AJ70" s="0"/>
      <x:c r="AK70" s="0"/>
    </x:row>
    <x:row r="71">
      <x:c r="A71" t="str" s="2">
        <x:f>=HYPERLINK("https://rsms.futurehomex.com/lead/38284", "Sarah Hussey")</x:f>
      </x:c>
      <x:c r="B71" t="n" s="2">
        <x:v>99</x:v>
      </x:c>
      <x:c r="C71" t="str" s="2">
        <x:v/>
      </x:c>
      <x:c r="D71" t="str" s="2">
        <x:f>=""</x:f>
      </x:c>
      <x:c r="E71" s="0"/>
      <x:c r="F71" t="str" s="2">
        <x:v>Meta Marketplace</x:v>
      </x:c>
      <x:c r="G71" t="str" s="2">
        <x:v>Heritage Housing of Asheboro</x:v>
      </x:c>
      <x:c r="H71" t="str" s="2">
        <x:v>Maria Lopez</x:v>
      </x:c>
      <x:c r="I71" t="str" s="2">
        <x:v>Karol Romero</x:v>
      </x:c>
      <x:c r="J71" t="str" s="2">
        <x:v>Maria Lopez</x:v>
      </x:c>
      <x:c r="K71" t="n" s="2">
        <x:v>21</x:v>
      </x:c>
      <x:c r="L71" t="str" s="2">
        <x:v>2.1</x:v>
      </x:c>
      <x:c r="M71" t="str" s="2">
        <x:v>Active</x:v>
      </x:c>
      <x:c r="N71" t="str" s="2">
        <x:v>Qualified</x:v>
      </x:c>
      <x:c r="O71" s="0"/>
      <x:c r="P71" s="6">
        <x:v>46209</x:v>
      </x:c>
      <x:c r="Q71" s="6">
        <x:v>46216.75581076389</x:v>
      </x:c>
      <x:c r="R71" s="0"/>
      <x:c r="S71" s="6">
        <x:v>46209</x:v>
      </x:c>
      <x:c r="T71" s="0"/>
      <x:c r="U71" s="0"/>
      <x:c r="V71" s="0"/>
      <x:c r="W71" s="0"/>
      <x:c r="X71" t="str" s="2">
        <x:v>3369538903</x:v>
      </x:c>
      <x:c r="Y71" t="str" s="2">
        <x:v>sarahhussey42@gmail.com</x:v>
      </x:c>
      <x:c r="Z71" s="6">
        <x:v>46216.755798067126</x:v>
      </x:c>
      <x:c r="AA71" t="str" s="2">
        <x:v>Jeremy Jacques</x:v>
      </x:c>
      <x:c r="AB71" s="6">
        <x:v>46209.83777453704</x:v>
      </x:c>
      <x:c r="AC71" t="n" s="2">
        <x:v>38284</x:v>
      </x:c>
      <x:c r="AD71" s="0"/>
      <x:c r="AE71" s="0"/>
      <x:c r="AF71" s="0"/>
      <x:c r="AG71" s="0"/>
      <x:c r="AH71" s="0"/>
      <x:c r="AI71" s="0"/>
      <x:c r="AJ71" s="0"/>
      <x:c r="AK71" s="0"/>
    </x:row>
    <x:row r="72">
      <x:c r="A72" t="str" s="2">
        <x:f>=HYPERLINK("https://rsms.futurehomex.com/lead/38285", "Shambria Hand")</x:f>
      </x:c>
      <x:c r="B72" t="n" s="2">
        <x:v>99</x:v>
      </x:c>
      <x:c r="C72" t="str" s="2">
        <x:v>0/1</x:v>
      </x:c>
      <x:c r="D72" t="str" s="2">
        <x:f>=""</x:f>
      </x:c>
      <x:c r="E72" s="0"/>
      <x:c r="F72" t="str" s="2">
        <x:v>Facebook Messenger</x:v>
      </x:c>
      <x:c r="G72" t="str" s="2">
        <x:v>Heritage Housing of Athens</x:v>
      </x:c>
      <x:c r="H72" t="str" s="2">
        <x:v>Nathan Bishop</x:v>
      </x:c>
      <x:c r="I72" s="0"/>
      <x:c r="J72" t="str" s="2">
        <x:v>Nathan Bishop</x:v>
      </x:c>
      <x:c r="K72" t="n" s="2">
        <x:v>38</x:v>
      </x:c>
      <x:c r="L72" t="str" s="2">
        <x:v>3.2</x:v>
      </x:c>
      <x:c r="M72" t="str" s="2">
        <x:v>Dead</x:v>
      </x:c>
      <x:c r="N72" t="str" s="2">
        <x:v>Application</x:v>
      </x:c>
      <x:c r="O72" s="0"/>
      <x:c r="P72" s="6">
        <x:v>46209</x:v>
      </x:c>
      <x:c r="Q72" s="6">
        <x:v>46210.64652410879</x:v>
      </x:c>
      <x:c r="R72" s="0"/>
      <x:c r="S72" s="0"/>
      <x:c r="T72" s="0"/>
      <x:c r="U72" s="0"/>
      <x:c r="V72" s="0"/>
      <x:c r="W72" s="0"/>
      <x:c r="X72" t="str" s="2">
        <x:v>7622803476</x:v>
      </x:c>
      <x:c r="Y72" t="str" s="2">
        <x:v>briahand@icloud.com</x:v>
      </x:c>
      <x:c r="Z72" s="6">
        <x:v>46216.70272596065</x:v>
      </x:c>
      <x:c r="AA72" t="str" s="2">
        <x:v>Iris McKinley</x:v>
      </x:c>
      <x:c r="AB72" s="6">
        <x:v>46211.74039699074</x:v>
      </x:c>
      <x:c r="AC72" t="n" s="2">
        <x:v>38285</x:v>
      </x:c>
      <x:c r="AD72" t="str" s="2">
        <x:v>Doublewide</x:v>
      </x:c>
      <x:c r="AE72" s="0"/>
      <x:c r="AF72" s="0"/>
      <x:c r="AG72" s="7">
        <x:v>1</x:v>
      </x:c>
      <x:c r="AH72" s="0"/>
      <x:c r="AI72" s="0"/>
      <x:c r="AJ72" s="0"/>
      <x:c r="AK72" s="0"/>
    </x:row>
    <x:row r="73">
      <x:c r="A73" t="str" s="2">
        <x:f>=HYPERLINK("https://rsms.futurehomex.com/lead/38287", "Beth Earnest")</x:f>
      </x:c>
      <x:c r="B73" t="n" s="2">
        <x:v>99</x:v>
      </x:c>
      <x:c r="C73" t="str" s="2">
        <x:v>0/2</x:v>
      </x:c>
      <x:c r="D73" t="str" s="2">
        <x:f>=""</x:f>
      </x:c>
      <x:c r="E73" s="0"/>
      <x:c r="F73" t="str" s="2">
        <x:v>Meta Ads - Forms</x:v>
      </x:c>
      <x:c r="G73" t="str" s="2">
        <x:v>Heritage Housing of Oklahoma City</x:v>
      </x:c>
      <x:c r="H73" t="str" s="2">
        <x:v>Trey Rixleben</x:v>
      </x:c>
      <x:c r="I73" s="0"/>
      <x:c r="J73" t="str" s="2">
        <x:v>Trey Rixleben</x:v>
      </x:c>
      <x:c r="K73" t="n" s="2">
        <x:v>5</x:v>
      </x:c>
      <x:c r="L73" t="str" s="2">
        <x:v>1.1</x:v>
      </x:c>
      <x:c r="M73" t="str" s="2">
        <x:v>Dead</x:v>
      </x:c>
      <x:c r="N73" t="str" s="2">
        <x:v>Deal Created</x:v>
      </x:c>
      <x:c r="O73" s="0"/>
      <x:c r="P73" s="6">
        <x:v>46209</x:v>
      </x:c>
      <x:c r="Q73" s="6">
        <x:v>46296.71594267361</x:v>
      </x:c>
      <x:c r="R73" s="0"/>
      <x:c r="S73" s="0"/>
      <x:c r="T73" s="0"/>
      <x:c r="U73" s="0"/>
      <x:c r="V73" s="0"/>
      <x:c r="W73" s="0"/>
      <x:c r="X73" t="str" s="2">
        <x:v>4055712318</x:v>
      </x:c>
      <x:c r="Y73" t="str" s="2">
        <x:v>pug9962@gmail.com</x:v>
      </x:c>
      <x:c r="Z73" s="6">
        <x:v>46296.962739236114</x:v>
      </x:c>
      <x:c r="AA73" t="str" s="2">
        <x:v>Richard Bell</x:v>
      </x:c>
      <x:c r="AB73" s="6">
        <x:v>46209.85211478009</x:v>
      </x:c>
      <x:c r="AC73" t="n" s="2">
        <x:v>38287</x:v>
      </x:c>
      <x:c r="AD73" s="0"/>
      <x:c r="AE73" s="0"/>
      <x:c r="AF73" s="0"/>
      <x:c r="AG73" s="0"/>
      <x:c r="AH73" s="0"/>
      <x:c r="AI73" s="0"/>
      <x:c r="AJ73" s="0"/>
      <x:c r="AK73" s="0"/>
    </x:row>
    <x:row r="74">
      <x:c r="A74" t="str" s="2">
        <x:f>=HYPERLINK("https://rsms.futurehomex.com/lead/38288", "JORGE BENITEZ")</x:f>
      </x:c>
      <x:c r="B74" t="n" s="2">
        <x:v>99</x:v>
      </x:c>
      <x:c r="C74" t="str" s="2">
        <x:v/>
      </x:c>
      <x:c r="D74" t="str" s="2">
        <x:f>=""</x:f>
      </x:c>
      <x:c r="E74" s="0"/>
      <x:c r="F74" t="str" s="2">
        <x:v>Walk-in</x:v>
      </x:c>
      <x:c r="G74" t="str" s="2">
        <x:v>Heritage Housing of Augusta</x:v>
      </x:c>
      <x:c r="H74" t="str" s="2">
        <x:v>Faye Lively</x:v>
      </x:c>
      <x:c r="I74" s="0"/>
      <x:c r="J74" s="0"/>
      <x:c r="K74" t="n" s="2">
        <x:v>21</x:v>
      </x:c>
      <x:c r="L74" t="str" s="2">
        <x:v>2.1</x:v>
      </x:c>
      <x:c r="M74" t="str" s="2">
        <x:v>Active</x:v>
      </x:c>
      <x:c r="N74" t="str" s="2">
        <x:v>Qualified</x:v>
      </x:c>
      <x:c r="O74" s="0"/>
      <x:c r="P74" s="6">
        <x:v>46209</x:v>
      </x:c>
      <x:c r="Q74" s="6">
        <x:v>46217.71187033565</x:v>
      </x:c>
      <x:c r="R74" s="0"/>
      <x:c r="S74" s="6">
        <x:v>46208</x:v>
      </x:c>
      <x:c r="T74" s="0"/>
      <x:c r="U74" s="0"/>
      <x:c r="V74" s="0"/>
      <x:c r="W74" s="0"/>
      <x:c r="X74" t="str" s="2">
        <x:v>8035968683</x:v>
      </x:c>
      <x:c r="Y74" t="str" s="2">
        <x:v>josieq49@gmail.com</x:v>
      </x:c>
      <x:c r="Z74" s="6">
        <x:v>46217.71185871528</x:v>
      </x:c>
      <x:c r="AA74" t="str" s="2">
        <x:v>Brian Amato</x:v>
      </x:c>
      <x:c r="AB74" s="6">
        <x:v>46209.864080405096</x:v>
      </x:c>
      <x:c r="AC74" t="n" s="2">
        <x:v>38288</x:v>
      </x:c>
      <x:c r="AD74" s="0"/>
      <x:c r="AE74" s="0"/>
      <x:c r="AF74" s="0"/>
      <x:c r="AG74" s="0"/>
      <x:c r="AH74" s="0"/>
      <x:c r="AI74" s="0"/>
      <x:c r="AJ74" s="0"/>
      <x:c r="AK74" s="0"/>
    </x:row>
    <x:row r="75">
      <x:c r="A75" t="str" s="2">
        <x:f>=HYPERLINK("https://rsms.futurehomex.com/lead/38289", "Brian Rivers")</x:f>
      </x:c>
      <x:c r="B75" t="n" s="2">
        <x:v>99</x:v>
      </x:c>
      <x:c r="C75" t="str" s="2">
        <x:v/>
      </x:c>
      <x:c r="D75" t="str" s="2">
        <x:f>=""</x:f>
      </x:c>
      <x:c r="E75" s="0"/>
      <x:c r="F75" t="str" s="2">
        <x:v>Financing Form</x:v>
      </x:c>
      <x:c r="G75" t="str" s="2">
        <x:v>Heritage Housing Mt Pleasant</x:v>
      </x:c>
      <x:c r="H75" t="str" s="2">
        <x:v>Yarelis Torres</x:v>
      </x:c>
      <x:c r="I75" s="0"/>
      <x:c r="J75" t="str" s="2">
        <x:v>Yarelis Torres</x:v>
      </x:c>
      <x:c r="K75" t="n" s="2">
        <x:v>5</x:v>
      </x:c>
      <x:c r="L75" t="str" s="2">
        <x:v>1.1</x:v>
      </x:c>
      <x:c r="M75" t="str" s="2">
        <x:v>Tentative</x:v>
      </x:c>
      <x:c r="N75" t="str" s="2">
        <x:v>Prospect</x:v>
      </x:c>
      <x:c r="O75" s="0"/>
      <x:c r="P75" s="6">
        <x:v>46209</x:v>
      </x:c>
      <x:c r="Q75" s="6">
        <x:v>46209.88960362269</x:v>
      </x:c>
      <x:c r="R75" s="0"/>
      <x:c r="S75" s="0"/>
      <x:c r="T75" s="0"/>
      <x:c r="U75" s="0"/>
      <x:c r="V75" s="0"/>
      <x:c r="W75" s="0"/>
      <x:c r="X75" t="str" s="2">
        <x:v>9038645882</x:v>
      </x:c>
      <x:c r="Y75" t="str" s="2">
        <x:v>nbr4617@gmail.com</x:v>
      </x:c>
      <x:c r="Z75" s="6">
        <x:v>46209.96007523148</x:v>
      </x:c>
      <x:c r="AA75" t="str" s="2">
        <x:v>Yarelis Torres</x:v>
      </x:c>
      <x:c r="AB75" s="6">
        <x:v>46209.889605324075</x:v>
      </x:c>
      <x:c r="AC75" t="n" s="2">
        <x:v>38289</x:v>
      </x:c>
      <x:c r="AD75" s="0"/>
      <x:c r="AE75" s="0"/>
      <x:c r="AF75" s="0"/>
      <x:c r="AG75" s="0"/>
      <x:c r="AH75" s="0"/>
      <x:c r="AI75" s="0"/>
      <x:c r="AJ75" s="0"/>
      <x:c r="AK75" s="0"/>
    </x:row>
    <x:row r="76">
      <x:c r="A76" t="str" s="2">
        <x:f>=HYPERLINK("https://rsms.futurehomex.com/lead/38290", "Janice Ames")</x:f>
      </x:c>
      <x:c r="B76" t="n" s="2">
        <x:v>99</x:v>
      </x:c>
      <x:c r="C76" t="str" s="2">
        <x:v>0/4</x:v>
      </x:c>
      <x:c r="D76" t="str" s="2">
        <x:f>="TINY"</x:f>
      </x:c>
      <x:c r="E76" s="0"/>
      <x:c r="F76" t="str" s="2">
        <x:v>META Marketplace</x:v>
      </x:c>
      <x:c r="G76" t="str" s="2">
        <x:v>Heritage Housing Gainesville</x:v>
      </x:c>
      <x:c r="H76" t="str" s="2">
        <x:v>Chris Michniacki</x:v>
      </x:c>
      <x:c r="I76" s="0"/>
      <x:c r="J76" t="str" s="2">
        <x:v>Chris Michniacki</x:v>
      </x:c>
      <x:c r="K76" t="n" s="2">
        <x:v>100</x:v>
      </x:c>
      <x:c r="L76" t="str" s="2">
        <x:v>6.2</x:v>
      </x:c>
      <x:c r="M76" t="str" s="2">
        <x:v>Closed</x:v>
      </x:c>
      <x:c r="N76" t="str" s="2">
        <x:v>Delivered</x:v>
      </x:c>
      <x:c r="O76" s="6">
        <x:v>46229</x:v>
      </x:c>
      <x:c r="P76" s="6">
        <x:v>46209</x:v>
      </x:c>
      <x:c r="Q76" s="6">
        <x:v>46244.923375694445</x:v>
      </x:c>
      <x:c r="R76" s="0"/>
      <x:c r="S76" s="0"/>
      <x:c r="T76" s="6">
        <x:v>46210</x:v>
      </x:c>
      <x:c r="U76" s="6">
        <x:v>46213</x:v>
      </x:c>
      <x:c r="V76" s="6">
        <x:v>46226</x:v>
      </x:c>
      <x:c r="W76" s="6">
        <x:v>46234</x:v>
      </x:c>
      <x:c r="X76" t="str" s="2">
        <x:v>4694276897</x:v>
      </x:c>
      <x:c r="Y76" t="str" s="2">
        <x:v>janicethepianist@gmail.com</x:v>
      </x:c>
      <x:c r="Z76" s="6">
        <x:v>46230.60829174769</x:v>
      </x:c>
      <x:c r="AA76" t="str" s="2">
        <x:v>John Schwichtenberg</x:v>
      </x:c>
      <x:c r="AB76" s="6">
        <x:v>46209.89222318287</x:v>
      </x:c>
      <x:c r="AC76" t="n" s="2">
        <x:v>38290</x:v>
      </x:c>
      <x:c r="AD76" t="str" s="2">
        <x:v>Tiny Home</x:v>
      </x:c>
      <x:c r="AE76" t="str" s="2">
        <x:v>Legacy Housing Corporation</x:v>
      </x:c>
      <x:c r="AF76" s="7">
        <x:v>6100</x:v>
      </x:c>
      <x:c r="AG76" s="7">
        <x:v>6100</x:v>
      </x:c>
      <x:c r="AH76" s="0"/>
      <x:c r="AI76" s="0"/>
      <x:c r="AJ76" s="0"/>
      <x:c r="AK76" s="0"/>
    </x:row>
    <x:row r="77">
      <x:c r="A77" t="str" s="2">
        <x:f>=HYPERLINK("https://rsms.futurehomex.com/lead/38291", "Mark Turner")</x:f>
      </x:c>
      <x:c r="B77" t="n" s="2">
        <x:v>99</x:v>
      </x:c>
      <x:c r="C77" t="str" s="2">
        <x:v>0/5</x:v>
      </x:c>
      <x:c r="D77" t="str" s="2">
        <x:f>=""</x:f>
      </x:c>
      <x:c r="E77" s="0"/>
      <x:c r="F77" t="str" s="2">
        <x:v>Walk-in</x:v>
      </x:c>
      <x:c r="G77" t="str" s="2">
        <x:v>Heritage Housing of Oklahoma City</x:v>
      </x:c>
      <x:c r="H77" t="str" s="2">
        <x:v>Steve Castell</x:v>
      </x:c>
      <x:c r="I77" s="0"/>
      <x:c r="J77" s="0"/>
      <x:c r="K77" t="n" s="2">
        <x:v>5</x:v>
      </x:c>
      <x:c r="L77" t="str" s="2">
        <x:v>1.1</x:v>
      </x:c>
      <x:c r="M77" t="str" s="2">
        <x:v>Dead</x:v>
      </x:c>
      <x:c r="N77" t="str" s="2">
        <x:v>Deal Created</x:v>
      </x:c>
      <x:c r="O77" s="0"/>
      <x:c r="P77" s="6">
        <x:v>46209</x:v>
      </x:c>
      <x:c r="Q77" s="6">
        <x:v>46209.893098761575</x:v>
      </x:c>
      <x:c r="R77" s="0"/>
      <x:c r="S77" s="6">
        <x:v>46209</x:v>
      </x:c>
      <x:c r="T77" s="0"/>
      <x:c r="U77" s="0"/>
      <x:c r="V77" s="0"/>
      <x:c r="W77" s="0"/>
      <x:c r="X77" t="str" s="2">
        <x:v>4055352387</x:v>
      </x:c>
      <x:c r="Y77" t="str" s="2">
        <x:v>mtnest3713@gmail.com</x:v>
      </x:c>
      <x:c r="Z77" s="6">
        <x:v>46267.03711670139</x:v>
      </x:c>
      <x:c r="AA77" t="str" s="2">
        <x:v>Steve Castell</x:v>
      </x:c>
      <x:c r="AB77" s="6">
        <x:v>46209.89310054398</x:v>
      </x:c>
      <x:c r="AC77" t="n" s="2">
        <x:v>38291</x:v>
      </x:c>
      <x:c r="AD77" s="0"/>
      <x:c r="AE77" s="0"/>
      <x:c r="AF77" s="0"/>
      <x:c r="AG77" s="0"/>
      <x:c r="AH77" s="0"/>
      <x:c r="AI77" s="0"/>
      <x:c r="AJ77" s="0"/>
      <x:c r="AK77" s="0"/>
    </x:row>
    <x:row r="78">
      <x:c r="A78" t="str" s="2">
        <x:f>=HYPERLINK("https://rsms.futurehomex.com/lead/38292", "Halayna Hedger")</x:f>
      </x:c>
      <x:c r="B78" t="n" s="2">
        <x:v>99</x:v>
      </x:c>
      <x:c r="C78" t="str" s="2">
        <x:v/>
      </x:c>
      <x:c r="D78" t="str" s="2">
        <x:f>=""</x:f>
      </x:c>
      <x:c r="E78" s="0"/>
      <x:c r="F78" t="str" s="2">
        <x:v>META Ads</x:v>
      </x:c>
      <x:c r="G78" t="str" s="2">
        <x:v>Heritage Housing Mt Pleasant</x:v>
      </x:c>
      <x:c r="H78" t="str" s="2">
        <x:v>Yarelis Torres</x:v>
      </x:c>
      <x:c r="I78" s="0"/>
      <x:c r="J78" t="str" s="2">
        <x:v>Yarelis Torres</x:v>
      </x:c>
      <x:c r="K78" t="n" s="2">
        <x:v>5</x:v>
      </x:c>
      <x:c r="L78" t="str" s="2">
        <x:v>1.1</x:v>
      </x:c>
      <x:c r="M78" t="str" s="2">
        <x:v>Tentative</x:v>
      </x:c>
      <x:c r="N78" t="str" s="2">
        <x:v>Deal Created</x:v>
      </x:c>
      <x:c r="O78" s="0"/>
      <x:c r="P78" s="6">
        <x:v>46209</x:v>
      </x:c>
      <x:c r="Q78" s="6">
        <x:v>46209.89838278935</x:v>
      </x:c>
      <x:c r="R78" s="0"/>
      <x:c r="S78" s="0"/>
      <x:c r="T78" s="0"/>
      <x:c r="U78" s="0"/>
      <x:c r="V78" s="0"/>
      <x:c r="W78" s="0"/>
      <x:c r="X78" t="str" s="2">
        <x:v>9032610096</x:v>
      </x:c>
      <x:c r="Y78" t="str" s="2">
        <x:v>9032610096</x:v>
      </x:c>
      <x:c r="Z78" s="6">
        <x:v>46209.958178622684</x:v>
      </x:c>
      <x:c r="AA78" t="str" s="2">
        <x:v>Yarelis Torres</x:v>
      </x:c>
      <x:c r="AB78" s="6">
        <x:v>46209.89838445602</x:v>
      </x:c>
      <x:c r="AC78" t="n" s="2">
        <x:v>38292</x:v>
      </x:c>
      <x:c r="AD78" s="0"/>
      <x:c r="AE78" s="0"/>
      <x:c r="AF78" s="0"/>
      <x:c r="AG78" s="0"/>
      <x:c r="AH78" s="0"/>
      <x:c r="AI78" s="0"/>
      <x:c r="AJ78" s="0"/>
      <x:c r="AK78" s="0"/>
    </x:row>
    <x:row r="79">
      <x:c r="A79" t="str" s="2">
        <x:f>=HYPERLINK("https://rsms.futurehomex.com/lead/38295", "Wesley Wise")</x:f>
      </x:c>
      <x:c r="B79" t="n" s="2">
        <x:v>99</x:v>
      </x:c>
      <x:c r="C79" t="str" s="2">
        <x:v/>
      </x:c>
      <x:c r="D79" t="str" s="2">
        <x:f>=""</x:f>
      </x:c>
      <x:c r="E79" s="0"/>
      <x:c r="F79" t="str" s="2">
        <x:v>Google Ads</x:v>
      </x:c>
      <x:c r="G79" t="str" s="2">
        <x:v>Heritage Housing of Athens</x:v>
      </x:c>
      <x:c r="H79" t="str" s="2">
        <x:v>Nathan Bishop</x:v>
      </x:c>
      <x:c r="I79" t="str" s="2">
        <x:v>Karol Romero</x:v>
      </x:c>
      <x:c r="J79" t="str" s="2">
        <x:v>Nathan Bishop</x:v>
      </x:c>
      <x:c r="K79" t="n" s="2">
        <x:v>5</x:v>
      </x:c>
      <x:c r="L79" t="str" s="2">
        <x:v>1.1</x:v>
      </x:c>
      <x:c r="M79" t="str" s="2">
        <x:v>Tentative</x:v>
      </x:c>
      <x:c r="N79" t="str" s="2">
        <x:v>Deal Created</x:v>
      </x:c>
      <x:c r="O79" s="0"/>
      <x:c r="P79" s="6">
        <x:v>46209</x:v>
      </x:c>
      <x:c r="Q79" s="6">
        <x:v>46209.95856947917</x:v>
      </x:c>
      <x:c r="R79" s="0"/>
      <x:c r="S79" s="0"/>
      <x:c r="T79" s="0"/>
      <x:c r="U79" s="0"/>
      <x:c r="V79" s="0"/>
      <x:c r="W79" s="0"/>
      <x:c r="X79" t="str" s="2">
        <x:v>7707152809</x:v>
      </x:c>
      <x:c r="Y79" t="str" s="2">
        <x:v>7707152809</x:v>
      </x:c>
      <x:c r="Z79" s="6">
        <x:v>46209.960685266204</x:v>
      </x:c>
      <x:c r="AA79" t="str" s="2">
        <x:v>Nathan Bishop</x:v>
      </x:c>
      <x:c r="AB79" s="6">
        <x:v>46209.95857106482</x:v>
      </x:c>
      <x:c r="AC79" t="n" s="2">
        <x:v>38295</x:v>
      </x:c>
      <x:c r="AD79" s="0"/>
      <x:c r="AE79" s="0"/>
      <x:c r="AF79" s="0"/>
      <x:c r="AG79" s="0"/>
      <x:c r="AH79" s="0"/>
      <x:c r="AI79" s="0"/>
      <x:c r="AJ79" s="0"/>
      <x:c r="AK79" s="0"/>
    </x:row>
    <x:row r="80">
      <x:c r="A80" t="str" s="2">
        <x:f>=HYPERLINK("https://rsms.futurehomex.com/lead/38296", "Lisa Wilson")</x:f>
      </x:c>
      <x:c r="B80" t="n" s="2">
        <x:v>99</x:v>
      </x:c>
      <x:c r="C80" t="str" s="2">
        <x:v>0/3</x:v>
      </x:c>
      <x:c r="D80" t="str" s="2">
        <x:f>=""</x:f>
      </x:c>
      <x:c r="E80" s="0"/>
      <x:c r="F80" t="str" s="2">
        <x:v>Walk-in</x:v>
      </x:c>
      <x:c r="G80" t="str" s="2">
        <x:v>Heritage Housing of Oklahoma City</x:v>
      </x:c>
      <x:c r="H80" t="str" s="2">
        <x:v>Trey Rixleben</x:v>
      </x:c>
      <x:c r="I80" s="0"/>
      <x:c r="J80" s="0"/>
      <x:c r="K80" t="n" s="2">
        <x:v>38</x:v>
      </x:c>
      <x:c r="L80" t="str" s="2">
        <x:v>3.2</x:v>
      </x:c>
      <x:c r="M80" t="str" s="2">
        <x:v>Dead</x:v>
      </x:c>
      <x:c r="N80" t="str" s="2">
        <x:v>Application</x:v>
      </x:c>
      <x:c r="O80" s="0"/>
      <x:c r="P80" s="6">
        <x:v>46209</x:v>
      </x:c>
      <x:c r="Q80" s="6">
        <x:v>46214.804169525465</x:v>
      </x:c>
      <x:c r="R80" s="0"/>
      <x:c r="S80" s="6">
        <x:v>46209</x:v>
      </x:c>
      <x:c r="T80" s="0"/>
      <x:c r="U80" s="0"/>
      <x:c r="V80" s="0"/>
      <x:c r="W80" s="0"/>
      <x:c r="X80" t="str" s="2">
        <x:v>5594208211</x:v>
      </x:c>
      <x:c r="Y80" t="str" s="2">
        <x:v>Nmbr1parents@aol.com</x:v>
      </x:c>
      <x:c r="Z80" s="6">
        <x:v>46223.99167905092</x:v>
      </x:c>
      <x:c r="AA80" t="str" s="2">
        <x:v>Trey Rixleben</x:v>
      </x:c>
      <x:c r="AB80" s="6">
        <x:v>46220.57907056713</x:v>
      </x:c>
      <x:c r="AC80" t="n" s="2">
        <x:v>38296</x:v>
      </x:c>
      <x:c r="AD80" s="0"/>
      <x:c r="AE80" s="0"/>
      <x:c r="AF80" s="0"/>
      <x:c r="AG80" s="7">
        <x:v>20000</x:v>
      </x:c>
      <x:c r="AH80" s="0"/>
      <x:c r="AI80" s="0"/>
      <x:c r="AJ80" s="0"/>
      <x:c r="AK80" s="0"/>
    </x:row>
    <x:row r="81">
      <x:c r="A81" t="str" s="2">
        <x:f>=HYPERLINK("https://rsms.futurehomex.com/lead/38297", "Cynthia Howk")</x:f>
      </x:c>
      <x:c r="B81" t="n" s="2">
        <x:v>99</x:v>
      </x:c>
      <x:c r="C81" t="str" s="2">
        <x:v/>
      </x:c>
      <x:c r="D81" t="str" s="2">
        <x:f>=""</x:f>
      </x:c>
      <x:c r="E81" s="0"/>
      <x:c r="F81" t="str" s="2">
        <x:v>META Marketplace</x:v>
      </x:c>
      <x:c r="G81" t="str" s="2">
        <x:v>Heritage Housing Mt Pleasant</x:v>
      </x:c>
      <x:c r="H81" t="str" s="2">
        <x:v>Elias Gallardo</x:v>
      </x:c>
      <x:c r="I81" s="0"/>
      <x:c r="J81" t="str" s="2">
        <x:v>Elias Gallardo</x:v>
      </x:c>
      <x:c r="K81" t="n" s="2">
        <x:v>5</x:v>
      </x:c>
      <x:c r="L81" t="str" s="2">
        <x:v>1.1</x:v>
      </x:c>
      <x:c r="M81" t="str" s="2">
        <x:v>Tentative</x:v>
      </x:c>
      <x:c r="N81" t="str" s="2">
        <x:v>Prospect</x:v>
      </x:c>
      <x:c r="O81" s="0"/>
      <x:c r="P81" s="6">
        <x:v>46209</x:v>
      </x:c>
      <x:c r="Q81" s="6">
        <x:v>46209.959046296295</x:v>
      </x:c>
      <x:c r="R81" s="0"/>
      <x:c r="S81" s="0"/>
      <x:c r="T81" s="0"/>
      <x:c r="U81" s="0"/>
      <x:c r="V81" s="0"/>
      <x:c r="W81" s="0"/>
      <x:c r="X81" t="str" s="2">
        <x:v>9032752526</x:v>
      </x:c>
      <x:c r="Y81" t="str" s="2">
        <x:v>9032752526</x:v>
      </x:c>
      <x:c r="Z81" s="0"/>
      <x:c r="AA81" s="0"/>
      <x:c r="AB81" s="6">
        <x:v>46209.9590466088</x:v>
      </x:c>
      <x:c r="AC81" t="n" s="2">
        <x:v>38297</x:v>
      </x:c>
      <x:c r="AD81" s="0"/>
      <x:c r="AE81" s="0"/>
      <x:c r="AF81" s="0"/>
      <x:c r="AG81" s="0"/>
      <x:c r="AH81" s="0"/>
      <x:c r="AI81" s="0"/>
      <x:c r="AJ81" s="0"/>
      <x:c r="AK81" s="0"/>
    </x:row>
    <x:row r="82">
      <x:c r="A82" t="str" s="2">
        <x:f>=HYPERLINK("https://rsms.futurehomex.com/lead/38301", "Alberto Sanchez")</x:f>
      </x:c>
      <x:c r="B82" t="n" s="2">
        <x:v>98</x:v>
      </x:c>
      <x:c r="C82" t="str" s="2">
        <x:v>0/1</x:v>
      </x:c>
      <x:c r="D82" t="str" s="2">
        <x:f>=""</x:f>
      </x:c>
      <x:c r="E82" s="0"/>
      <x:c r="F82" t="str" s="2">
        <x:v>Meta Ads - Forms</x:v>
      </x:c>
      <x:c r="G82" t="str" s="2">
        <x:v>Legacy Housing Corp. DBA Americasa</x:v>
      </x:c>
      <x:c r="H82" t="str" s="2">
        <x:v>Joey Marquez</x:v>
      </x:c>
      <x:c r="I82" s="0"/>
      <x:c r="J82" t="str" s="2">
        <x:v>Rodrigo Ramirez</x:v>
      </x:c>
      <x:c r="K82" t="n" s="2">
        <x:v>5</x:v>
      </x:c>
      <x:c r="L82" t="str" s="2">
        <x:v>1.1</x:v>
      </x:c>
      <x:c r="M82" t="str" s="2">
        <x:v>Tentative</x:v>
      </x:c>
      <x:c r="N82" t="str" s="2">
        <x:v>Deal Created</x:v>
      </x:c>
      <x:c r="O82" s="0"/>
      <x:c r="P82" s="6">
        <x:v>46210</x:v>
      </x:c>
      <x:c r="Q82" s="6">
        <x:v>46211.68772792824</x:v>
      </x:c>
      <x:c r="R82" s="0"/>
      <x:c r="S82" s="0"/>
      <x:c r="T82" s="0"/>
      <x:c r="U82" s="0"/>
      <x:c r="V82" s="0"/>
      <x:c r="W82" s="0"/>
      <x:c r="X82" t="str" s="2">
        <x:v>7862830090</x:v>
      </x:c>
      <x:c r="Y82" t="str" s="2">
        <x:v>jose.0.9.az50@gmail.com</x:v>
      </x:c>
      <x:c r="Z82" s="6">
        <x:v>46211.68944050926</x:v>
      </x:c>
      <x:c r="AA82" t="str" s="2">
        <x:v>Victoria Sanchez</x:v>
      </x:c>
      <x:c r="AB82" s="6">
        <x:v>46210.05757118056</x:v>
      </x:c>
      <x:c r="AC82" t="n" s="2">
        <x:v>38301</x:v>
      </x:c>
      <x:c r="AD82" s="0"/>
      <x:c r="AE82" s="0"/>
      <x:c r="AF82" s="0"/>
      <x:c r="AG82" s="0"/>
      <x:c r="AH82" s="0"/>
      <x:c r="AI82" s="0"/>
      <x:c r="AJ82" s="0"/>
      <x:c r="AK82" s="0"/>
    </x:row>
    <x:row r="83">
      <x:c r="A83" t="str" s="2">
        <x:f>=HYPERLINK("https://rsms.futurehomex.com/lead/38302", "Sanjuanita Leyva")</x:f>
      </x:c>
      <x:c r="B83" t="n" s="2">
        <x:v>98</x:v>
      </x:c>
      <x:c r="C83" t="str" s="2">
        <x:v>0/4</x:v>
      </x:c>
      <x:c r="D83" t="str" s="2">
        <x:f>=""</x:f>
      </x:c>
      <x:c r="E83" s="0"/>
      <x:c r="F83" t="str" s="2">
        <x:v>WhatsApp</x:v>
      </x:c>
      <x:c r="G83" t="str" s="2">
        <x:v>Legacy Housing Corp. DBA Americasa</x:v>
      </x:c>
      <x:c r="H83" t="str" s="2">
        <x:v>Joey Marquez</x:v>
      </x:c>
      <x:c r="I83" t="str" s="2">
        <x:v>Karol Romero</x:v>
      </x:c>
      <x:c r="J83" s="0"/>
      <x:c r="K83" t="n" s="2">
        <x:v>5</x:v>
      </x:c>
      <x:c r="L83" t="str" s="2">
        <x:v>1.1</x:v>
      </x:c>
      <x:c r="M83" t="str" s="2">
        <x:v>Tentative</x:v>
      </x:c>
      <x:c r="N83" t="str" s="2">
        <x:v>Prospect</x:v>
      </x:c>
      <x:c r="O83" s="0"/>
      <x:c r="P83" s="6">
        <x:v>46210</x:v>
      </x:c>
      <x:c r="Q83" s="6">
        <x:v>46246.64313726852</x:v>
      </x:c>
      <x:c r="R83" s="0"/>
      <x:c r="S83" s="0"/>
      <x:c r="T83" s="0"/>
      <x:c r="U83" s="0"/>
      <x:c r="V83" s="0"/>
      <x:c r="W83" s="0"/>
      <x:c r="X83" t="str" s="2">
        <x:v>3463339412</x:v>
      </x:c>
      <x:c r="Y83" t="str" s="2">
        <x:v>3463339412</x:v>
      </x:c>
      <x:c r="Z83" s="6">
        <x:v>46296.73807893519</x:v>
      </x:c>
      <x:c r="AA83" t="str" s="2">
        <x:v>Joey Marquez</x:v>
      </x:c>
      <x:c r="AB83" s="6">
        <x:v>46210.07652508102</x:v>
      </x:c>
      <x:c r="AC83" t="n" s="2">
        <x:v>38302</x:v>
      </x:c>
      <x:c r="AD83" s="0"/>
      <x:c r="AE83" s="0"/>
      <x:c r="AF83" s="0"/>
      <x:c r="AG83" s="0"/>
      <x:c r="AH83" s="0"/>
      <x:c r="AI83" s="0"/>
      <x:c r="AJ83" s="0"/>
      <x:c r="AK83" s="0"/>
    </x:row>
    <x:row r="84">
      <x:c r="A84" t="str" s="2">
        <x:f>=HYPERLINK("https://rsms.futurehomex.com/lead/38303", "Matilde Ortega")</x:f>
      </x:c>
      <x:c r="B84" t="n" s="2">
        <x:v>98</x:v>
      </x:c>
      <x:c r="C84" t="str" s="2">
        <x:v>1/2</x:v>
      </x:c>
      <x:c r="D84" t="str" s="2">
        <x:f>=""</x:f>
      </x:c>
      <x:c r="E84" s="0"/>
      <x:c r="F84" t="str" s="2">
        <x:v>Referrals</x:v>
      </x:c>
      <x:c r="G84" t="str" s="2">
        <x:v>Legacy Housing Corp. DBA Americasa</x:v>
      </x:c>
      <x:c r="H84" t="str" s="2">
        <x:v>Joey Marquez</x:v>
      </x:c>
      <x:c r="I84" t="str" s="2">
        <x:v>Karol Romero</x:v>
      </x:c>
      <x:c r="J84" s="0"/>
      <x:c r="K84" t="n" s="2">
        <x:v>5</x:v>
      </x:c>
      <x:c r="L84" t="str" s="2">
        <x:v>1.1</x:v>
      </x:c>
      <x:c r="M84" t="str" s="2">
        <x:v>Tentative</x:v>
      </x:c>
      <x:c r="N84" t="str" s="2">
        <x:v>Prospect</x:v>
      </x:c>
      <x:c r="O84" s="0"/>
      <x:c r="P84" s="6">
        <x:v>46210</x:v>
      </x:c>
      <x:c r="Q84" s="6">
        <x:v>46251.74110813657</x:v>
      </x:c>
      <x:c r="R84" s="0"/>
      <x:c r="S84" s="0"/>
      <x:c r="T84" s="0"/>
      <x:c r="U84" s="0"/>
      <x:c r="V84" s="0"/>
      <x:c r="W84" s="0"/>
      <x:c r="X84" t="str" s="2">
        <x:v>3464237867</x:v>
      </x:c>
      <x:c r="Y84" t="str" s="2">
        <x:v>3464237867</x:v>
      </x:c>
      <x:c r="Z84" s="6">
        <x:v>46251.75480447917</x:v>
      </x:c>
      <x:c r="AA84" t="str" s="2">
        <x:v>Victoria Sanchez</x:v>
      </x:c>
      <x:c r="AB84" s="6">
        <x:v>46210.07851076389</x:v>
      </x:c>
      <x:c r="AC84" t="n" s="2">
        <x:v>38303</x:v>
      </x:c>
      <x:c r="AD84" s="0"/>
      <x:c r="AE84" s="0"/>
      <x:c r="AF84" s="0"/>
      <x:c r="AG84" s="0"/>
      <x:c r="AH84" s="0"/>
      <x:c r="AI84" s="0"/>
      <x:c r="AJ84" s="0"/>
      <x:c r="AK84" s="0"/>
    </x:row>
    <x:row r="85">
      <x:c r="A85" t="str" s="2">
        <x:f>=HYPERLINK("https://rsms.futurehomex.com/lead/38304", "Joskeen Brown")</x:f>
      </x:c>
      <x:c r="B85" t="n" s="2">
        <x:v>98</x:v>
      </x:c>
      <x:c r="C85" t="str" s="2">
        <x:v>0/7</x:v>
      </x:c>
      <x:c r="D85" t="str" s="2">
        <x:f>=""</x:f>
      </x:c>
      <x:c r="E85" s="0"/>
      <x:c r="F85" t="str" s="2">
        <x:v>Google Ads</x:v>
      </x:c>
      <x:c r="G85" t="str" s="2">
        <x:v>Heritage Housing of Jennings</x:v>
      </x:c>
      <x:c r="H85" t="str" s="2">
        <x:v>Clint O'Neal</x:v>
      </x:c>
      <x:c r="I85" s="0"/>
      <x:c r="J85" s="0"/>
      <x:c r="K85" t="n" s="2">
        <x:v>5</x:v>
      </x:c>
      <x:c r="L85" t="str" s="2">
        <x:v>1.1</x:v>
      </x:c>
      <x:c r="M85" t="str" s="2">
        <x:v>Inactive</x:v>
      </x:c>
      <x:c r="N85" t="str" s="2">
        <x:v>Prospect</x:v>
      </x:c>
      <x:c r="O85" s="0"/>
      <x:c r="P85" s="6">
        <x:v>46210</x:v>
      </x:c>
      <x:c r="Q85" s="6">
        <x:v>46210.54425679398</x:v>
      </x:c>
      <x:c r="R85" s="0"/>
      <x:c r="S85" s="0"/>
      <x:c r="T85" s="0"/>
      <x:c r="U85" s="0"/>
      <x:c r="V85" s="0"/>
      <x:c r="W85" s="0"/>
      <x:c r="X85" t="str" s="2">
        <x:v>9856285801</x:v>
      </x:c>
      <x:c r="Y85" t="str" s="2">
        <x:v>brownjoskeen@gmail.com</x:v>
      </x:c>
      <x:c r="Z85" s="6">
        <x:v>46239.62892870371</x:v>
      </x:c>
      <x:c r="AA85" t="str" s="2">
        <x:v>Clint O'Neal</x:v>
      </x:c>
      <x:c r="AB85" s="6">
        <x:v>46210.54425795139</x:v>
      </x:c>
      <x:c r="AC85" t="n" s="2">
        <x:v>38304</x:v>
      </x:c>
      <x:c r="AD85" s="0"/>
      <x:c r="AE85" s="0"/>
      <x:c r="AF85" s="0"/>
      <x:c r="AG85" s="0"/>
      <x:c r="AH85" s="0"/>
      <x:c r="AI85" s="0"/>
      <x:c r="AJ85" s="0"/>
      <x:c r="AK85" s="0"/>
    </x:row>
    <x:row r="86">
      <x:c r="A86" t="str" s="2">
        <x:f>=HYPERLINK("https://rsms.futurehomex.com/lead/38305", "Crystal Chandler")</x:f>
      </x:c>
      <x:c r="B86" t="n" s="2">
        <x:v>98</x:v>
      </x:c>
      <x:c r="C86" t="str" s="2">
        <x:v/>
      </x:c>
      <x:c r="D86" t="str" s="2">
        <x:f>=""</x:f>
      </x:c>
      <x:c r="E86" t="str" s="2">
        <x:v>Ellen Chandler</x:v>
      </x:c>
      <x:c r="F86" t="str" s="2">
        <x:v>Walk-in</x:v>
      </x:c>
      <x:c r="G86" t="str" s="2">
        <x:v>Heritage Housing of Tulsa</x:v>
      </x:c>
      <x:c r="H86" t="str" s="2">
        <x:v>Brittany Cobb</x:v>
      </x:c>
      <x:c r="I86" t="str" s="2">
        <x:v>Karol Romero</x:v>
      </x:c>
      <x:c r="J86" t="str" s="2">
        <x:v>Brittany Cobb</x:v>
      </x:c>
      <x:c r="K86" t="n" s="2">
        <x:v>34</x:v>
      </x:c>
      <x:c r="L86" t="str" s="2">
        <x:v>2.4</x:v>
      </x:c>
      <x:c r="M86" t="str" s="2">
        <x:v>Dead</x:v>
      </x:c>
      <x:c r="N86" t="str" s="2">
        <x:v>Deal approval</x:v>
      </x:c>
      <x:c r="O86" s="0"/>
      <x:c r="P86" s="6">
        <x:v>46210</x:v>
      </x:c>
      <x:c r="Q86" s="6">
        <x:v>46212.763285381945</x:v>
      </x:c>
      <x:c r="R86" s="0"/>
      <x:c r="S86" s="6">
        <x:v>46205</x:v>
      </x:c>
      <x:c r="T86" s="6">
        <x:v>46212</x:v>
      </x:c>
      <x:c r="U86" s="0"/>
      <x:c r="V86" s="0"/>
      <x:c r="W86" s="0"/>
      <x:c r="X86" t="str" s="2">
        <x:v>5397664392</x:v>
      </x:c>
      <x:c r="Y86" t="str" s="2">
        <x:v>crystaldawnchandler83@gmail.com</x:v>
      </x:c>
      <x:c r="Z86" s="6">
        <x:v>46259.67833931713</x:v>
      </x:c>
      <x:c r="AA86" t="str" s="2">
        <x:v>Brittany Cobb</x:v>
      </x:c>
      <x:c r="AB86" s="6">
        <x:v>46210.57807820602</x:v>
      </x:c>
      <x:c r="AC86" t="n" s="2">
        <x:v>38305</x:v>
      </x:c>
      <x:c r="AD86" s="0"/>
      <x:c r="AE86" s="0"/>
      <x:c r="AF86" s="0"/>
      <x:c r="AG86" s="7">
        <x:v>10000</x:v>
      </x:c>
      <x:c r="AH86" s="0"/>
      <x:c r="AI86" s="0"/>
      <x:c r="AJ86" s="0"/>
      <x:c r="AK86" s="0"/>
    </x:row>
    <x:row r="87">
      <x:c r="A87" t="str" s="2">
        <x:f>=HYPERLINK("https://rsms.futurehomex.com/lead/38306", "Angie Bryant")</x:f>
      </x:c>
      <x:c r="B87" t="n" s="2">
        <x:v>98</x:v>
      </x:c>
      <x:c r="C87" t="str" s="2">
        <x:v/>
      </x:c>
      <x:c r="D87" t="str" s="2">
        <x:f>=""</x:f>
      </x:c>
      <x:c r="E87" s="0"/>
      <x:c r="F87" t="str" s="2">
        <x:v>Walk-in</x:v>
      </x:c>
      <x:c r="G87" t="str" s="2">
        <x:v>Heritage Housing of Tulsa</x:v>
      </x:c>
      <x:c r="H87" t="str" s="2">
        <x:v>Derek Searcy</x:v>
      </x:c>
      <x:c r="I87" t="str" s="2">
        <x:v>Karol Romero</x:v>
      </x:c>
      <x:c r="J87" t="str" s="2">
        <x:v>Jenna Fransisco</x:v>
      </x:c>
      <x:c r="K87" t="n" s="2">
        <x:v>5</x:v>
      </x:c>
      <x:c r="L87" t="str" s="2">
        <x:v>1.1</x:v>
      </x:c>
      <x:c r="M87" t="str" s="2">
        <x:v>Inactive</x:v>
      </x:c>
      <x:c r="N87" t="str" s="2">
        <x:v>Deal Created</x:v>
      </x:c>
      <x:c r="O87" s="0"/>
      <x:c r="P87" s="6">
        <x:v>46210</x:v>
      </x:c>
      <x:c r="Q87" s="6">
        <x:v>46210.580175034724</x:v>
      </x:c>
      <x:c r="R87" s="0"/>
      <x:c r="S87" s="0"/>
      <x:c r="T87" s="0"/>
      <x:c r="U87" s="0"/>
      <x:c r="V87" s="0"/>
      <x:c r="W87" s="0"/>
      <x:c r="X87" t="str" s="2">
        <x:v>9189132712</x:v>
      </x:c>
      <x:c r="Y87" t="str" s="2">
        <x:v>9189132712</x:v>
      </x:c>
      <x:c r="Z87" s="6">
        <x:v>46210.5805840625</x:v>
      </x:c>
      <x:c r="AA87" t="str" s="2">
        <x:v>Brittany Cobb</x:v>
      </x:c>
      <x:c r="AB87" s="6">
        <x:v>46210.580176539355</x:v>
      </x:c>
      <x:c r="AC87" t="n" s="2">
        <x:v>38306</x:v>
      </x:c>
      <x:c r="AD87" s="0"/>
      <x:c r="AE87" s="0"/>
      <x:c r="AF87" s="0"/>
      <x:c r="AG87" s="0"/>
      <x:c r="AH87" s="0"/>
      <x:c r="AI87" s="0"/>
      <x:c r="AJ87" s="0"/>
      <x:c r="AK87" s="0"/>
    </x:row>
    <x:row r="88">
      <x:c r="A88" t="str" s="2">
        <x:f>=HYPERLINK("https://rsms.futurehomex.com/lead/38307", "Zach Childress")</x:f>
      </x:c>
      <x:c r="B88" t="n" s="2">
        <x:v>98</x:v>
      </x:c>
      <x:c r="C88" t="str" s="2">
        <x:v/>
      </x:c>
      <x:c r="D88" t="str" s="2">
        <x:f>=""</x:f>
      </x:c>
      <x:c r="E88" s="0"/>
      <x:c r="F88" t="str" s="2">
        <x:v>Walk-in</x:v>
      </x:c>
      <x:c r="G88" t="str" s="2">
        <x:v>Heritage Housing of Tulsa</x:v>
      </x:c>
      <x:c r="H88" t="str" s="2">
        <x:v>Derek Searcy</x:v>
      </x:c>
      <x:c r="I88" t="str" s="2">
        <x:v>Karol Romero</x:v>
      </x:c>
      <x:c r="J88" t="str" s="2">
        <x:v>Jenna Fransisco</x:v>
      </x:c>
      <x:c r="K88" t="n" s="2">
        <x:v>5</x:v>
      </x:c>
      <x:c r="L88" t="str" s="2">
        <x:v>1.1</x:v>
      </x:c>
      <x:c r="M88" t="str" s="2">
        <x:v>Inactive</x:v>
      </x:c>
      <x:c r="N88" t="str" s="2">
        <x:v>Deal Created</x:v>
      </x:c>
      <x:c r="O88" s="0"/>
      <x:c r="P88" s="6">
        <x:v>46210</x:v>
      </x:c>
      <x:c r="Q88" s="6">
        <x:v>46210.581066631945</x:v>
      </x:c>
      <x:c r="R88" s="0"/>
      <x:c r="S88" s="0"/>
      <x:c r="T88" s="0"/>
      <x:c r="U88" s="0"/>
      <x:c r="V88" s="0"/>
      <x:c r="W88" s="0"/>
      <x:c r="X88" t="str" s="2">
        <x:v>9183704493</x:v>
      </x:c>
      <x:c r="Y88" t="str" s="2">
        <x:v>9183704493</x:v>
      </x:c>
      <x:c r="Z88" s="6">
        <x:v>46210.58191886574</x:v>
      </x:c>
      <x:c r="AA88" t="str" s="2">
        <x:v>Brittany Cobb</x:v>
      </x:c>
      <x:c r="AB88" s="6">
        <x:v>46210.581067974534</x:v>
      </x:c>
      <x:c r="AC88" t="n" s="2">
        <x:v>38307</x:v>
      </x:c>
      <x:c r="AD88" s="0"/>
      <x:c r="AE88" s="0"/>
      <x:c r="AF88" s="0"/>
      <x:c r="AG88" s="0"/>
      <x:c r="AH88" s="0"/>
      <x:c r="AI88" s="0"/>
      <x:c r="AJ88" s="0"/>
      <x:c r="AK88" s="0"/>
    </x:row>
    <x:row r="89">
      <x:c r="A89" t="str" s="2">
        <x:f>=HYPERLINK("https://rsms.futurehomex.com/lead/38308", "Latresha Love")</x:f>
      </x:c>
      <x:c r="B89" t="n" s="2">
        <x:v>98</x:v>
      </x:c>
      <x:c r="C89" t="str" s="2">
        <x:v/>
      </x:c>
      <x:c r="D89" t="str" s="2">
        <x:f>=""</x:f>
      </x:c>
      <x:c r="E89" s="0"/>
      <x:c r="F89" t="str" s="2">
        <x:v>Walk-in</x:v>
      </x:c>
      <x:c r="G89" t="str" s="2">
        <x:v>Heritage Housing of Athens</x:v>
      </x:c>
      <x:c r="H89" t="str" s="2">
        <x:v>Nathan Bishop</x:v>
      </x:c>
      <x:c r="I89" s="0"/>
      <x:c r="J89" t="str" s="2">
        <x:v>Nathan Bishop</x:v>
      </x:c>
      <x:c r="K89" t="n" s="2">
        <x:v>5</x:v>
      </x:c>
      <x:c r="L89" t="str" s="2">
        <x:v>1.1</x:v>
      </x:c>
      <x:c r="M89" t="str" s="2">
        <x:v>Tentative</x:v>
      </x:c>
      <x:c r="N89" t="str" s="2">
        <x:v>Deal Created</x:v>
      </x:c>
      <x:c r="O89" s="0"/>
      <x:c r="P89" s="6">
        <x:v>46210</x:v>
      </x:c>
      <x:c r="Q89" s="6">
        <x:v>46253.64597696759</x:v>
      </x:c>
      <x:c r="R89" s="0"/>
      <x:c r="S89" s="0"/>
      <x:c r="T89" s="0"/>
      <x:c r="U89" s="0"/>
      <x:c r="V89" s="0"/>
      <x:c r="W89" s="0"/>
      <x:c r="X89" t="str" s="2">
        <x:v>7063510607</x:v>
      </x:c>
      <x:c r="Y89" t="str" s="2">
        <x:v>Alatresha@gmail.com</x:v>
      </x:c>
      <x:c r="Z89" s="6">
        <x:v>46212.86990049769</x:v>
      </x:c>
      <x:c r="AA89" t="str" s="2">
        <x:v>Timothy Postlethwait</x:v>
      </x:c>
      <x:c r="AB89" s="6">
        <x:v>46210.581172997685</x:v>
      </x:c>
      <x:c r="AC89" t="n" s="2">
        <x:v>38308</x:v>
      </x:c>
      <x:c r="AD89" s="0"/>
      <x:c r="AE89" s="0"/>
      <x:c r="AF89" s="0"/>
      <x:c r="AG89" s="0"/>
      <x:c r="AH89" s="0"/>
      <x:c r="AI89" s="0"/>
      <x:c r="AJ89" s="0"/>
      <x:c r="AK89" s="0"/>
    </x:row>
    <x:row r="90">
      <x:c r="A90" t="str" s="2">
        <x:f>=HYPERLINK("https://rsms.futurehomex.com/lead/38309", "Waldon Berger")</x:f>
      </x:c>
      <x:c r="B90" t="n" s="2">
        <x:v>98</x:v>
      </x:c>
      <x:c r="C90" t="str" s="2">
        <x:v/>
      </x:c>
      <x:c r="D90" t="str" s="2">
        <x:f>=""</x:f>
      </x:c>
      <x:c r="E90" s="0"/>
      <x:c r="F90" t="str" s="2">
        <x:v>Financing Form</x:v>
      </x:c>
      <x:c r="G90" t="str" s="2">
        <x:v>Heritage Housing of Albany</x:v>
      </x:c>
      <x:c r="H90" t="str" s="2">
        <x:v>Justin Johnson</x:v>
      </x:c>
      <x:c r="I90" s="0"/>
      <x:c r="J90" t="str" s="2">
        <x:v>Justin Johnson</x:v>
      </x:c>
      <x:c r="K90" t="n" s="2">
        <x:v>5</x:v>
      </x:c>
      <x:c r="L90" t="str" s="2">
        <x:v>1.1</x:v>
      </x:c>
      <x:c r="M90" t="str" s="2">
        <x:v>Active</x:v>
      </x:c>
      <x:c r="N90" t="str" s="2">
        <x:v>Deal Created</x:v>
      </x:c>
      <x:c r="O90" s="0"/>
      <x:c r="P90" s="6">
        <x:v>46210</x:v>
      </x:c>
      <x:c r="Q90" s="6">
        <x:v>46210.58619074074</x:v>
      </x:c>
      <x:c r="R90" s="0"/>
      <x:c r="S90" s="0"/>
      <x:c r="T90" s="0"/>
      <x:c r="U90" s="0"/>
      <x:c r="V90" s="0"/>
      <x:c r="W90" s="0"/>
      <x:c r="X90" t="str" s="2">
        <x:v>8177366348</x:v>
      </x:c>
      <x:c r="Y90" t="str" s="2">
        <x:v>bergerlawanda1234@gmail.com</x:v>
      </x:c>
      <x:c r="Z90" s="0"/>
      <x:c r="AA90" s="0"/>
      <x:c r="AB90" s="6">
        <x:v>46210.58619123843</x:v>
      </x:c>
      <x:c r="AC90" t="n" s="2">
        <x:v>38309</x:v>
      </x:c>
      <x:c r="AD90" s="0"/>
      <x:c r="AE90" s="0"/>
      <x:c r="AF90" s="0"/>
      <x:c r="AG90" s="0"/>
      <x:c r="AH90" s="0"/>
      <x:c r="AI90" s="0"/>
      <x:c r="AJ90" s="0"/>
      <x:c r="AK90" s="0"/>
    </x:row>
    <x:row r="91">
      <x:c r="A91" t="str" s="2">
        <x:f>=HYPERLINK("https://rsms.futurehomex.com/lead/38310", "Anthony Thompson-sr")</x:f>
      </x:c>
      <x:c r="B91" t="n" s="2">
        <x:v>98</x:v>
      </x:c>
      <x:c r="C91" t="str" s="2">
        <x:v/>
      </x:c>
      <x:c r="D91" t="str" s="2">
        <x:f>=""</x:f>
      </x:c>
      <x:c r="E91" s="0"/>
      <x:c r="F91" t="str" s="2">
        <x:v>Meta Ads - Forms</x:v>
      </x:c>
      <x:c r="G91" t="str" s="2">
        <x:v>Heritage Housing of Athens</x:v>
      </x:c>
      <x:c r="H91" t="str" s="2">
        <x:v>Nathan Bishop</x:v>
      </x:c>
      <x:c r="I91" s="0"/>
      <x:c r="J91" t="str" s="2">
        <x:v>Nathan Bishop</x:v>
      </x:c>
      <x:c r="K91" t="n" s="2">
        <x:v>5</x:v>
      </x:c>
      <x:c r="L91" t="str" s="2">
        <x:v>1.1</x:v>
      </x:c>
      <x:c r="M91" t="str" s="2">
        <x:v>Tentative</x:v>
      </x:c>
      <x:c r="N91" t="str" s="2">
        <x:v>Prospect</x:v>
      </x:c>
      <x:c r="O91" s="0"/>
      <x:c r="P91" s="6">
        <x:v>46210</x:v>
      </x:c>
      <x:c r="Q91" s="6">
        <x:v>46210.600459953705</x:v>
      </x:c>
      <x:c r="R91" s="0"/>
      <x:c r="S91" s="0"/>
      <x:c r="T91" s="0"/>
      <x:c r="U91" s="0"/>
      <x:c r="V91" s="0"/>
      <x:c r="W91" s="0"/>
      <x:c r="X91" t="str" s="2">
        <x:v>7205142231</x:v>
      </x:c>
      <x:c r="Y91" t="str" s="2">
        <x:v>anthonyjthompson1962@gmail.com</x:v>
      </x:c>
      <x:c r="Z91" s="6">
        <x:v>46210.601031516206</x:v>
      </x:c>
      <x:c r="AA91" t="str" s="2">
        <x:v>Timothy Postlethwait</x:v>
      </x:c>
      <x:c r="AB91" s="6">
        <x:v>46210.600460567126</x:v>
      </x:c>
      <x:c r="AC91" t="n" s="2">
        <x:v>38310</x:v>
      </x:c>
      <x:c r="AD91" s="0"/>
      <x:c r="AE91" s="0"/>
      <x:c r="AF91" s="0"/>
      <x:c r="AG91" s="0"/>
      <x:c r="AH91" s="0"/>
      <x:c r="AI91" s="0"/>
      <x:c r="AJ91" s="0"/>
      <x:c r="AK91" s="0"/>
    </x:row>
    <x:row r="92">
      <x:c r="A92" t="str" s="2">
        <x:f>=HYPERLINK("https://rsms.futurehomex.com/lead/38311", "Susan Jumonville")</x:f>
      </x:c>
      <x:c r="B92" t="n" s="2">
        <x:v>98</x:v>
      </x:c>
      <x:c r="C92" t="str" s="2">
        <x:v>1/2</x:v>
      </x:c>
      <x:c r="D92" t="str" s="2">
        <x:f>="CASH"</x:f>
      </x:c>
      <x:c r="E92" s="0"/>
      <x:c r="F92" t="str" s="2">
        <x:v>Meta Ads - Forms</x:v>
      </x:c>
      <x:c r="G92" t="str" s="2">
        <x:v>Heritage Housing of Jennings</x:v>
      </x:c>
      <x:c r="H92" t="str" s="2">
        <x:v>Mervin Leslie Smith</x:v>
      </x:c>
      <x:c r="I92" s="0"/>
      <x:c r="J92" s="0"/>
      <x:c r="K92" t="n" s="2">
        <x:v>64</x:v>
      </x:c>
      <x:c r="L92" t="str" s="2">
        <x:v>4.5</x:v>
      </x:c>
      <x:c r="M92" t="str" s="2">
        <x:v>Active</x:v>
      </x:c>
      <x:c r="N92" t="str" s="2">
        <x:v>Clear to Close</x:v>
      </x:c>
      <x:c r="O92" s="6">
        <x:v>46351</x:v>
      </x:c>
      <x:c r="P92" s="6">
        <x:v>46210</x:v>
      </x:c>
      <x:c r="Q92" s="6">
        <x:v>46259.94598576389</x:v>
      </x:c>
      <x:c r="R92" s="0"/>
      <x:c r="S92" s="6">
        <x:v>46209</x:v>
      </x:c>
      <x:c r="T92" s="0"/>
      <x:c r="U92" s="6">
        <x:v>46216</x:v>
      </x:c>
      <x:c r="V92" s="0"/>
      <x:c r="W92" s="0"/>
      <x:c r="X92" t="str" s="2">
        <x:v>2257764131</x:v>
      </x:c>
      <x:c r="Y92" t="str" s="2">
        <x:v>susanj777@aim.com</x:v>
      </x:c>
      <x:c r="Z92" s="6">
        <x:v>46286.635728900466</x:v>
      </x:c>
      <x:c r="AA92" t="str" s="2">
        <x:v>Tina Dallas</x:v>
      </x:c>
      <x:c r="AB92" s="6">
        <x:v>46210.61370069444</x:v>
      </x:c>
      <x:c r="AC92" t="n" s="2">
        <x:v>38311</x:v>
      </x:c>
      <x:c r="AD92" t="str" s="2">
        <x:v>Singlewide</x:v>
      </x:c>
      <x:c r="AE92" s="0"/>
      <x:c r="AF92" s="7">
        <x:v>89082.17</x:v>
      </x:c>
      <x:c r="AG92" s="7">
        <x:v>89082.17</x:v>
      </x:c>
      <x:c r="AH92" s="7">
        <x:v>500</x:v>
      </x:c>
      <x:c r="AI92" s="0"/>
      <x:c r="AJ92" s="0"/>
      <x:c r="AK92" s="0"/>
    </x:row>
    <x:row r="93">
      <x:c r="A93" t="str" s="2">
        <x:f>=HYPERLINK("https://rsms.futurehomex.com/lead/38313", "Amelia Dawley")</x:f>
      </x:c>
      <x:c r="B93" t="n" s="2">
        <x:v>98</x:v>
      </x:c>
      <x:c r="C93" t="str" s="2">
        <x:v/>
      </x:c>
      <x:c r="D93" t="str" s="2">
        <x:f>=""</x:f>
      </x:c>
      <x:c r="E93" s="0"/>
      <x:c r="F93" t="str" s="2">
        <x:v>Walk-in</x:v>
      </x:c>
      <x:c r="G93" t="str" s="2">
        <x:v>Heritage Housing of Asheboro</x:v>
      </x:c>
      <x:c r="H93" t="str" s="2">
        <x:v>Maria Lopez</x:v>
      </x:c>
      <x:c r="I93" s="0"/>
      <x:c r="J93" s="0"/>
      <x:c r="K93" t="n" s="2">
        <x:v>21</x:v>
      </x:c>
      <x:c r="L93" t="str" s="2">
        <x:v>2.1</x:v>
      </x:c>
      <x:c r="M93" t="str" s="2">
        <x:v>Tentative</x:v>
      </x:c>
      <x:c r="N93" t="str" s="2">
        <x:v>Qualified</x:v>
      </x:c>
      <x:c r="O93" s="0"/>
      <x:c r="P93" s="6">
        <x:v>46210</x:v>
      </x:c>
      <x:c r="Q93" s="6">
        <x:v>46210.770705636576</x:v>
      </x:c>
      <x:c r="R93" s="0"/>
      <x:c r="S93" s="0"/>
      <x:c r="T93" s="0"/>
      <x:c r="U93" s="0"/>
      <x:c r="V93" s="0"/>
      <x:c r="W93" s="0"/>
      <x:c r="X93" t="str" s="2">
        <x:v>3369641221</x:v>
      </x:c>
      <x:c r="Y93" t="str" s="2">
        <x:v>amelia.rutledge@yahoo.com</x:v>
      </x:c>
      <x:c r="Z93" s="6">
        <x:v>46210.77068657408</x:v>
      </x:c>
      <x:c r="AA93" t="str" s="2">
        <x:v>Jeremy Jacques</x:v>
      </x:c>
      <x:c r="AB93" s="6">
        <x:v>46210.66075216435</x:v>
      </x:c>
      <x:c r="AC93" t="n" s="2">
        <x:v>38313</x:v>
      </x:c>
      <x:c r="AD93" s="0"/>
      <x:c r="AE93" s="0"/>
      <x:c r="AF93" s="0"/>
      <x:c r="AG93" s="0"/>
      <x:c r="AH93" s="0"/>
      <x:c r="AI93" s="0"/>
      <x:c r="AJ93" s="0"/>
      <x:c r="AK93" s="0"/>
    </x:row>
    <x:row r="94">
      <x:c r="A94" t="str" s="2">
        <x:f>=HYPERLINK("https://rsms.futurehomex.com/lead/38314", "Daniel Guerrero")</x:f>
      </x:c>
      <x:c r="B94" t="n" s="2">
        <x:v>98</x:v>
      </x:c>
      <x:c r="C94" t="str" s="2">
        <x:v>0/2</x:v>
      </x:c>
      <x:c r="D94" t="str" s="2">
        <x:f>=""</x:f>
      </x:c>
      <x:c r="E94" s="0"/>
      <x:c r="F94" t="str" s="2">
        <x:v>Walk-in</x:v>
      </x:c>
      <x:c r="G94" t="str" s="2">
        <x:v>Legacy Housing Corp. DBA Americasa</x:v>
      </x:c>
      <x:c r="H94" t="str" s="2">
        <x:v>Jose Parada</x:v>
      </x:c>
      <x:c r="I94" t="str" s="2">
        <x:v>Karol Romero</x:v>
      </x:c>
      <x:c r="J94" t="str" s="2">
        <x:v>Rodrigo Ramirez</x:v>
      </x:c>
      <x:c r="K94" t="n" s="2">
        <x:v>5</x:v>
      </x:c>
      <x:c r="L94" t="str" s="2">
        <x:v>1.1</x:v>
      </x:c>
      <x:c r="M94" t="str" s="2">
        <x:v>Active</x:v>
      </x:c>
      <x:c r="N94" t="str" s="2">
        <x:v>Deal Created</x:v>
      </x:c>
      <x:c r="O94" s="0"/>
      <x:c r="P94" s="6">
        <x:v>46210</x:v>
      </x:c>
      <x:c r="Q94" s="6">
        <x:v>46251.837912233794</x:v>
      </x:c>
      <x:c r="R94" s="0"/>
      <x:c r="S94" s="6">
        <x:v>46210</x:v>
      </x:c>
      <x:c r="T94" s="0"/>
      <x:c r="U94" s="0"/>
      <x:c r="V94" s="0"/>
      <x:c r="W94" s="0"/>
      <x:c r="X94" t="str" s="2">
        <x:v>8327266220</x:v>
      </x:c>
      <x:c r="Y94" t="str" s="2">
        <x:v>8327266223</x:v>
      </x:c>
      <x:c r="Z94" s="6">
        <x:v>46288.74719552083</x:v>
      </x:c>
      <x:c r="AA94" t="str" s="2">
        <x:v>Jose Parada</x:v>
      </x:c>
      <x:c r="AB94" s="6">
        <x:v>46210.666162152775</x:v>
      </x:c>
      <x:c r="AC94" t="n" s="2">
        <x:v>38314</x:v>
      </x:c>
      <x:c r="AD94" s="0"/>
      <x:c r="AE94" s="0"/>
      <x:c r="AF94" s="0"/>
      <x:c r="AG94" s="0"/>
      <x:c r="AH94" s="0"/>
      <x:c r="AI94" s="0"/>
      <x:c r="AJ94" s="0"/>
      <x:c r="AK94" s="0"/>
    </x:row>
    <x:row r="95">
      <x:c r="A95" t="str" s="2">
        <x:f>=HYPERLINK("https://rsms.futurehomex.com/lead/38315", "Donte Withers")</x:f>
      </x:c>
      <x:c r="B95" t="n" s="2">
        <x:v>98</x:v>
      </x:c>
      <x:c r="C95" t="str" s="2">
        <x:v/>
      </x:c>
      <x:c r="D95" t="str" s="2">
        <x:f>=""</x:f>
      </x:c>
      <x:c r="E95" s="0"/>
      <x:c r="F95" t="str" s="2">
        <x:v>Financing Form</x:v>
      </x:c>
      <x:c r="G95" t="str" s="2">
        <x:v>Heritage Housing of Athens</x:v>
      </x:c>
      <x:c r="H95" t="str" s="2">
        <x:v>Nathan Bishop</x:v>
      </x:c>
      <x:c r="I95" s="0"/>
      <x:c r="J95" s="0"/>
      <x:c r="K95" t="n" s="2">
        <x:v>38</x:v>
      </x:c>
      <x:c r="L95" t="str" s="2">
        <x:v>3.2</x:v>
      </x:c>
      <x:c r="M95" t="str" s="2">
        <x:v>Denied</x:v>
      </x:c>
      <x:c r="N95" t="str" s="2">
        <x:v>Application</x:v>
      </x:c>
      <x:c r="O95" s="0"/>
      <x:c r="P95" s="6">
        <x:v>46210</x:v>
      </x:c>
      <x:c r="Q95" s="6">
        <x:v>46212.6681340625</x:v>
      </x:c>
      <x:c r="R95" s="0"/>
      <x:c r="S95" s="0"/>
      <x:c r="T95" s="0"/>
      <x:c r="U95" s="0"/>
      <x:c r="V95" s="0"/>
      <x:c r="W95" s="0"/>
      <x:c r="X95" t="str" s="2">
        <x:v>7624254805</x:v>
      </x:c>
      <x:c r="Y95" t="str" s="2">
        <x:v>Dontewithers@gmail.com</x:v>
      </x:c>
      <x:c r="Z95" s="6">
        <x:v>46216.7021966088</x:v>
      </x:c>
      <x:c r="AA95" t="str" s="2">
        <x:v>Iris McKinley</x:v>
      </x:c>
      <x:c r="AB95" s="6">
        <x:v>46210.702948645834</x:v>
      </x:c>
      <x:c r="AC95" t="n" s="2">
        <x:v>38315</x:v>
      </x:c>
      <x:c r="AD95" s="0"/>
      <x:c r="AE95" s="0"/>
      <x:c r="AF95" s="0"/>
      <x:c r="AG95" s="7">
        <x:v>1</x:v>
      </x:c>
      <x:c r="AH95" s="0"/>
      <x:c r="AI95" s="0"/>
      <x:c r="AJ95" s="0"/>
      <x:c r="AK95" s="0"/>
    </x:row>
    <x:row r="96">
      <x:c r="A96" t="str" s="2">
        <x:f>=HYPERLINK("https://rsms.futurehomex.com/lead/38317", "Mary McIntyre")</x:f>
      </x:c>
      <x:c r="B96" t="n" s="2">
        <x:v>98</x:v>
      </x:c>
      <x:c r="C96" t="str" s="2">
        <x:v>0/1</x:v>
      </x:c>
      <x:c r="D96" t="str" s="2">
        <x:f>=""</x:f>
      </x:c>
      <x:c r="E96" s="0"/>
      <x:c r="F96" t="str" s="2">
        <x:v>Financing Form</x:v>
      </x:c>
      <x:c r="G96" t="str" s="2">
        <x:v>Heritage Housing of Albany</x:v>
      </x:c>
      <x:c r="H96" t="str" s="2">
        <x:v>Alexander Bryant</x:v>
      </x:c>
      <x:c r="I96" s="0"/>
      <x:c r="J96" t="str" s="2">
        <x:v>Alexander Bryant</x:v>
      </x:c>
      <x:c r="K96" t="n" s="2">
        <x:v>38</x:v>
      </x:c>
      <x:c r="L96" t="str" s="2">
        <x:v>3.2</x:v>
      </x:c>
      <x:c r="M96" t="str" s="2">
        <x:v>Denied</x:v>
      </x:c>
      <x:c r="N96" t="str" s="2">
        <x:v>Application</x:v>
      </x:c>
      <x:c r="O96" s="0"/>
      <x:c r="P96" s="6">
        <x:v>46210</x:v>
      </x:c>
      <x:c r="Q96" s="6">
        <x:v>46211.623543518515</x:v>
      </x:c>
      <x:c r="R96" s="0"/>
      <x:c r="S96" s="6">
        <x:v>46210</x:v>
      </x:c>
      <x:c r="T96" s="0"/>
      <x:c r="U96" s="0"/>
      <x:c r="V96" s="0"/>
      <x:c r="W96" s="0"/>
      <x:c r="X96" t="str" s="2">
        <x:v>2295071122</x:v>
      </x:c>
      <x:c r="Y96" t="str" s="2">
        <x:v>maryamcintyre57@gmail.com</x:v>
      </x:c>
      <x:c r="Z96" s="6">
        <x:v>46239.81192743056</x:v>
      </x:c>
      <x:c r="AA96" t="str" s="2">
        <x:v>Justin Johnson</x:v>
      </x:c>
      <x:c r="AB96" s="6">
        <x:v>46210.73852986111</x:v>
      </x:c>
      <x:c r="AC96" t="n" s="2">
        <x:v>38317</x:v>
      </x:c>
      <x:c r="AD96" t="str" s="2">
        <x:v>Singlewide</x:v>
      </x:c>
      <x:c r="AE96" s="0"/>
      <x:c r="AF96" s="0"/>
      <x:c r="AG96" s="7">
        <x:v>3800</x:v>
      </x:c>
      <x:c r="AH96" s="0"/>
      <x:c r="AI96" s="0"/>
      <x:c r="AJ96" s="0"/>
      <x:c r="AK96" s="0"/>
    </x:row>
    <x:row r="97">
      <x:c r="A97" t="str" s="2">
        <x:f>=HYPERLINK("https://rsms.futurehomex.com/lead/38318", "Takerra Daniels")</x:f>
      </x:c>
      <x:c r="B97" t="n" s="2">
        <x:v>98</x:v>
      </x:c>
      <x:c r="C97" t="str" s="2">
        <x:v/>
      </x:c>
      <x:c r="D97" t="str" s="2">
        <x:f>=""</x:f>
      </x:c>
      <x:c r="E97" s="0"/>
      <x:c r="F97" t="str" s="2">
        <x:v>Financing Form</x:v>
      </x:c>
      <x:c r="G97" t="str" s="2">
        <x:v>Heritage Housing of Albany</x:v>
      </x:c>
      <x:c r="H97" t="str" s="2">
        <x:v>Alexander Bryant</x:v>
      </x:c>
      <x:c r="I97" s="0"/>
      <x:c r="J97" t="str" s="2">
        <x:v>Alexander Bryant</x:v>
      </x:c>
      <x:c r="K97" t="n" s="2">
        <x:v>5</x:v>
      </x:c>
      <x:c r="L97" t="str" s="2">
        <x:v>1.1</x:v>
      </x:c>
      <x:c r="M97" t="str" s="2">
        <x:v>Tentative</x:v>
      </x:c>
      <x:c r="N97" t="str" s="2">
        <x:v>Prospect</x:v>
      </x:c>
      <x:c r="O97" s="0"/>
      <x:c r="P97" s="6">
        <x:v>46210</x:v>
      </x:c>
      <x:c r="Q97" s="6">
        <x:v>46210.756048379626</x:v>
      </x:c>
      <x:c r="R97" s="0"/>
      <x:c r="S97" s="0"/>
      <x:c r="T97" s="0"/>
      <x:c r="U97" s="0"/>
      <x:c r="V97" s="0"/>
      <x:c r="W97" s="0"/>
      <x:c r="X97" t="str" s="2">
        <x:v>2293221606</x:v>
      </x:c>
      <x:c r="Y97" t="str" s="2">
        <x:v>danielstakerra@gmail.com</x:v>
      </x:c>
      <x:c r="Z97" s="0"/>
      <x:c r="AA97" s="0"/>
      <x:c r="AB97" s="6">
        <x:v>46210.75604892361</x:v>
      </x:c>
      <x:c r="AC97" t="n" s="2">
        <x:v>38318</x:v>
      </x:c>
      <x:c r="AD97" s="0"/>
      <x:c r="AE97" s="0"/>
      <x:c r="AF97" s="0"/>
      <x:c r="AG97" s="0"/>
      <x:c r="AH97" s="0"/>
      <x:c r="AI97" s="0"/>
      <x:c r="AJ97" s="0"/>
      <x:c r="AK97" s="0"/>
    </x:row>
    <x:row r="98">
      <x:c r="A98" t="str" s="2">
        <x:f>=HYPERLINK("https://rsms.futurehomex.com/lead/38319", "Johana Ivette Razo")</x:f>
      </x:c>
      <x:c r="B98" t="n" s="2">
        <x:v>98</x:v>
      </x:c>
      <x:c r="C98" t="str" s="2">
        <x:v>0/8</x:v>
      </x:c>
      <x:c r="D98" t="str" s="2">
        <x:f>=""</x:f>
      </x:c>
      <x:c r="E98" t="str" s="2">
        <x:v>Jorge Ivan Leon Silva</x:v>
      </x:c>
      <x:c r="F98" t="str" s="2">
        <x:v>Meta Marketplace</x:v>
      </x:c>
      <x:c r="G98" t="str" s="2">
        <x:v>Legacy Housing Corp. DBA Americasa</x:v>
      </x:c>
      <x:c r="H98" t="str" s="2">
        <x:v>Jose Parada</x:v>
      </x:c>
      <x:c r="I98" t="str" s="2">
        <x:v>Karol Romero</x:v>
      </x:c>
      <x:c r="J98" t="str" s="2">
        <x:v>Rodrigo Ramirez</x:v>
      </x:c>
      <x:c r="K98" t="n" s="2">
        <x:v>5</x:v>
      </x:c>
      <x:c r="L98" t="str" s="2">
        <x:v>1.1</x:v>
      </x:c>
      <x:c r="M98" t="str" s="2">
        <x:v>Inactive</x:v>
      </x:c>
      <x:c r="N98" t="str" s="2">
        <x:v>Deal Created</x:v>
      </x:c>
      <x:c r="O98" s="0"/>
      <x:c r="P98" s="6">
        <x:v>46210</x:v>
      </x:c>
      <x:c r="Q98" s="6">
        <x:v>46273.595707719905</x:v>
      </x:c>
      <x:c r="R98" s="0"/>
      <x:c r="S98" s="6">
        <x:v>46273</x:v>
      </x:c>
      <x:c r="T98" s="0"/>
      <x:c r="U98" s="0"/>
      <x:c r="V98" s="0"/>
      <x:c r="W98" s="0"/>
      <x:c r="X98" t="str" s="2">
        <x:v>3468462596</x:v>
      </x:c>
      <x:c r="Y98" t="str" s="2">
        <x:v>3468462596</x:v>
      </x:c>
      <x:c r="Z98" s="6">
        <x:v>46293.59427951389</x:v>
      </x:c>
      <x:c r="AA98" t="str" s="2">
        <x:v>Jose Parada</x:v>
      </x:c>
      <x:c r="AB98" s="6">
        <x:v>46210.788741400465</x:v>
      </x:c>
      <x:c r="AC98" t="n" s="2">
        <x:v>38319</x:v>
      </x:c>
      <x:c r="AD98" s="0"/>
      <x:c r="AE98" s="0"/>
      <x:c r="AF98" s="0"/>
      <x:c r="AG98" s="0"/>
      <x:c r="AH98" s="0"/>
      <x:c r="AI98" s="0"/>
      <x:c r="AJ98" s="0"/>
      <x:c r="AK98" s="0"/>
    </x:row>
    <x:row r="99">
      <x:c r="A99" t="str" s="2">
        <x:f>=HYPERLINK("https://rsms.futurehomex.com/lead/38320", "Paula Mcghee")</x:f>
      </x:c>
      <x:c r="B99" t="n" s="2">
        <x:v>98</x:v>
      </x:c>
      <x:c r="C99" t="str" s="2">
        <x:v>0/2</x:v>
      </x:c>
      <x:c r="D99" t="str" s="2">
        <x:f>=""</x:f>
      </x:c>
      <x:c r="E99" s="0"/>
      <x:c r="F99" t="str" s="2">
        <x:v>Walk-in</x:v>
      </x:c>
      <x:c r="G99" t="str" s="2">
        <x:v>Heritage Housing of Oklahoma City</x:v>
      </x:c>
      <x:c r="H99" t="str" s="2">
        <x:v>Karla Brizuela</x:v>
      </x:c>
      <x:c r="I99" s="0"/>
      <x:c r="J99" s="0"/>
      <x:c r="K99" t="n" s="2">
        <x:v>5</x:v>
      </x:c>
      <x:c r="L99" t="str" s="2">
        <x:v>1.1</x:v>
      </x:c>
      <x:c r="M99" t="str" s="2">
        <x:v>Dead</x:v>
      </x:c>
      <x:c r="N99" t="str" s="2">
        <x:v>Prospect</x:v>
      </x:c>
      <x:c r="O99" s="0"/>
      <x:c r="P99" s="6">
        <x:v>46210</x:v>
      </x:c>
      <x:c r="Q99" s="6">
        <x:v>46210.80050208333</x:v>
      </x:c>
      <x:c r="R99" s="0"/>
      <x:c r="S99" s="6">
        <x:v>46210</x:v>
      </x:c>
      <x:c r="T99" s="0"/>
      <x:c r="U99" s="0"/>
      <x:c r="V99" s="0"/>
      <x:c r="W99" s="0"/>
      <x:c r="X99" t="str" s="2">
        <x:v>4056553336</x:v>
      </x:c>
      <x:c r="Y99" t="str" s="2">
        <x:v>paula.mcghee@outlook.com</x:v>
      </x:c>
      <x:c r="Z99" s="6">
        <x:v>46224.936157094904</x:v>
      </x:c>
      <x:c r="AA99" t="str" s="2">
        <x:v>Karla Brizuela</x:v>
      </x:c>
      <x:c r="AB99" s="6">
        <x:v>46210.80050347222</x:v>
      </x:c>
      <x:c r="AC99" t="n" s="2">
        <x:v>38320</x:v>
      </x:c>
      <x:c r="AD99" s="0"/>
      <x:c r="AE99" s="0"/>
      <x:c r="AF99" s="0"/>
      <x:c r="AG99" s="0"/>
      <x:c r="AH99" s="0"/>
      <x:c r="AI99" s="0"/>
      <x:c r="AJ99" s="0"/>
      <x:c r="AK99" s="0"/>
    </x:row>
    <x:row r="100">
      <x:c r="A100" t="str" s="2">
        <x:f>=HYPERLINK("https://rsms.futurehomex.com/lead/38321", "Austin Isom")</x:f>
      </x:c>
      <x:c r="B100" t="n" s="2">
        <x:v>98</x:v>
      </x:c>
      <x:c r="C100" t="str" s="2">
        <x:v>1/1</x:v>
      </x:c>
      <x:c r="D100" t="str" s="2">
        <x:f>=""</x:f>
      </x:c>
      <x:c r="E100" s="0"/>
      <x:c r="F100" t="str" s="2">
        <x:v>Walk-in</x:v>
      </x:c>
      <x:c r="G100" t="str" s="2">
        <x:v>Heritage Housing of Oklahoma City</x:v>
      </x:c>
      <x:c r="H100" t="str" s="2">
        <x:v>Trey Rixleben</x:v>
      </x:c>
      <x:c r="I100" t="str" s="2">
        <x:v>Karol Romero</x:v>
      </x:c>
      <x:c r="J100" t="str" s="2">
        <x:v>Trey Rixleben</x:v>
      </x:c>
      <x:c r="K100" t="n" s="2">
        <x:v>5</x:v>
      </x:c>
      <x:c r="L100" t="str" s="2">
        <x:v>1.1</x:v>
      </x:c>
      <x:c r="M100" t="str" s="2">
        <x:v>Inactive</x:v>
      </x:c>
      <x:c r="N100" t="str" s="2">
        <x:v>Deal Created</x:v>
      </x:c>
      <x:c r="O100" s="0"/>
      <x:c r="P100" s="6">
        <x:v>46210</x:v>
      </x:c>
      <x:c r="Q100" s="6">
        <x:v>46233.96673252315</x:v>
      </x:c>
      <x:c r="R100" s="0"/>
      <x:c r="S100" s="6">
        <x:v>46210</x:v>
      </x:c>
      <x:c r="T100" s="0"/>
      <x:c r="U100" s="0"/>
      <x:c r="V100" s="0"/>
      <x:c r="W100" s="0"/>
      <x:c r="X100" t="str" s="2">
        <x:v>4059992456</x:v>
      </x:c>
      <x:c r="Y100" t="str" s="2">
        <x:v>awi8921@icloud.com</x:v>
      </x:c>
      <x:c r="Z100" s="6">
        <x:v>46233.96847121528</x:v>
      </x:c>
      <x:c r="AA100" t="str" s="2">
        <x:v>Trey Rixleben</x:v>
      </x:c>
      <x:c r="AB100" s="6">
        <x:v>46210.80117248843</x:v>
      </x:c>
      <x:c r="AC100" t="n" s="2">
        <x:v>38321</x:v>
      </x:c>
      <x:c r="AD100" s="0"/>
      <x:c r="AE100" s="0"/>
      <x:c r="AF100" s="0"/>
      <x:c r="AG100" s="0"/>
      <x:c r="AH100" s="0"/>
      <x:c r="AI100" s="0"/>
      <x:c r="AJ100" s="0"/>
      <x:c r="AK100" s="0"/>
    </x:row>
    <x:row r="101">
      <x:c r="A101" t="str" s="2">
        <x:f>=HYPERLINK("https://rsms.futurehomex.com/lead/38322", "Roxana Jansen")</x:f>
      </x:c>
      <x:c r="B101" t="n" s="2">
        <x:v>98</x:v>
      </x:c>
      <x:c r="C101" t="str" s="2">
        <x:v/>
      </x:c>
      <x:c r="D101" t="str" s="2">
        <x:f>=""</x:f>
      </x:c>
      <x:c r="E101" s="0"/>
      <x:c r="F101" t="str" s="2">
        <x:v>Financing Form</x:v>
      </x:c>
      <x:c r="G101" t="str" s="2">
        <x:v>Heritage Housing of Oklahoma City</x:v>
      </x:c>
      <x:c r="H101" t="str" s="2">
        <x:v>Trey Rixleben</x:v>
      </x:c>
      <x:c r="I101" t="str" s="2">
        <x:v>Karol Romero</x:v>
      </x:c>
      <x:c r="J101" t="str" s="2">
        <x:v>Trey Rixleben</x:v>
      </x:c>
      <x:c r="K101" t="n" s="2">
        <x:v>5</x:v>
      </x:c>
      <x:c r="L101" t="str" s="2">
        <x:v>1.1</x:v>
      </x:c>
      <x:c r="M101" t="str" s="2">
        <x:v>Dead</x:v>
      </x:c>
      <x:c r="N101" t="str" s="2">
        <x:v>Deal Created</x:v>
      </x:c>
      <x:c r="O101" s="0"/>
      <x:c r="P101" s="6">
        <x:v>46210</x:v>
      </x:c>
      <x:c r="Q101" s="6">
        <x:v>46210.80439922454</x:v>
      </x:c>
      <x:c r="R101" s="0"/>
      <x:c r="S101" s="0"/>
      <x:c r="T101" s="0"/>
      <x:c r="U101" s="0"/>
      <x:c r="V101" s="0"/>
      <x:c r="W101" s="0"/>
      <x:c r="X101" t="str" s="2">
        <x:v>4059981045</x:v>
      </x:c>
      <x:c r="Y101" t="str" s="2">
        <x:v>roxana.jansen0@gmail.com</x:v>
      </x:c>
      <x:c r="Z101" s="6">
        <x:v>46210.810225810186</x:v>
      </x:c>
      <x:c r="AA101" t="str" s="2">
        <x:v>Trey Rixleben</x:v>
      </x:c>
      <x:c r="AB101" s="6">
        <x:v>46210.804399733795</x:v>
      </x:c>
      <x:c r="AC101" t="n" s="2">
        <x:v>38322</x:v>
      </x:c>
      <x:c r="AD101" s="0"/>
      <x:c r="AE101" s="0"/>
      <x:c r="AF101" s="0"/>
      <x:c r="AG101" s="0"/>
      <x:c r="AH101" s="0"/>
      <x:c r="AI101" s="0"/>
      <x:c r="AJ101" s="0"/>
      <x:c r="AK101" s="0"/>
    </x:row>
    <x:row r="102">
      <x:c r="A102" t="str" s="2">
        <x:f>=HYPERLINK("https://rsms.futurehomex.com/lead/38323", "Perla Avalos")</x:f>
      </x:c>
      <x:c r="B102" t="n" s="2">
        <x:v>98</x:v>
      </x:c>
      <x:c r="C102" t="str" s="2">
        <x:v>0/2</x:v>
      </x:c>
      <x:c r="D102" t="str" s="2">
        <x:f>=""</x:f>
      </x:c>
      <x:c r="E102" t="str" s="2">
        <x:v>David Avalos</x:v>
      </x:c>
      <x:c r="F102" t="str" s="2">
        <x:v>Facebook Messenger</x:v>
      </x:c>
      <x:c r="G102" t="str" s="2">
        <x:v>Heritage Housing of Greenville</x:v>
      </x:c>
      <x:c r="H102" t="str" s="2">
        <x:v>Ana Garcia</x:v>
      </x:c>
      <x:c r="I102" s="0"/>
      <x:c r="J102" t="str" s="2">
        <x:v>Ana Garcia</x:v>
      </x:c>
      <x:c r="K102" t="n" s="2">
        <x:v>100</x:v>
      </x:c>
      <x:c r="L102" t="str" s="2">
        <x:v>6.2</x:v>
      </x:c>
      <x:c r="M102" t="str" s="2">
        <x:v>Closed</x:v>
      </x:c>
      <x:c r="N102" t="str" s="2">
        <x:v>Delivered</x:v>
      </x:c>
      <x:c r="O102" s="6">
        <x:v>46234</x:v>
      </x:c>
      <x:c r="P102" s="6">
        <x:v>46210</x:v>
      </x:c>
      <x:c r="Q102" s="6">
        <x:v>46233.489795520836</x:v>
      </x:c>
      <x:c r="R102" s="0"/>
      <x:c r="S102" s="6">
        <x:v>46210</x:v>
      </x:c>
      <x:c r="T102" s="6">
        <x:v>46210</x:v>
      </x:c>
      <x:c r="U102" s="6">
        <x:v>46217</x:v>
      </x:c>
      <x:c r="V102" s="6">
        <x:v>46217</x:v>
      </x:c>
      <x:c r="W102" s="6">
        <x:v>46234</x:v>
      </x:c>
      <x:c r="X102" t="str" s="2">
        <x:v>6822020777</x:v>
      </x:c>
      <x:c r="Y102" t="str" s="2">
        <x:v>Perlagomez638@yahoo.com</x:v>
      </x:c>
      <x:c r="Z102" s="6">
        <x:v>46233.681874918984</x:v>
      </x:c>
      <x:c r="AA102" t="str" s="2">
        <x:v>Sarahi Vazquez</x:v>
      </x:c>
      <x:c r="AB102" s="6">
        <x:v>46210.82395702547</x:v>
      </x:c>
      <x:c r="AC102" t="n" s="2">
        <x:v>38323</x:v>
      </x:c>
      <x:c r="AD102" t="str" s="2">
        <x:v>Doublewide</x:v>
      </x:c>
      <x:c r="AE102" t="str" s="2">
        <x:v>Legacy Housing Corporation</x:v>
      </x:c>
      <x:c r="AF102" s="7">
        <x:v>100000</x:v>
      </x:c>
      <x:c r="AG102" s="7">
        <x:v>100000</x:v>
      </x:c>
      <x:c r="AH102" s="7">
        <x:v>100000</x:v>
      </x:c>
      <x:c r="AI102" s="0"/>
      <x:c r="AJ102" s="0"/>
      <x:c r="AK102" t="str" s="6">
        <x:v>2026-07-21</x:v>
      </x:c>
    </x:row>
    <x:row r="103">
      <x:c r="A103" t="str" s="2">
        <x:f>=HYPERLINK("https://rsms.futurehomex.com/lead/38327", "Anna Barnett Harris")</x:f>
      </x:c>
      <x:c r="B103" t="n" s="2">
        <x:v>98</x:v>
      </x:c>
      <x:c r="C103" t="str" s="2">
        <x:v>0/5</x:v>
      </x:c>
      <x:c r="D103" t="str" s="2">
        <x:f>=""</x:f>
      </x:c>
      <x:c r="E103" s="0"/>
      <x:c r="F103" t="str" s="2">
        <x:v>Financing Form</x:v>
      </x:c>
      <x:c r="G103" t="str" s="2">
        <x:v>Heritage Housing of Jennings</x:v>
      </x:c>
      <x:c r="H103" t="str" s="2">
        <x:v>Mervin Leslie Smith</x:v>
      </x:c>
      <x:c r="I103" t="str" s="2">
        <x:v>Karol Romero</x:v>
      </x:c>
      <x:c r="J103" t="str" s="2">
        <x:v>Mervin Leslie Smith</x:v>
      </x:c>
      <x:c r="K103" t="n" s="2">
        <x:v>38</x:v>
      </x:c>
      <x:c r="L103" t="str" s="2">
        <x:v>3.2</x:v>
      </x:c>
      <x:c r="M103" t="str" s="2">
        <x:v>Inactive</x:v>
      </x:c>
      <x:c r="N103" t="str" s="2">
        <x:v>Application</x:v>
      </x:c>
      <x:c r="O103" s="6">
        <x:v>46234</x:v>
      </x:c>
      <x:c r="P103" s="6">
        <x:v>46210</x:v>
      </x:c>
      <x:c r="Q103" s="6">
        <x:v>46227.77638498843</x:v>
      </x:c>
      <x:c r="R103" s="0"/>
      <x:c r="S103" s="6">
        <x:v>46210</x:v>
      </x:c>
      <x:c r="T103" s="0"/>
      <x:c r="U103" s="0"/>
      <x:c r="V103" s="0"/>
      <x:c r="W103" s="0"/>
      <x:c r="X103" t="str" s="2">
        <x:v>9302053195</x:v>
      </x:c>
      <x:c r="Y103" t="str" s="2">
        <x:v>aharris2720@gmail.com</x:v>
      </x:c>
      <x:c r="Z103" s="6">
        <x:v>46227.777859340276</x:v>
      </x:c>
      <x:c r="AA103" t="str" s="2">
        <x:v>Mervin Leslie Smith</x:v>
      </x:c>
      <x:c r="AB103" s="6">
        <x:v>46210.85831982639</x:v>
      </x:c>
      <x:c r="AC103" t="n" s="2">
        <x:v>38327</x:v>
      </x:c>
      <x:c r="AD103" t="str" s="2">
        <x:v>Singlewide</x:v>
      </x:c>
      <x:c r="AE103" t="str" s="2">
        <x:v>Legacy Housing Corporation</x:v>
      </x:c>
      <x:c r="AF103" s="0"/>
      <x:c r="AG103" s="0"/>
      <x:c r="AH103" s="0"/>
      <x:c r="AI103" s="0"/>
      <x:c r="AJ103" s="0"/>
      <x:c r="AK103" s="0"/>
    </x:row>
    <x:row r="104">
      <x:c r="A104" t="str" s="2">
        <x:f>=HYPERLINK("https://rsms.futurehomex.com/lead/38329", "Adam Grant")</x:f>
      </x:c>
      <x:c r="B104" t="n" s="2">
        <x:v>98</x:v>
      </x:c>
      <x:c r="C104" t="str" s="2">
        <x:v/>
      </x:c>
      <x:c r="D104" t="str" s="2">
        <x:f>=""</x:f>
      </x:c>
      <x:c r="E104" t="str" s="2">
        <x:v>Angela Collins</x:v>
      </x:c>
      <x:c r="F104" t="str" s="2">
        <x:v>Walk-in</x:v>
      </x:c>
      <x:c r="G104" t="str" s="2">
        <x:v>Heritage Housing of Oklahoma City</x:v>
      </x:c>
      <x:c r="H104" t="str" s="2">
        <x:v>Trey Rixleben</x:v>
      </x:c>
      <x:c r="I104" t="str" s="2">
        <x:v>Karol Romero</x:v>
      </x:c>
      <x:c r="J104" t="str" s="2">
        <x:v>Trey Rixleben</x:v>
      </x:c>
      <x:c r="K104" t="n" s="2">
        <x:v>5</x:v>
      </x:c>
      <x:c r="L104" t="str" s="2">
        <x:v>1.1</x:v>
      </x:c>
      <x:c r="M104" t="str" s="2">
        <x:v>Dead</x:v>
      </x:c>
      <x:c r="N104" t="str" s="2">
        <x:v>Deal Created</x:v>
      </x:c>
      <x:c r="O104" s="0"/>
      <x:c r="P104" s="6">
        <x:v>46210</x:v>
      </x:c>
      <x:c r="Q104" s="6">
        <x:v>46210.875192210646</x:v>
      </x:c>
      <x:c r="R104" s="0"/>
      <x:c r="S104" s="0"/>
      <x:c r="T104" s="0"/>
      <x:c r="U104" s="0"/>
      <x:c r="V104" s="0"/>
      <x:c r="W104" s="0"/>
      <x:c r="X104" t="str" s="2">
        <x:v>4059061362</x:v>
      </x:c>
      <x:c r="Y104" t="str" s="2">
        <x:v>admgrt5@gmail.com</x:v>
      </x:c>
      <x:c r="Z104" s="6">
        <x:v>46212.857202858795</x:v>
      </x:c>
      <x:c r="AA104" t="str" s="2">
        <x:v>Richard Bell</x:v>
      </x:c>
      <x:c r="AB104" s="6">
        <x:v>46210.87029436343</x:v>
      </x:c>
      <x:c r="AC104" t="n" s="2">
        <x:v>38329</x:v>
      </x:c>
      <x:c r="AD104" s="0"/>
      <x:c r="AE104" s="0"/>
      <x:c r="AF104" s="0"/>
      <x:c r="AG104" s="0"/>
      <x:c r="AH104" s="0"/>
      <x:c r="AI104" s="0"/>
      <x:c r="AJ104" s="0"/>
      <x:c r="AK104" s="0"/>
    </x:row>
    <x:row r="105">
      <x:c r="A105" t="str" s="2">
        <x:f>=HYPERLINK("https://rsms.futurehomex.com/lead/38330", "Daniel Hedger")</x:f>
      </x:c>
      <x:c r="B105" t="n" s="2">
        <x:v>98</x:v>
      </x:c>
      <x:c r="C105" t="str" s="2">
        <x:v/>
      </x:c>
      <x:c r="D105" t="str" s="2">
        <x:f>=""</x:f>
      </x:c>
      <x:c r="E105" s="0"/>
      <x:c r="F105" t="str" s="2">
        <x:v>META Marketplace</x:v>
      </x:c>
      <x:c r="G105" t="str" s="2">
        <x:v>Heritage Housing Mt Pleasant</x:v>
      </x:c>
      <x:c r="H105" t="str" s="2">
        <x:v>Yarelis Torres</x:v>
      </x:c>
      <x:c r="I105" s="0"/>
      <x:c r="J105" t="str" s="2">
        <x:v>Yarelis Torres</x:v>
      </x:c>
      <x:c r="K105" t="n" s="2">
        <x:v>100</x:v>
      </x:c>
      <x:c r="L105" t="str" s="2">
        <x:v>6.2</x:v>
      </x:c>
      <x:c r="M105" t="str" s="2">
        <x:v>Closed</x:v>
      </x:c>
      <x:c r="N105" t="str" s="2">
        <x:v>Delivered</x:v>
      </x:c>
      <x:c r="O105" s="6">
        <x:v>46279</x:v>
      </x:c>
      <x:c r="P105" s="6">
        <x:v>46210</x:v>
      </x:c>
      <x:c r="Q105" s="6">
        <x:v>46290.641044131946</x:v>
      </x:c>
      <x:c r="R105" s="0"/>
      <x:c r="S105" s="6">
        <x:v>46209</x:v>
      </x:c>
      <x:c r="T105" s="6">
        <x:v>46241</x:v>
      </x:c>
      <x:c r="U105" s="6">
        <x:v>46280</x:v>
      </x:c>
      <x:c r="V105" s="6">
        <x:v>46280</x:v>
      </x:c>
      <x:c r="W105" s="6">
        <x:v>46289</x:v>
      </x:c>
      <x:c r="X105" t="str" s="2">
        <x:v>9039213629</x:v>
      </x:c>
      <x:c r="Y105" t="str" s="2">
        <x:v>hedgerdaniel1@gmail.com</x:v>
      </x:c>
      <x:c r="Z105" s="6">
        <x:v>46284.9304965625</x:v>
      </x:c>
      <x:c r="AA105" t="str" s="2">
        <x:v>Schell Liles</x:v>
      </x:c>
      <x:c r="AB105" s="6">
        <x:v>46210.90011484954</x:v>
      </x:c>
      <x:c r="AC105" t="n" s="2">
        <x:v>38330</x:v>
      </x:c>
      <x:c r="AD105" t="str" s="2">
        <x:v>Doublewide</x:v>
      </x:c>
      <x:c r="AE105" t="str" s="2">
        <x:v>21st Mortgage Corporation</x:v>
      </x:c>
      <x:c r="AF105" s="0"/>
      <x:c r="AG105" s="7">
        <x:v>0</x:v>
      </x:c>
      <x:c r="AH105" s="7">
        <x:v>500</x:v>
      </x:c>
      <x:c r="AI105" s="0"/>
      <x:c r="AJ105" s="0"/>
      <x:c r="AK105" s="0"/>
    </x:row>
    <x:row r="106">
      <x:c r="A106" t="str" s="2">
        <x:f>=HYPERLINK("https://rsms.futurehomex.com/lead/38331", "Walter Gould")</x:f>
      </x:c>
      <x:c r="B106" t="n" s="2">
        <x:v>98</x:v>
      </x:c>
      <x:c r="C106" t="str" s="2">
        <x:v/>
      </x:c>
      <x:c r="D106" t="str" s="2">
        <x:f>=""</x:f>
      </x:c>
      <x:c r="E106" s="0"/>
      <x:c r="F106" t="str" s="2">
        <x:v>Website</x:v>
      </x:c>
      <x:c r="G106" t="str" s="2">
        <x:v>Heritage Housing of Tulsa</x:v>
      </x:c>
      <x:c r="H106" t="str" s="2">
        <x:v>Jenna Fransisco</x:v>
      </x:c>
      <x:c r="I106" s="0"/>
      <x:c r="J106" t="str" s="2">
        <x:v>Jenna Fransisco</x:v>
      </x:c>
      <x:c r="K106" t="n" s="2">
        <x:v>5</x:v>
      </x:c>
      <x:c r="L106" t="str" s="2">
        <x:v>1.1</x:v>
      </x:c>
      <x:c r="M106" t="str" s="2">
        <x:v>Tentative</x:v>
      </x:c>
      <x:c r="N106" t="str" s="2">
        <x:v>Prospect</x:v>
      </x:c>
      <x:c r="O106" s="0"/>
      <x:c r="P106" s="6">
        <x:v>46210</x:v>
      </x:c>
      <x:c r="Q106" s="6">
        <x:v>46210.910984525464</x:v>
      </x:c>
      <x:c r="R106" s="0"/>
      <x:c r="S106" s="0"/>
      <x:c r="T106" s="0"/>
      <x:c r="U106" s="0"/>
      <x:c r="V106" s="0"/>
      <x:c r="W106" s="0"/>
      <x:c r="X106" t="str" s="2">
        <x:v>4074066599</x:v>
      </x:c>
      <x:c r="Y106" t="str" s="2">
        <x:v>walterejr@gmail.com</x:v>
      </x:c>
      <x:c r="Z106" s="0"/>
      <x:c r="AA106" s="0"/>
      <x:c r="AB106" s="6">
        <x:v>46210.910984988426</x:v>
      </x:c>
      <x:c r="AC106" t="n" s="2">
        <x:v>38331</x:v>
      </x:c>
      <x:c r="AD106" s="0"/>
      <x:c r="AE106" s="0"/>
      <x:c r="AF106" s="0"/>
      <x:c r="AG106" s="0"/>
      <x:c r="AH106" s="0"/>
      <x:c r="AI106" s="0"/>
      <x:c r="AJ106" s="0"/>
      <x:c r="AK106" s="0"/>
    </x:row>
    <x:row r="107">
      <x:c r="A107" t="str" s="2">
        <x:f>=HYPERLINK("https://rsms.futurehomex.com/lead/38332", "skye washington")</x:f>
      </x:c>
      <x:c r="B107" t="n" s="2">
        <x:v>98</x:v>
      </x:c>
      <x:c r="C107" t="str" s="2">
        <x:v/>
      </x:c>
      <x:c r="D107" t="str" s="2">
        <x:f>=""</x:f>
      </x:c>
      <x:c r="E107" s="0"/>
      <x:c r="F107" t="str" s="2">
        <x:v>Website</x:v>
      </x:c>
      <x:c r="G107" t="str" s="2">
        <x:v>Heritage Housing of Albany</x:v>
      </x:c>
      <x:c r="H107" t="str" s="2">
        <x:v>Alexander Bryant</x:v>
      </x:c>
      <x:c r="I107" s="0"/>
      <x:c r="J107" t="str" s="2">
        <x:v>Alexander Bryant</x:v>
      </x:c>
      <x:c r="K107" t="n" s="2">
        <x:v>5</x:v>
      </x:c>
      <x:c r="L107" t="str" s="2">
        <x:v>1.1</x:v>
      </x:c>
      <x:c r="M107" t="str" s="2">
        <x:v>Inactive</x:v>
      </x:c>
      <x:c r="N107" t="str" s="2">
        <x:v>Prospect</x:v>
      </x:c>
      <x:c r="O107" s="0"/>
      <x:c r="P107" s="6">
        <x:v>46210</x:v>
      </x:c>
      <x:c r="Q107" s="6">
        <x:v>46210.92825385417</x:v>
      </x:c>
      <x:c r="R107" s="0"/>
      <x:c r="S107" s="0"/>
      <x:c r="T107" s="0"/>
      <x:c r="U107" s="0"/>
      <x:c r="V107" s="0"/>
      <x:c r="W107" s="0"/>
      <x:c r="X107" t="str" s="2">
        <x:v>8502642626</x:v>
      </x:c>
      <x:c r="Y107" t="str" s="2">
        <x:v>skyewashington1017@gmail.com</x:v>
      </x:c>
      <x:c r="Z107" s="0"/>
      <x:c r="AA107" s="0"/>
      <x:c r="AB107" s="6">
        <x:v>46210.92825451389</x:v>
      </x:c>
      <x:c r="AC107" t="n" s="2">
        <x:v>38332</x:v>
      </x:c>
      <x:c r="AD107" s="0"/>
      <x:c r="AE107" s="0"/>
      <x:c r="AF107" s="0"/>
      <x:c r="AG107" s="0"/>
      <x:c r="AH107" s="0"/>
      <x:c r="AI107" s="0"/>
      <x:c r="AJ107" s="0"/>
      <x:c r="AK107" s="0"/>
    </x:row>
    <x:row r="108">
      <x:c r="A108" t="str" s="2">
        <x:f>=HYPERLINK("https://rsms.futurehomex.com/lead/38334", "Cesia N Siliezar Martinez")</x:f>
      </x:c>
      <x:c r="B108" t="n" s="2">
        <x:v>98</x:v>
      </x:c>
      <x:c r="C108" t="str" s="2">
        <x:v>0/7</x:v>
      </x:c>
      <x:c r="D108" t="str" s="2">
        <x:f>=""</x:f>
      </x:c>
      <x:c r="E108" s="0"/>
      <x:c r="F108" t="str" s="2">
        <x:v>Meta Marketplace</x:v>
      </x:c>
      <x:c r="G108" t="str" s="2">
        <x:v>Legacy Housing Corp. DBA Americasa</x:v>
      </x:c>
      <x:c r="H108" t="str" s="2">
        <x:v>Jose Parada</x:v>
      </x:c>
      <x:c r="I108" t="str" s="2">
        <x:v>Karol Romero</x:v>
      </x:c>
      <x:c r="J108" t="str" s="2">
        <x:v>Rodrigo Ramirez</x:v>
      </x:c>
      <x:c r="K108" t="n" s="2">
        <x:v>38</x:v>
      </x:c>
      <x:c r="L108" t="str" s="2">
        <x:v>3.2</x:v>
      </x:c>
      <x:c r="M108" t="str" s="2">
        <x:v>Inactive</x:v>
      </x:c>
      <x:c r="N108" t="str" s="2">
        <x:v>Application</x:v>
      </x:c>
      <x:c r="O108" s="6">
        <x:v>46234</x:v>
      </x:c>
      <x:c r="P108" s="6">
        <x:v>46210</x:v>
      </x:c>
      <x:c r="Q108" s="6">
        <x:v>46213.873974456015</x:v>
      </x:c>
      <x:c r="R108" s="0"/>
      <x:c r="S108" s="6">
        <x:v>46212</x:v>
      </x:c>
      <x:c r="T108" s="0"/>
      <x:c r="U108" s="0"/>
      <x:c r="V108" s="0"/>
      <x:c r="W108" s="0"/>
      <x:c r="X108" t="str" s="2">
        <x:v>3466684332</x:v>
      </x:c>
      <x:c r="Y108" t="str" s="2">
        <x:v>diazcesi5@gmail.com</x:v>
      </x:c>
      <x:c r="Z108" s="6">
        <x:v>46245.84593834491</x:v>
      </x:c>
      <x:c r="AA108" t="str" s="2">
        <x:v>Rodrigo Ramirez</x:v>
      </x:c>
      <x:c r="AB108" s="6">
        <x:v>46210.9399959838</x:v>
      </x:c>
      <x:c r="AC108" t="n" s="2">
        <x:v>38334</x:v>
      </x:c>
      <x:c r="AD108" t="str" s="2">
        <x:v>Doublewide</x:v>
      </x:c>
      <x:c r="AE108" t="str" s="2">
        <x:v>Legacy Housing Corporation</x:v>
      </x:c>
      <x:c r="AF108" s="7">
        <x:v>13000</x:v>
      </x:c>
      <x:c r="AG108" s="7">
        <x:v>13000</x:v>
      </x:c>
      <x:c r="AH108" s="7">
        <x:v>0</x:v>
      </x:c>
      <x:c r="AI108" s="0"/>
      <x:c r="AJ108" s="0"/>
      <x:c r="AK108" s="0"/>
    </x:row>
    <x:row r="109">
      <x:c r="A109" t="str" s="2">
        <x:f>=HYPERLINK("https://rsms.futurehomex.com/lead/38337", "kevin moore")</x:f>
      </x:c>
      <x:c r="B109" t="n" s="2">
        <x:v>97</x:v>
      </x:c>
      <x:c r="C109" t="str" s="2">
        <x:v>1/2</x:v>
      </x:c>
      <x:c r="D109" t="str" s="2">
        <x:f>=""</x:f>
      </x:c>
      <x:c r="E109" s="0"/>
      <x:c r="F109" t="str" s="2">
        <x:v>Meta Ads - Forms</x:v>
      </x:c>
      <x:c r="G109" t="str" s="2">
        <x:v>Heritage Housing of Oklahoma City</x:v>
      </x:c>
      <x:c r="H109" t="str" s="2">
        <x:v>Trey Rixleben</x:v>
      </x:c>
      <x:c r="I109" t="str" s="2">
        <x:v>Karol Romero</x:v>
      </x:c>
      <x:c r="J109" t="str" s="2">
        <x:v>Trey Rixleben</x:v>
      </x:c>
      <x:c r="K109" t="n" s="2">
        <x:v>5</x:v>
      </x:c>
      <x:c r="L109" t="str" s="2">
        <x:v>1.1</x:v>
      </x:c>
      <x:c r="M109" t="str" s="2">
        <x:v>Inactive</x:v>
      </x:c>
      <x:c r="N109" t="str" s="2">
        <x:v>Deal Created</x:v>
      </x:c>
      <x:c r="O109" s="0"/>
      <x:c r="P109" s="6">
        <x:v>46211</x:v>
      </x:c>
      <x:c r="Q109" s="6">
        <x:v>46265.958745717595</x:v>
      </x:c>
      <x:c r="R109" s="0"/>
      <x:c r="S109" s="0"/>
      <x:c r="T109" s="0"/>
      <x:c r="U109" s="0"/>
      <x:c r="V109" s="0"/>
      <x:c r="W109" s="0"/>
      <x:c r="X109" t="str" s="2">
        <x:v>4057128753</x:v>
      </x:c>
      <x:c r="Y109" t="str" s="2">
        <x:v>k39567357@gmail.com</x:v>
      </x:c>
      <x:c r="Z109" s="6">
        <x:v>46265.95981597222</x:v>
      </x:c>
      <x:c r="AA109" t="str" s="2">
        <x:v>Trey Rixleben</x:v>
      </x:c>
      <x:c r="AB109" s="6">
        <x:v>46211.621570104166</x:v>
      </x:c>
      <x:c r="AC109" t="n" s="2">
        <x:v>38337</x:v>
      </x:c>
      <x:c r="AD109" s="0"/>
      <x:c r="AE109" s="0"/>
      <x:c r="AF109" s="0"/>
      <x:c r="AG109" s="0"/>
      <x:c r="AH109" s="0"/>
      <x:c r="AI109" s="0"/>
      <x:c r="AJ109" s="0"/>
      <x:c r="AK109" s="0"/>
    </x:row>
    <x:row r="110">
      <x:c r="A110" t="str" s="2">
        <x:f>=HYPERLINK("https://rsms.futurehomex.com/lead/38338", "Lisa Whitmire")</x:f>
      </x:c>
      <x:c r="B110" t="n" s="2">
        <x:v>97</x:v>
      </x:c>
      <x:c r="C110" t="str" s="2">
        <x:v>0/2</x:v>
      </x:c>
      <x:c r="D110" t="str" s="2">
        <x:f>=""</x:f>
      </x:c>
      <x:c r="E110" s="0"/>
      <x:c r="F110" t="str" s="2">
        <x:v>LandingPage</x:v>
      </x:c>
      <x:c r="G110" t="str" s="2">
        <x:v>Heritage Housing of Oklahoma City</x:v>
      </x:c>
      <x:c r="H110" t="str" s="2">
        <x:v>Trey Rixleben</x:v>
      </x:c>
      <x:c r="I110" t="str" s="2">
        <x:v>Karol Romero</x:v>
      </x:c>
      <x:c r="J110" t="str" s="2">
        <x:v>Trey Rixleben</x:v>
      </x:c>
      <x:c r="K110" t="n" s="2">
        <x:v>5</x:v>
      </x:c>
      <x:c r="L110" t="str" s="2">
        <x:v>1.1</x:v>
      </x:c>
      <x:c r="M110" t="str" s="2">
        <x:v>Dead</x:v>
      </x:c>
      <x:c r="N110" t="str" s="2">
        <x:v>Deal Created</x:v>
      </x:c>
      <x:c r="O110" s="0"/>
      <x:c r="P110" s="6">
        <x:v>46211</x:v>
      </x:c>
      <x:c r="Q110" s="6">
        <x:v>46261.86869074074</x:v>
      </x:c>
      <x:c r="R110" s="0"/>
      <x:c r="S110" s="0"/>
      <x:c r="T110" s="0"/>
      <x:c r="U110" s="0"/>
      <x:c r="V110" s="0"/>
      <x:c r="W110" s="0"/>
      <x:c r="X110" t="str" s="2">
        <x:v>4056378650</x:v>
      </x:c>
      <x:c r="Y110" t="str" s="2">
        <x:v>Lisa.lippoldt@cox.net</x:v>
      </x:c>
      <x:c r="Z110" s="6">
        <x:v>46265.74168445602</x:v>
      </x:c>
      <x:c r="AA110" t="str" s="2">
        <x:v>Richard Bell</x:v>
      </x:c>
      <x:c r="AB110" s="6">
        <x:v>46211.623549421296</x:v>
      </x:c>
      <x:c r="AC110" t="n" s="2">
        <x:v>38338</x:v>
      </x:c>
      <x:c r="AD110" s="0"/>
      <x:c r="AE110" s="0"/>
      <x:c r="AF110" s="0"/>
      <x:c r="AG110" s="0"/>
      <x:c r="AH110" s="0"/>
      <x:c r="AI110" s="0"/>
      <x:c r="AJ110" s="0"/>
      <x:c r="AK110" s="0"/>
    </x:row>
    <x:row r="111">
      <x:c r="A111" t="str" s="2">
        <x:f>=HYPERLINK("https://rsms.futurehomex.com/lead/38339", "Ciearra Corbridge")</x:f>
      </x:c>
      <x:c r="B111" t="n" s="2">
        <x:v>97</x:v>
      </x:c>
      <x:c r="C111" t="str" s="2">
        <x:v>1/1</x:v>
      </x:c>
      <x:c r="D111" t="str" s="2">
        <x:f>=""</x:f>
      </x:c>
      <x:c r="E111" s="0"/>
      <x:c r="F111" t="str" s="2">
        <x:v>Financing Form</x:v>
      </x:c>
      <x:c r="G111" t="str" s="2">
        <x:v>Heritage Housing of Oklahoma City</x:v>
      </x:c>
      <x:c r="H111" t="str" s="2">
        <x:v>Trey Rixleben</x:v>
      </x:c>
      <x:c r="I111" t="str" s="2">
        <x:v>Karol Romero</x:v>
      </x:c>
      <x:c r="J111" t="str" s="2">
        <x:v>Trey Rixleben</x:v>
      </x:c>
      <x:c r="K111" t="n" s="2">
        <x:v>5</x:v>
      </x:c>
      <x:c r="L111" t="str" s="2">
        <x:v>1.1</x:v>
      </x:c>
      <x:c r="M111" t="str" s="2">
        <x:v>Tentative</x:v>
      </x:c>
      <x:c r="N111" t="str" s="2">
        <x:v>Deal Created</x:v>
      </x:c>
      <x:c r="O111" s="0"/>
      <x:c r="P111" s="6">
        <x:v>46211</x:v>
      </x:c>
      <x:c r="Q111" s="6">
        <x:v>46300.994785532406</x:v>
      </x:c>
      <x:c r="R111" s="0"/>
      <x:c r="S111" s="0"/>
      <x:c r="T111" s="0"/>
      <x:c r="U111" s="0"/>
      <x:c r="V111" s="0"/>
      <x:c r="W111" s="0"/>
      <x:c r="X111" t="str" s="2">
        <x:v>5807150424</x:v>
      </x:c>
      <x:c r="Y111" t="str" s="2">
        <x:v>ciearramiles9@gmail.com</x:v>
      </x:c>
      <x:c r="Z111" s="6">
        <x:v>46300.99706751158</x:v>
      </x:c>
      <x:c r="AA111" t="str" s="2">
        <x:v>Trey Rixleben</x:v>
      </x:c>
      <x:c r="AB111" s="6">
        <x:v>46211.62880443287</x:v>
      </x:c>
      <x:c r="AC111" t="n" s="2">
        <x:v>38339</x:v>
      </x:c>
      <x:c r="AD111" s="0"/>
      <x:c r="AE111" s="0"/>
      <x:c r="AF111" s="0"/>
      <x:c r="AG111" s="0"/>
      <x:c r="AH111" s="0"/>
      <x:c r="AI111" s="0"/>
      <x:c r="AJ111" s="0"/>
      <x:c r="AK111" s="0"/>
    </x:row>
    <x:row r="112">
      <x:c r="A112" t="str" s="2">
        <x:f>=HYPERLINK("https://rsms.futurehomex.com/lead/38340", "John Bandalan")</x:f>
      </x:c>
      <x:c r="B112" t="n" s="2">
        <x:v>97</x:v>
      </x:c>
      <x:c r="C112" t="str" s="2">
        <x:v>0/3</x:v>
      </x:c>
      <x:c r="D112" t="str" s="2">
        <x:f>="Close7/22"</x:f>
      </x:c>
      <x:c r="E112" s="0"/>
      <x:c r="F112" t="str" s="2">
        <x:v>META Ads</x:v>
      </x:c>
      <x:c r="G112" t="str" s="2">
        <x:v>Heritage Housing Marble Falls</x:v>
      </x:c>
      <x:c r="H112" t="str" s="2">
        <x:v>Stephen Sanders</x:v>
      </x:c>
      <x:c r="I112" t="str" s="2">
        <x:v>Karol Romero</x:v>
      </x:c>
      <x:c r="J112" t="str" s="2">
        <x:v>Stephen Sanders</x:v>
      </x:c>
      <x:c r="K112" t="n" s="2">
        <x:v>100</x:v>
      </x:c>
      <x:c r="L112" t="str" s="2">
        <x:v>6.2</x:v>
      </x:c>
      <x:c r="M112" t="str" s="2">
        <x:v>Closed</x:v>
      </x:c>
      <x:c r="N112" t="str" s="2">
        <x:v>Delivered</x:v>
      </x:c>
      <x:c r="O112" s="6">
        <x:v>46234</x:v>
      </x:c>
      <x:c r="P112" s="6">
        <x:v>46211</x:v>
      </x:c>
      <x:c r="Q112" s="6">
        <x:v>46231.59156033565</x:v>
      </x:c>
      <x:c r="R112" t="str" s="2">
        <x:v>Stephen Sanders</x:v>
      </x:c>
      <x:c r="S112" s="6">
        <x:v>46211</x:v>
      </x:c>
      <x:c r="T112" s="6">
        <x:v>46211</x:v>
      </x:c>
      <x:c r="U112" s="6">
        <x:v>46217</x:v>
      </x:c>
      <x:c r="V112" s="0"/>
      <x:c r="W112" s="6">
        <x:v>46233</x:v>
      </x:c>
      <x:c r="X112" t="str" s="2">
        <x:v>5124613802</x:v>
      </x:c>
      <x:c r="Y112" t="str" s="2">
        <x:v>john.bandalan@gmail.com</x:v>
      </x:c>
      <x:c r="Z112" s="6">
        <x:v>46239.59786582176</x:v>
      </x:c>
      <x:c r="AA112" t="str" s="2">
        <x:v>JD Stalker</x:v>
      </x:c>
      <x:c r="AB112" s="6">
        <x:v>46211.63805829861</x:v>
      </x:c>
      <x:c r="AC112" t="n" s="2">
        <x:v>38340</x:v>
      </x:c>
      <x:c r="AD112" t="str" s="2">
        <x:v>Singlewide</x:v>
      </x:c>
      <x:c r="AE112" t="str" s="2">
        <x:v>Legacy Housing Corporation</x:v>
      </x:c>
      <x:c r="AF112" s="7">
        <x:v>6000</x:v>
      </x:c>
      <x:c r="AG112" s="7">
        <x:v>4000</x:v>
      </x:c>
      <x:c r="AH112" s="0"/>
      <x:c r="AI112" s="0"/>
      <x:c r="AJ112" s="0"/>
      <x:c r="AK112" t="str" s="6">
        <x:v>2026-07-23</x:v>
      </x:c>
    </x:row>
    <x:row r="113">
      <x:c r="A113" t="str" s="2">
        <x:f>=HYPERLINK("https://rsms.futurehomex.com/lead/38341", "Adriana Munoz")</x:f>
      </x:c>
      <x:c r="B113" t="n" s="2">
        <x:v>97</x:v>
      </x:c>
      <x:c r="C113" t="str" s="2">
        <x:v>0/2</x:v>
      </x:c>
      <x:c r="D113" t="str" s="2">
        <x:f>=""</x:f>
      </x:c>
      <x:c r="E113" s="0"/>
      <x:c r="F113" t="str" s="2">
        <x:v>Meta Marketplace</x:v>
      </x:c>
      <x:c r="G113" t="str" s="2">
        <x:v>Legacy Housing Corp. DBA Americasa</x:v>
      </x:c>
      <x:c r="H113" t="str" s="2">
        <x:v>Angelica Mendoza </x:v>
      </x:c>
      <x:c r="I113" t="str" s="2">
        <x:v>Karol Romero</x:v>
      </x:c>
      <x:c r="J113" t="str" s="2">
        <x:v>Rodrigo Ramirez</x:v>
      </x:c>
      <x:c r="K113" t="n" s="2">
        <x:v>5</x:v>
      </x:c>
      <x:c r="L113" t="str" s="2">
        <x:v>1.1</x:v>
      </x:c>
      <x:c r="M113" t="str" s="2">
        <x:v>Tentative</x:v>
      </x:c>
      <x:c r="N113" t="str" s="2">
        <x:v>Deal Created</x:v>
      </x:c>
      <x:c r="O113" s="0"/>
      <x:c r="P113" s="6">
        <x:v>46211</x:v>
      </x:c>
      <x:c r="Q113" s="6">
        <x:v>46223.8199099537</x:v>
      </x:c>
      <x:c r="R113" s="0"/>
      <x:c r="S113" s="0"/>
      <x:c r="T113" s="0"/>
      <x:c r="U113" s="0"/>
      <x:c r="V113" s="0"/>
      <x:c r="W113" s="0"/>
      <x:c r="X113" t="str" s="2">
        <x:v>8323682159</x:v>
      </x:c>
      <x:c r="Y113" t="str" s="2">
        <x:v>8323682159</x:v>
      </x:c>
      <x:c r="Z113" s="6">
        <x:v>46223.821003240744</x:v>
      </x:c>
      <x:c r="AA113" t="str" s="2">
        <x:v>Victoria Sanchez</x:v>
      </x:c>
      <x:c r="AB113" s="6">
        <x:v>46211.65093290509</x:v>
      </x:c>
      <x:c r="AC113" t="n" s="2">
        <x:v>38341</x:v>
      </x:c>
      <x:c r="AD113" s="0"/>
      <x:c r="AE113" s="0"/>
      <x:c r="AF113" s="0"/>
      <x:c r="AG113" s="0"/>
      <x:c r="AH113" s="0"/>
      <x:c r="AI113" s="0"/>
      <x:c r="AJ113" s="0"/>
      <x:c r="AK113" s="0"/>
    </x:row>
    <x:row r="114">
      <x:c r="A114" t="str" s="2">
        <x:f>=HYPERLINK("https://rsms.futurehomex.com/lead/38342", "Valentina Melchor")</x:f>
      </x:c>
      <x:c r="B114" t="n" s="2">
        <x:v>97</x:v>
      </x:c>
      <x:c r="C114" t="str" s="2">
        <x:v/>
      </x:c>
      <x:c r="D114" t="str" s="2">
        <x:f>="Double Wide"</x:f>
      </x:c>
      <x:c r="E114" s="0"/>
      <x:c r="F114" t="str" s="2">
        <x:v>Referrals</x:v>
      </x:c>
      <x:c r="G114" t="str" s="2">
        <x:v>Heritage Housing Gainesville</x:v>
      </x:c>
      <x:c r="H114" t="str" s="2">
        <x:v>Kelly Ford</x:v>
      </x:c>
      <x:c r="I114" s="0"/>
      <x:c r="J114" s="0"/>
      <x:c r="K114" t="n" s="2">
        <x:v>5</x:v>
      </x:c>
      <x:c r="L114" t="str" s="2">
        <x:v>1.1</x:v>
      </x:c>
      <x:c r="M114" t="str" s="2">
        <x:v>Tentative</x:v>
      </x:c>
      <x:c r="N114" t="str" s="2">
        <x:v>Prospect</x:v>
      </x:c>
      <x:c r="O114" s="0"/>
      <x:c r="P114" s="6">
        <x:v>46211</x:v>
      </x:c>
      <x:c r="Q114" s="6">
        <x:v>46232.95340740741</x:v>
      </x:c>
      <x:c r="R114" s="0"/>
      <x:c r="S114" s="6">
        <x:v>46211</x:v>
      </x:c>
      <x:c r="T114" s="0"/>
      <x:c r="U114" s="0"/>
      <x:c r="V114" s="0"/>
      <x:c r="W114" s="0"/>
      <x:c r="X114" t="str" s="2">
        <x:v>9402840646</x:v>
      </x:c>
      <x:c r="Y114" t="str" s="2">
        <x:v>Valentinamelchor12@icloud.com</x:v>
      </x:c>
      <x:c r="Z114" s="0"/>
      <x:c r="AA114" s="0"/>
      <x:c r="AB114" s="6">
        <x:v>46211.720507638885</x:v>
      </x:c>
      <x:c r="AC114" t="n" s="2">
        <x:v>38342</x:v>
      </x:c>
      <x:c r="AD114" s="0"/>
      <x:c r="AE114" s="0"/>
      <x:c r="AF114" s="0"/>
      <x:c r="AG114" s="0"/>
      <x:c r="AH114" s="0"/>
      <x:c r="AI114" s="0"/>
      <x:c r="AJ114" s="0"/>
      <x:c r="AK114" s="0"/>
    </x:row>
    <x:row r="115">
      <x:c r="A115" t="str" s="2">
        <x:f>=HYPERLINK("https://rsms.futurehomex.com/lead/38343", "Christina Shilling")</x:f>
      </x:c>
      <x:c r="B115" t="n" s="2">
        <x:v>97</x:v>
      </x:c>
      <x:c r="C115" t="str" s="2">
        <x:v>0/1</x:v>
      </x:c>
      <x:c r="D115" t="str" s="2">
        <x:f>=""</x:f>
      </x:c>
      <x:c r="E115" s="0"/>
      <x:c r="F115" t="str" s="2">
        <x:v>Meta Ads - Forms</x:v>
      </x:c>
      <x:c r="G115" t="str" s="2">
        <x:v>Heritage Housing of Oklahoma City</x:v>
      </x:c>
      <x:c r="H115" t="str" s="2">
        <x:v>Trey Rixleben</x:v>
      </x:c>
      <x:c r="I115" t="str" s="2">
        <x:v>Karol Romero</x:v>
      </x:c>
      <x:c r="J115" t="str" s="2">
        <x:v>Trey Rixleben</x:v>
      </x:c>
      <x:c r="K115" t="n" s="2">
        <x:v>5</x:v>
      </x:c>
      <x:c r="L115" t="str" s="2">
        <x:v>1.1</x:v>
      </x:c>
      <x:c r="M115" t="str" s="2">
        <x:v>Inactive</x:v>
      </x:c>
      <x:c r="N115" t="str" s="2">
        <x:v>Prospect</x:v>
      </x:c>
      <x:c r="O115" s="0"/>
      <x:c r="P115" s="6">
        <x:v>46211</x:v>
      </x:c>
      <x:c r="Q115" s="6">
        <x:v>46226.819674074075</x:v>
      </x:c>
      <x:c r="R115" s="0"/>
      <x:c r="S115" s="0"/>
      <x:c r="T115" s="0"/>
      <x:c r="U115" s="0"/>
      <x:c r="V115" s="0"/>
      <x:c r="W115" s="0"/>
      <x:c r="X115" t="str" s="2">
        <x:v>3162108442</x:v>
      </x:c>
      <x:c r="Y115" t="str" s="2">
        <x:v>christinaschilling59@gmail.com</x:v>
      </x:c>
      <x:c r="Z115" s="6">
        <x:v>46226.820511226855</x:v>
      </x:c>
      <x:c r="AA115" t="str" s="2">
        <x:v>Trey Rixleben</x:v>
      </x:c>
      <x:c r="AB115" s="6">
        <x:v>46211.72141655093</x:v>
      </x:c>
      <x:c r="AC115" t="n" s="2">
        <x:v>38343</x:v>
      </x:c>
      <x:c r="AD115" s="0"/>
      <x:c r="AE115" s="0"/>
      <x:c r="AF115" s="0"/>
      <x:c r="AG115" s="0"/>
      <x:c r="AH115" s="0"/>
      <x:c r="AI115" s="0"/>
      <x:c r="AJ115" s="0"/>
      <x:c r="AK115" s="0"/>
    </x:row>
    <x:row r="116">
      <x:c r="A116" t="str" s="2">
        <x:f>=HYPERLINK("https://rsms.futurehomex.com/lead/38345", "Abigail Harrod")</x:f>
      </x:c>
      <x:c r="B116" t="n" s="2">
        <x:v>97</x:v>
      </x:c>
      <x:c r="C116" t="str" s="2">
        <x:v>0/1</x:v>
      </x:c>
      <x:c r="D116" t="str" s="2">
        <x:f>=""</x:f>
      </x:c>
      <x:c r="E116" s="0"/>
      <x:c r="F116" t="str" s="2">
        <x:v>Website</x:v>
      </x:c>
      <x:c r="G116" t="str" s="2">
        <x:v>Heritage Housing of Oklahoma City</x:v>
      </x:c>
      <x:c r="H116" t="str" s="2">
        <x:v>Trey Rixleben</x:v>
      </x:c>
      <x:c r="I116" t="str" s="2">
        <x:v>Karol Romero</x:v>
      </x:c>
      <x:c r="J116" t="str" s="2">
        <x:v>Trey Rixleben</x:v>
      </x:c>
      <x:c r="K116" t="n" s="2">
        <x:v>5</x:v>
      </x:c>
      <x:c r="L116" t="str" s="2">
        <x:v>1.1</x:v>
      </x:c>
      <x:c r="M116" t="str" s="2">
        <x:v>Inactive</x:v>
      </x:c>
      <x:c r="N116" t="str" s="2">
        <x:v>Prospect</x:v>
      </x:c>
      <x:c r="O116" s="0"/>
      <x:c r="P116" s="6">
        <x:v>46211</x:v>
      </x:c>
      <x:c r="Q116" s="6">
        <x:v>46216.73722445602</x:v>
      </x:c>
      <x:c r="R116" s="0"/>
      <x:c r="S116" s="0"/>
      <x:c r="T116" s="0"/>
      <x:c r="U116" s="0"/>
      <x:c r="V116" s="0"/>
      <x:c r="W116" s="0"/>
      <x:c r="X116" t="str" s="2">
        <x:v>5804187787</x:v>
      </x:c>
      <x:c r="Y116" t="str" s="2">
        <x:v>abbyjharrod@gmail.com</x:v>
      </x:c>
      <x:c r="Z116" s="6">
        <x:v>46223.86865130787</x:v>
      </x:c>
      <x:c r="AA116" t="str" s="2">
        <x:v>Trey Rixleben</x:v>
      </x:c>
      <x:c r="AB116" s="6">
        <x:v>46211.78228028935</x:v>
      </x:c>
      <x:c r="AC116" t="n" s="2">
        <x:v>38345</x:v>
      </x:c>
      <x:c r="AD116" s="0"/>
      <x:c r="AE116" s="0"/>
      <x:c r="AF116" s="0"/>
      <x:c r="AG116" s="0"/>
      <x:c r="AH116" s="0"/>
      <x:c r="AI116" s="0"/>
      <x:c r="AJ116" s="0"/>
      <x:c r="AK116" s="0"/>
    </x:row>
    <x:row r="117">
      <x:c r="A117" t="str" s="2">
        <x:f>=HYPERLINK("https://rsms.futurehomex.com/lead/38346", "Esperanza Lopez Gallegos")</x:f>
      </x:c>
      <x:c r="B117" t="n" s="2">
        <x:v>97</x:v>
      </x:c>
      <x:c r="C117" t="str" s="2">
        <x:v/>
      </x:c>
      <x:c r="D117" t="str" s="2">
        <x:f>=""</x:f>
      </x:c>
      <x:c r="E117" s="0"/>
      <x:c r="F117" t="str" s="2">
        <x:v>Referrals</x:v>
      </x:c>
      <x:c r="G117" t="str" s="2">
        <x:v>Legacy Housing Corp. DBA Americasa</x:v>
      </x:c>
      <x:c r="H117" t="str" s="2">
        <x:v>Rodrigo Ramirez</x:v>
      </x:c>
      <x:c r="I117" t="str" s="2">
        <x:v>Karol Romero</x:v>
      </x:c>
      <x:c r="J117" t="str" s="2">
        <x:v>Rodrigo Ramirez</x:v>
      </x:c>
      <x:c r="K117" t="n" s="2">
        <x:v>5</x:v>
      </x:c>
      <x:c r="L117" t="str" s="2">
        <x:v>1.1</x:v>
      </x:c>
      <x:c r="M117" t="str" s="2">
        <x:v>Dead</x:v>
      </x:c>
      <x:c r="N117" t="str" s="2">
        <x:v>Deal Created</x:v>
      </x:c>
      <x:c r="O117" s="0"/>
      <x:c r="P117" s="6">
        <x:v>46211</x:v>
      </x:c>
      <x:c r="Q117" s="6">
        <x:v>46211.811377164355</x:v>
      </x:c>
      <x:c r="R117" s="0"/>
      <x:c r="S117" s="0"/>
      <x:c r="T117" s="0"/>
      <x:c r="U117" s="0"/>
      <x:c r="V117" s="0"/>
      <x:c r="W117" s="0"/>
      <x:c r="X117" t="str" s="2">
        <x:v>8327774653</x:v>
      </x:c>
      <x:c r="Y117" t="str" s="2">
        <x:v>8327774653</x:v>
      </x:c>
      <x:c r="Z117" s="6">
        <x:v>46211.81219675926</x:v>
      </x:c>
      <x:c r="AA117" t="str" s="2">
        <x:v>Rodrigo Ramirez</x:v>
      </x:c>
      <x:c r="AB117" s="6">
        <x:v>46211.81137885417</x:v>
      </x:c>
      <x:c r="AC117" t="n" s="2">
        <x:v>38346</x:v>
      </x:c>
      <x:c r="AD117" s="0"/>
      <x:c r="AE117" s="0"/>
      <x:c r="AF117" s="0"/>
      <x:c r="AG117" s="0"/>
      <x:c r="AH117" s="0"/>
      <x:c r="AI117" s="0"/>
      <x:c r="AJ117" s="0"/>
      <x:c r="AK117" s="0"/>
    </x:row>
    <x:row r="118">
      <x:c r="A118" t="str" s="2">
        <x:f>=HYPERLINK("https://rsms.futurehomex.com/lead/38348", "George McClellan")</x:f>
      </x:c>
      <x:c r="B118" t="n" s="2">
        <x:v>97</x:v>
      </x:c>
      <x:c r="C118" t="str" s="2">
        <x:v/>
      </x:c>
      <x:c r="D118" t="str" s="2">
        <x:f>=""</x:f>
      </x:c>
      <x:c r="E118" t="str" s="2">
        <x:v>Stephen Phipps</x:v>
      </x:c>
      <x:c r="F118" t="str" s="2">
        <x:v>Walk-in</x:v>
      </x:c>
      <x:c r="G118" t="str" s="2">
        <x:v>Heritage Housing of Athens</x:v>
      </x:c>
      <x:c r="H118" t="str" s="2">
        <x:v>Nathan Bishop</x:v>
      </x:c>
      <x:c r="I118" t="str" s="2">
        <x:v>Karol Romero</x:v>
      </x:c>
      <x:c r="J118" t="str" s="2">
        <x:v>Nathan Bishop</x:v>
      </x:c>
      <x:c r="K118" t="n" s="2">
        <x:v>38</x:v>
      </x:c>
      <x:c r="L118" t="str" s="2">
        <x:v>3.2</x:v>
      </x:c>
      <x:c r="M118" t="str" s="2">
        <x:v>Tentative</x:v>
      </x:c>
      <x:c r="N118" t="str" s="2">
        <x:v>Application</x:v>
      </x:c>
      <x:c r="O118" s="0"/>
      <x:c r="P118" s="6">
        <x:v>46211</x:v>
      </x:c>
      <x:c r="Q118" s="6">
        <x:v>46214.76641628472</x:v>
      </x:c>
      <x:c r="R118" s="0"/>
      <x:c r="S118" s="0"/>
      <x:c r="T118" s="0"/>
      <x:c r="U118" s="0"/>
      <x:c r="V118" s="0"/>
      <x:c r="W118" s="0"/>
      <x:c r="X118" t="str" s="2">
        <x:v>7063803001</x:v>
      </x:c>
      <x:c r="Y118" t="str" s="2">
        <x:v>ajomcclellan5@gmail.com</x:v>
      </x:c>
      <x:c r="Z118" s="6">
        <x:v>46214.70963052083</x:v>
      </x:c>
      <x:c r="AA118" t="str" s="2">
        <x:v>Iris McKinley</x:v>
      </x:c>
      <x:c r="AB118" s="6">
        <x:v>46211.85094895833</x:v>
      </x:c>
      <x:c r="AC118" t="n" s="2">
        <x:v>38348</x:v>
      </x:c>
      <x:c r="AD118" t="str" s="2">
        <x:v>Singlewide</x:v>
      </x:c>
      <x:c r="AE118" s="0"/>
      <x:c r="AF118" s="0"/>
      <x:c r="AG118" s="7">
        <x:v>1</x:v>
      </x:c>
      <x:c r="AH118" s="0"/>
      <x:c r="AI118" s="0"/>
      <x:c r="AJ118" s="0"/>
      <x:c r="AK118" s="0"/>
    </x:row>
    <x:row r="119">
      <x:c r="A119" t="str" s="2">
        <x:f>=HYPERLINK("https://rsms.futurehomex.com/lead/38349", "Johnathan Tovar")</x:f>
      </x:c>
      <x:c r="B119" t="n" s="2">
        <x:v>97</x:v>
      </x:c>
      <x:c r="C119" t="str" s="2">
        <x:v>0/4</x:v>
      </x:c>
      <x:c r="D119" t="str" s="2">
        <x:f>=""</x:f>
      </x:c>
      <x:c r="E119" t="str" s="2">
        <x:v>Crystal Nicole Perez</x:v>
      </x:c>
      <x:c r="F119" t="str" s="2">
        <x:v>Website</x:v>
      </x:c>
      <x:c r="G119" t="str" s="2">
        <x:v>Legacy Housing Corp. DBA Americasa</x:v>
      </x:c>
      <x:c r="H119" t="str" s="2">
        <x:v>Angelica Mendoza </x:v>
      </x:c>
      <x:c r="I119" t="str" s="2">
        <x:v>Karol Romero</x:v>
      </x:c>
      <x:c r="J119" t="str" s="2">
        <x:v>Rodrigo Ramirez</x:v>
      </x:c>
      <x:c r="K119" t="n" s="2">
        <x:v>5</x:v>
      </x:c>
      <x:c r="L119" t="str" s="2">
        <x:v>1.1</x:v>
      </x:c>
      <x:c r="M119" t="str" s="2">
        <x:v>Dead</x:v>
      </x:c>
      <x:c r="N119" t="str" s="2">
        <x:v>Deal Created</x:v>
      </x:c>
      <x:c r="O119" s="0"/>
      <x:c r="P119" s="6">
        <x:v>46211</x:v>
      </x:c>
      <x:c r="Q119" s="6">
        <x:v>46260.986435266204</x:v>
      </x:c>
      <x:c r="R119" s="0"/>
      <x:c r="S119" s="6">
        <x:v>46211</x:v>
      </x:c>
      <x:c r="T119" s="0"/>
      <x:c r="U119" s="0"/>
      <x:c r="V119" s="0"/>
      <x:c r="W119" s="0"/>
      <x:c r="X119" t="str" s="2">
        <x:v>2817233665</x:v>
      </x:c>
      <x:c r="Y119" t="str" s="2">
        <x:v>2817233665</x:v>
      </x:c>
      <x:c r="Z119" s="6">
        <x:v>46287.92534216435</x:v>
      </x:c>
      <x:c r="AA119" t="str" s="2">
        <x:v>Angelica Mendoza </x:v>
      </x:c>
      <x:c r="AB119" s="6">
        <x:v>46211.85099965278</x:v>
      </x:c>
      <x:c r="AC119" t="n" s="2">
        <x:v>38349</x:v>
      </x:c>
      <x:c r="AD119" s="0"/>
      <x:c r="AE119" s="0"/>
      <x:c r="AF119" s="0"/>
      <x:c r="AG119" s="7">
        <x:v>5000</x:v>
      </x:c>
      <x:c r="AH119" s="0"/>
      <x:c r="AI119" s="0"/>
      <x:c r="AJ119" s="0"/>
      <x:c r="AK119" s="0"/>
    </x:row>
    <x:row r="120">
      <x:c r="A120" t="str" s="2">
        <x:f>=HYPERLINK("https://rsms.futurehomex.com/lead/38350", "Bruce Wane")</x:f>
      </x:c>
      <x:c r="B120" t="n" s="2">
        <x:v>97</x:v>
      </x:c>
      <x:c r="C120" t="str" s="2">
        <x:v/>
      </x:c>
      <x:c r="D120" t="str" s="2">
        <x:f>=""</x:f>
      </x:c>
      <x:c r="E120" s="0"/>
      <x:c r="F120" t="str" s="2">
        <x:v>Call-In</x:v>
      </x:c>
      <x:c r="G120" t="str" s="2">
        <x:v>Heritage Housing Mt Pleasant</x:v>
      </x:c>
      <x:c r="H120" t="str" s="2">
        <x:v>Elias Gallardo</x:v>
      </x:c>
      <x:c r="I120" s="0"/>
      <x:c r="J120" s="0"/>
      <x:c r="K120" t="n" s="2">
        <x:v>5</x:v>
      </x:c>
      <x:c r="L120" t="str" s="2">
        <x:v>1.1</x:v>
      </x:c>
      <x:c r="M120" t="str" s="2">
        <x:v>Tentative</x:v>
      </x:c>
      <x:c r="N120" t="str" s="2">
        <x:v>Prospect</x:v>
      </x:c>
      <x:c r="O120" s="0"/>
      <x:c r="P120" s="6">
        <x:v>46211</x:v>
      </x:c>
      <x:c r="Q120" s="6">
        <x:v>46211.8623130787</x:v>
      </x:c>
      <x:c r="R120" s="0"/>
      <x:c r="S120" s="0"/>
      <x:c r="T120" s="0"/>
      <x:c r="U120" s="0"/>
      <x:c r="V120" s="0"/>
      <x:c r="W120" s="0"/>
      <x:c r="X120" t="str" s="2">
        <x:v>9033054209</x:v>
      </x:c>
      <x:c r="Y120" t="str" s="2">
        <x:v>emireles05@icloud.com</x:v>
      </x:c>
      <x:c r="Z120" s="0"/>
      <x:c r="AA120" s="0"/>
      <x:c r="AB120" s="6">
        <x:v>46211.86231493056</x:v>
      </x:c>
      <x:c r="AC120" t="n" s="2">
        <x:v>38350</x:v>
      </x:c>
      <x:c r="AD120" s="0"/>
      <x:c r="AE120" s="0"/>
      <x:c r="AF120" s="0"/>
      <x:c r="AG120" s="0"/>
      <x:c r="AH120" s="0"/>
      <x:c r="AI120" s="0"/>
      <x:c r="AJ120" s="0"/>
      <x:c r="AK120" s="0"/>
    </x:row>
    <x:row r="121">
      <x:c r="A121" t="str" s="2">
        <x:f>=HYPERLINK("https://rsms.futurehomex.com/lead/38351", "Esperanza Lopez Gallegos")</x:f>
      </x:c>
      <x:c r="B121" t="n" s="2">
        <x:v>97</x:v>
      </x:c>
      <x:c r="C121" t="str" s="2">
        <x:v>1/7</x:v>
      </x:c>
      <x:c r="D121" t="str" s="2">
        <x:f>=""</x:f>
      </x:c>
      <x:c r="E121" s="0"/>
      <x:c r="F121" t="str" s="2">
        <x:v>Bandit Sign</x:v>
      </x:c>
      <x:c r="G121" t="str" s="2">
        <x:v>Legacy Housing Corp. DBA Americasa</x:v>
      </x:c>
      <x:c r="H121" t="str" s="2">
        <x:v>Angelica Mendoza </x:v>
      </x:c>
      <x:c r="I121" t="str" s="2">
        <x:v>Karol Romero</x:v>
      </x:c>
      <x:c r="J121" s="0"/>
      <x:c r="K121" t="n" s="2">
        <x:v>5</x:v>
      </x:c>
      <x:c r="L121" t="str" s="2">
        <x:v>1.1</x:v>
      </x:c>
      <x:c r="M121" t="str" s="2">
        <x:v>Tentative</x:v>
      </x:c>
      <x:c r="N121" t="str" s="2">
        <x:v>Prospect</x:v>
      </x:c>
      <x:c r="O121" s="0"/>
      <x:c r="P121" s="6">
        <x:v>46211</x:v>
      </x:c>
      <x:c r="Q121" s="6">
        <x:v>46230.85872457176</x:v>
      </x:c>
      <x:c r="R121" s="0"/>
      <x:c r="S121" s="0"/>
      <x:c r="T121" s="0"/>
      <x:c r="U121" s="0"/>
      <x:c r="V121" s="0"/>
      <x:c r="W121" s="0"/>
      <x:c r="X121" t="str" s="2">
        <x:v>8326656285</x:v>
      </x:c>
      <x:c r="Y121" t="str" s="2">
        <x:v>esperanzalopez0628@gmail.com</x:v>
      </x:c>
      <x:c r="Z121" s="6">
        <x:v>46247.72446369213</x:v>
      </x:c>
      <x:c r="AA121" t="str" s="2">
        <x:v>Rodrigo Ramirez</x:v>
      </x:c>
      <x:c r="AB121" s="6">
        <x:v>46211.87918024306</x:v>
      </x:c>
      <x:c r="AC121" t="n" s="2">
        <x:v>38351</x:v>
      </x:c>
      <x:c r="AD121" s="0"/>
      <x:c r="AE121" s="0"/>
      <x:c r="AF121" s="0"/>
      <x:c r="AG121" s="7">
        <x:v>8000</x:v>
      </x:c>
      <x:c r="AH121" s="0"/>
      <x:c r="AI121" s="0"/>
      <x:c r="AJ121" s="0"/>
      <x:c r="AK121" s="0"/>
    </x:row>
    <x:row r="122">
      <x:c r="A122" t="str" s="2">
        <x:f>=HYPERLINK("https://rsms.futurehomex.com/lead/38352", "Ron And Maryann Saucier")</x:f>
      </x:c>
      <x:c r="B122" t="n" s="2">
        <x:v>97</x:v>
      </x:c>
      <x:c r="C122" t="str" s="2">
        <x:v>0/1</x:v>
      </x:c>
      <x:c r="D122" t="str" s="2">
        <x:f>=""</x:f>
      </x:c>
      <x:c r="E122" s="0"/>
      <x:c r="F122" t="str" s="2">
        <x:v>HH - Minden</x:v>
      </x:c>
      <x:c r="G122" t="str" s="2">
        <x:v>Heritage Housing of Minden</x:v>
      </x:c>
      <x:c r="H122" t="str" s="2">
        <x:v>Alescia Ridgdell</x:v>
      </x:c>
      <x:c r="I122" t="str" s="2">
        <x:v>Karol Romero</x:v>
      </x:c>
      <x:c r="J122" t="str" s="2">
        <x:v>Alescia Ridgdell</x:v>
      </x:c>
      <x:c r="K122" t="n" s="2">
        <x:v>34</x:v>
      </x:c>
      <x:c r="L122" t="str" s="2">
        <x:v>2.4</x:v>
      </x:c>
      <x:c r="M122" t="str" s="2">
        <x:v>Dead</x:v>
      </x:c>
      <x:c r="N122" t="str" s="2">
        <x:v>Deal approval</x:v>
      </x:c>
      <x:c r="O122" s="0"/>
      <x:c r="P122" s="6">
        <x:v>46211</x:v>
      </x:c>
      <x:c r="Q122" s="6">
        <x:v>46212.66240466435</x:v>
      </x:c>
      <x:c r="R122" s="0"/>
      <x:c r="S122" s="6">
        <x:v>46211</x:v>
      </x:c>
      <x:c r="T122" s="0"/>
      <x:c r="U122" s="0"/>
      <x:c r="V122" s="0"/>
      <x:c r="W122" s="0"/>
      <x:c r="X122" t="str" s="2">
        <x:v>3184659778</x:v>
      </x:c>
      <x:c r="Y122" t="str" s="2">
        <x:v>3184659778</x:v>
      </x:c>
      <x:c r="Z122" s="6">
        <x:v>46212.87706716435</x:v>
      </x:c>
      <x:c r="AA122" t="str" s="2">
        <x:v>Alescia Ridgdell</x:v>
      </x:c>
      <x:c r="AB122" s="6">
        <x:v>46211.90491377315</x:v>
      </x:c>
      <x:c r="AC122" t="n" s="2">
        <x:v>38352</x:v>
      </x:c>
      <x:c r="AD122" t="str" s="2">
        <x:v>Singlewide</x:v>
      </x:c>
      <x:c r="AE122" s="0"/>
      <x:c r="AF122" s="0"/>
      <x:c r="AG122" s="0"/>
      <x:c r="AH122" s="0"/>
      <x:c r="AI122" s="0"/>
      <x:c r="AJ122" s="0"/>
      <x:c r="AK122" s="0"/>
    </x:row>
    <x:row r="123">
      <x:c r="A123" t="str" s="2">
        <x:f>=HYPERLINK("https://rsms.futurehomex.com/lead/38353", "Brayson Davies")</x:f>
      </x:c>
      <x:c r="B123" t="n" s="2">
        <x:v>97</x:v>
      </x:c>
      <x:c r="C123" t="str" s="2">
        <x:v>0/3</x:v>
      </x:c>
      <x:c r="D123" t="str" s="2">
        <x:f>=""</x:f>
      </x:c>
      <x:c r="E123" s="0"/>
      <x:c r="F123" t="str" s="2">
        <x:v>Facebook_repo</x:v>
      </x:c>
      <x:c r="G123" t="str" s="2">
        <x:v>Heritage Housing of Oklahoma City</x:v>
      </x:c>
      <x:c r="H123" t="str" s="2">
        <x:v>Alejandra Calderon</x:v>
      </x:c>
      <x:c r="I123" t="str" s="2">
        <x:v>Karol Romero</x:v>
      </x:c>
      <x:c r="J123" s="0"/>
      <x:c r="K123" t="n" s="2">
        <x:v>5</x:v>
      </x:c>
      <x:c r="L123" t="str" s="2">
        <x:v>1.1</x:v>
      </x:c>
      <x:c r="M123" t="str" s="2">
        <x:v>Dead</x:v>
      </x:c>
      <x:c r="N123" t="str" s="2">
        <x:v>Prospect</x:v>
      </x:c>
      <x:c r="O123" s="0"/>
      <x:c r="P123" s="6">
        <x:v>46211</x:v>
      </x:c>
      <x:c r="Q123" s="6">
        <x:v>46211.921413888886</x:v>
      </x:c>
      <x:c r="R123" s="0"/>
      <x:c r="S123" s="0"/>
      <x:c r="T123" s="0"/>
      <x:c r="U123" s="0"/>
      <x:c r="V123" s="0"/>
      <x:c r="W123" s="0"/>
      <x:c r="X123" t="str" s="2">
        <x:v>9188395972</x:v>
      </x:c>
      <x:c r="Y123" t="str" s="2">
        <x:v/>
      </x:c>
      <x:c r="Z123" s="6">
        <x:v>46280.95884077546</x:v>
      </x:c>
      <x:c r="AA123" t="str" s="2">
        <x:v>Alejandra Calderon</x:v>
      </x:c>
      <x:c r="AB123" s="6">
        <x:v>46211.921415474535</x:v>
      </x:c>
      <x:c r="AC123" t="n" s="2">
        <x:v>38353</x:v>
      </x:c>
      <x:c r="AD123" s="0"/>
      <x:c r="AE123" s="0"/>
      <x:c r="AF123" s="0"/>
      <x:c r="AG123" s="0"/>
      <x:c r="AH123" s="0"/>
      <x:c r="AI123" s="0"/>
      <x:c r="AJ123" s="0"/>
      <x:c r="AK123" s="0"/>
    </x:row>
    <x:row r="124">
      <x:c r="A124" t="str" s="2">
        <x:f>=HYPERLINK("https://rsms.futurehomex.com/lead/38355", "Eusebio Vega")</x:f>
      </x:c>
      <x:c r="B124" t="n" s="2">
        <x:v>97</x:v>
      </x:c>
      <x:c r="C124" t="str" s="2">
        <x:v>1/3</x:v>
      </x:c>
      <x:c r="D124" t="str" s="2">
        <x:f>=""</x:f>
      </x:c>
      <x:c r="E124" s="0"/>
      <x:c r="F124" t="str" s="2">
        <x:v>Walk-in</x:v>
      </x:c>
      <x:c r="G124" t="str" s="2">
        <x:v>Legacy Housing Corp. DBA Americasa</x:v>
      </x:c>
      <x:c r="H124" t="str" s="2">
        <x:v>Joey Marquez</x:v>
      </x:c>
      <x:c r="I124" t="str" s="2">
        <x:v>Karol Romero</x:v>
      </x:c>
      <x:c r="J124" s="0"/>
      <x:c r="K124" t="n" s="2">
        <x:v>5</x:v>
      </x:c>
      <x:c r="L124" t="str" s="2">
        <x:v>1.1</x:v>
      </x:c>
      <x:c r="M124" t="str" s="2">
        <x:v>Tentative</x:v>
      </x:c>
      <x:c r="N124" t="str" s="2">
        <x:v>Prospect</x:v>
      </x:c>
      <x:c r="O124" s="0"/>
      <x:c r="P124" s="6">
        <x:v>46211</x:v>
      </x:c>
      <x:c r="Q124" s="6">
        <x:v>46220.80849181713</x:v>
      </x:c>
      <x:c r="R124" s="0"/>
      <x:c r="S124" s="6">
        <x:v>46209</x:v>
      </x:c>
      <x:c r="T124" s="0"/>
      <x:c r="U124" s="0"/>
      <x:c r="V124" s="0"/>
      <x:c r="W124" s="0"/>
      <x:c r="X124" t="str" s="2">
        <x:v>3468464314</x:v>
      </x:c>
      <x:c r="Y124" t="str" s="2">
        <x:v>3468464314</x:v>
      </x:c>
      <x:c r="Z124" s="6">
        <x:v>46244.90406153935</x:v>
      </x:c>
      <x:c r="AA124" t="str" s="2">
        <x:v>Victoria Sanchez</x:v>
      </x:c>
      <x:c r="AB124" s="6">
        <x:v>46211.9361596875</x:v>
      </x:c>
      <x:c r="AC124" t="n" s="2">
        <x:v>38355</x:v>
      </x:c>
      <x:c r="AD124" s="0"/>
      <x:c r="AE124" s="0"/>
      <x:c r="AF124" s="0"/>
      <x:c r="AG124" s="0"/>
      <x:c r="AH124" s="0"/>
      <x:c r="AI124" s="0"/>
      <x:c r="AJ124" s="0"/>
      <x:c r="AK124" s="0"/>
    </x:row>
    <x:row r="125">
      <x:c r="A125" t="str" s="2">
        <x:f>=HYPERLINK("https://rsms.futurehomex.com/lead/38356", "Lanie Jobe")</x:f>
      </x:c>
      <x:c r="B125" t="n" s="2">
        <x:v>97</x:v>
      </x:c>
      <x:c r="C125" t="str" s="2">
        <x:v/>
      </x:c>
      <x:c r="D125" t="str" s="2">
        <x:f>=""</x:f>
      </x:c>
      <x:c r="E125" s="0"/>
      <x:c r="F125" t="str" s="2">
        <x:v>Walk-in</x:v>
      </x:c>
      <x:c r="G125" t="str" s="2">
        <x:v>Heritage Housing of Asheboro</x:v>
      </x:c>
      <x:c r="H125" t="str" s="2">
        <x:v>Maria Lopez</x:v>
      </x:c>
      <x:c r="I125" s="0"/>
      <x:c r="J125" s="0"/>
      <x:c r="K125" t="n" s="2">
        <x:v>21</x:v>
      </x:c>
      <x:c r="L125" t="str" s="2">
        <x:v>2.1</x:v>
      </x:c>
      <x:c r="M125" t="str" s="2">
        <x:v>Tentative</x:v>
      </x:c>
      <x:c r="N125" t="str" s="2">
        <x:v>Qualified</x:v>
      </x:c>
      <x:c r="O125" s="0"/>
      <x:c r="P125" s="6">
        <x:v>46211</x:v>
      </x:c>
      <x:c r="Q125" s="6">
        <x:v>46216.754215706016</x:v>
      </x:c>
      <x:c r="R125" s="0"/>
      <x:c r="S125" s="0"/>
      <x:c r="T125" s="0"/>
      <x:c r="U125" s="0"/>
      <x:c r="V125" s="0"/>
      <x:c r="W125" s="0"/>
      <x:c r="X125" t="str" s="2">
        <x:v>3369632332</x:v>
      </x:c>
      <x:c r="Y125" t="str" s="2">
        <x:v>laniejobe7@gmail.com</x:v>
      </x:c>
      <x:c r="Z125" s="6">
        <x:v>46216.75420332176</x:v>
      </x:c>
      <x:c r="AA125" t="str" s="2">
        <x:v>Jeremy Jacques</x:v>
      </x:c>
      <x:c r="AB125" s="6">
        <x:v>46211.93634050926</x:v>
      </x:c>
      <x:c r="AC125" t="n" s="2">
        <x:v>38356</x:v>
      </x:c>
      <x:c r="AD125" s="0"/>
      <x:c r="AE125" s="0"/>
      <x:c r="AF125" s="0"/>
      <x:c r="AG125" s="0"/>
      <x:c r="AH125" s="0"/>
      <x:c r="AI125" s="0"/>
      <x:c r="AJ125" s="0"/>
      <x:c r="AK125" s="0"/>
    </x:row>
    <x:row r="126">
      <x:c r="A126" t="str" s="2">
        <x:f>=HYPERLINK("https://rsms.futurehomex.com/lead/38357", "Debra Newton")</x:f>
      </x:c>
      <x:c r="B126" t="n" s="2">
        <x:v>97</x:v>
      </x:c>
      <x:c r="C126" t="str" s="2">
        <x:v/>
      </x:c>
      <x:c r="D126" t="str" s="2">
        <x:f>=""</x:f>
      </x:c>
      <x:c r="E126" s="0"/>
      <x:c r="F126" t="str" s="2">
        <x:v>Website</x:v>
      </x:c>
      <x:c r="G126" t="str" s="2">
        <x:v>Heritage Housing Mt Pleasant</x:v>
      </x:c>
      <x:c r="H126" t="str" s="2">
        <x:v>Yarelis Torres</x:v>
      </x:c>
      <x:c r="I126" s="0"/>
      <x:c r="J126" t="str" s="2">
        <x:v>Yarelis Torres</x:v>
      </x:c>
      <x:c r="K126" t="n" s="2">
        <x:v>5</x:v>
      </x:c>
      <x:c r="L126" t="str" s="2">
        <x:v>1.1</x:v>
      </x:c>
      <x:c r="M126" t="str" s="2">
        <x:v>Active</x:v>
      </x:c>
      <x:c r="N126" t="str" s="2">
        <x:v>Prospect</x:v>
      </x:c>
      <x:c r="O126" s="0"/>
      <x:c r="P126" s="6">
        <x:v>46211</x:v>
      </x:c>
      <x:c r="Q126" s="6">
        <x:v>46211.93680146991</x:v>
      </x:c>
      <x:c r="R126" s="0"/>
      <x:c r="S126" s="6">
        <x:v>46211</x:v>
      </x:c>
      <x:c r="T126" s="0"/>
      <x:c r="U126" s="0"/>
      <x:c r="V126" s="0"/>
      <x:c r="W126" s="0"/>
      <x:c r="X126" t="str" s="2">
        <x:v>9036013390</x:v>
      </x:c>
      <x:c r="Y126" t="str" s="2">
        <x:v>debnewt906@msn.com</x:v>
      </x:c>
      <x:c r="Z126" s="6">
        <x:v>46211.97880162037</x:v>
      </x:c>
      <x:c r="AA126" t="str" s="2">
        <x:v>Yarelis Torres</x:v>
      </x:c>
      <x:c r="AB126" s="6">
        <x:v>46211.93680269676</x:v>
      </x:c>
      <x:c r="AC126" t="n" s="2">
        <x:v>38357</x:v>
      </x:c>
      <x:c r="AD126" s="0"/>
      <x:c r="AE126" s="0"/>
      <x:c r="AF126" s="0"/>
      <x:c r="AG126" s="0"/>
      <x:c r="AH126" s="0"/>
      <x:c r="AI126" s="0"/>
      <x:c r="AJ126" s="0"/>
      <x:c r="AK126" s="0"/>
    </x:row>
    <x:row r="127">
      <x:c r="A127" t="str" s="2">
        <x:f>=HYPERLINK("https://rsms.futurehomex.com/lead/38359", "Stellina Mobley")</x:f>
      </x:c>
      <x:c r="B127" t="n" s="2">
        <x:v>96</x:v>
      </x:c>
      <x:c r="C127" t="str" s="2">
        <x:v/>
      </x:c>
      <x:c r="D127" t="str" s="2">
        <x:f>=""</x:f>
      </x:c>
      <x:c r="E127" s="0"/>
      <x:c r="F127" t="str" s="2">
        <x:v>Walk-in</x:v>
      </x:c>
      <x:c r="G127" t="str" s="2">
        <x:v>Heritage Housing of Asheboro</x:v>
      </x:c>
      <x:c r="H127" t="str" s="2">
        <x:v>Maria Lopez</x:v>
      </x:c>
      <x:c r="I127" s="0"/>
      <x:c r="J127" s="0"/>
      <x:c r="K127" t="n" s="2">
        <x:v>21</x:v>
      </x:c>
      <x:c r="L127" t="str" s="2">
        <x:v>2.1</x:v>
      </x:c>
      <x:c r="M127" t="str" s="2">
        <x:v>Tentative</x:v>
      </x:c>
      <x:c r="N127" t="str" s="2">
        <x:v>Qualified</x:v>
      </x:c>
      <x:c r="O127" s="0"/>
      <x:c r="P127" s="6">
        <x:v>46212</x:v>
      </x:c>
      <x:c r="Q127" s="6">
        <x:v>46216.75307450232</x:v>
      </x:c>
      <x:c r="R127" s="0"/>
      <x:c r="S127" s="0"/>
      <x:c r="T127" s="0"/>
      <x:c r="U127" s="0"/>
      <x:c r="V127" s="0"/>
      <x:c r="W127" s="0"/>
      <x:c r="X127" t="str" s="2">
        <x:v>7046701532</x:v>
      </x:c>
      <x:c r="Y127" t="str" s="2">
        <x:v>stellaj09@yahoo.com</x:v>
      </x:c>
      <x:c r="Z127" s="6">
        <x:v>46216.753062766205</x:v>
      </x:c>
      <x:c r="AA127" t="str" s="2">
        <x:v>Jeremy Jacques</x:v>
      </x:c>
      <x:c r="AB127" s="6">
        <x:v>46212.581596145836</x:v>
      </x:c>
      <x:c r="AC127" t="n" s="2">
        <x:v>38359</x:v>
      </x:c>
      <x:c r="AD127" s="0"/>
      <x:c r="AE127" s="0"/>
      <x:c r="AF127" s="0"/>
      <x:c r="AG127" s="0"/>
      <x:c r="AH127" s="0"/>
      <x:c r="AI127" s="0"/>
      <x:c r="AJ127" s="0"/>
      <x:c r="AK127" s="0"/>
    </x:row>
    <x:row r="128">
      <x:c r="A128" t="str" s="2">
        <x:f>=HYPERLINK("https://rsms.futurehomex.com/lead/38360", "Mito Valtchev")</x:f>
      </x:c>
      <x:c r="B128" t="n" s="2">
        <x:v>96</x:v>
      </x:c>
      <x:c r="C128" t="str" s="2">
        <x:v/>
      </x:c>
      <x:c r="D128" t="str" s="2">
        <x:f>=""</x:f>
      </x:c>
      <x:c r="E128" s="0"/>
      <x:c r="F128" t="str" s="2">
        <x:v>Financing Form</x:v>
      </x:c>
      <x:c r="G128" t="str" s="2">
        <x:v>Heritage Housing of Tulsa</x:v>
      </x:c>
      <x:c r="H128" t="str" s="2">
        <x:v>Derek Searcy</x:v>
      </x:c>
      <x:c r="I128" s="0"/>
      <x:c r="J128" t="str" s="2">
        <x:v>Jenna Fransisco</x:v>
      </x:c>
      <x:c r="K128" t="n" s="2">
        <x:v>5</x:v>
      </x:c>
      <x:c r="L128" t="str" s="2">
        <x:v>1.1</x:v>
      </x:c>
      <x:c r="M128" t="str" s="2">
        <x:v>Inactive</x:v>
      </x:c>
      <x:c r="N128" t="str" s="2">
        <x:v>Prospect</x:v>
      </x:c>
      <x:c r="O128" s="0"/>
      <x:c r="P128" s="6">
        <x:v>46212</x:v>
      </x:c>
      <x:c r="Q128" s="6">
        <x:v>46212.58715690972</x:v>
      </x:c>
      <x:c r="R128" s="0"/>
      <x:c r="S128" s="0"/>
      <x:c r="T128" s="0"/>
      <x:c r="U128" s="0"/>
      <x:c r="V128" s="0"/>
      <x:c r="W128" s="0"/>
      <x:c r="X128" t="str" s="2">
        <x:v>2487709275</x:v>
      </x:c>
      <x:c r="Y128" t="str" s="2">
        <x:v>valtchev.mito@gmail.com</x:v>
      </x:c>
      <x:c r="Z128" s="0"/>
      <x:c r="AA128" s="0"/>
      <x:c r="AB128" s="6">
        <x:v>46212.58715744213</x:v>
      </x:c>
      <x:c r="AC128" t="n" s="2">
        <x:v>38360</x:v>
      </x:c>
      <x:c r="AD128" s="0"/>
      <x:c r="AE128" s="0"/>
      <x:c r="AF128" s="0"/>
      <x:c r="AG128" s="0"/>
      <x:c r="AH128" s="0"/>
      <x:c r="AI128" s="0"/>
      <x:c r="AJ128" s="0"/>
      <x:c r="AK128" s="0"/>
    </x:row>
    <x:row r="129">
      <x:c r="A129" t="str" s="2">
        <x:f>=HYPERLINK("https://rsms.futurehomex.com/lead/38362", "Lucy G Rosas")</x:f>
      </x:c>
      <x:c r="B129" t="n" s="2">
        <x:v>96</x:v>
      </x:c>
      <x:c r="C129" t="str" s="2">
        <x:v>0/1</x:v>
      </x:c>
      <x:c r="D129" t="str" s="2">
        <x:f>=""</x:f>
      </x:c>
      <x:c r="E129" s="0"/>
      <x:c r="F129" t="str" s="2">
        <x:v>Meta Ads - Forms</x:v>
      </x:c>
      <x:c r="G129" t="str" s="2">
        <x:v>Legacy Housing Corp. DBA Americasa</x:v>
      </x:c>
      <x:c r="H129" t="str" s="2">
        <x:v>Joey Marquez</x:v>
      </x:c>
      <x:c r="I129" s="0"/>
      <x:c r="J129" t="str" s="2">
        <x:v>Rodrigo Ramirez</x:v>
      </x:c>
      <x:c r="K129" t="n" s="2">
        <x:v>5</x:v>
      </x:c>
      <x:c r="L129" t="str" s="2">
        <x:v>1.1</x:v>
      </x:c>
      <x:c r="M129" t="str" s="2">
        <x:v>Tentative</x:v>
      </x:c>
      <x:c r="N129" t="str" s="2">
        <x:v>Deal Created</x:v>
      </x:c>
      <x:c r="O129" s="0"/>
      <x:c r="P129" s="6">
        <x:v>46212</x:v>
      </x:c>
      <x:c r="Q129" s="6">
        <x:v>46252.634580474536</x:v>
      </x:c>
      <x:c r="R129" s="0"/>
      <x:c r="S129" s="0"/>
      <x:c r="T129" s="0"/>
      <x:c r="U129" s="0"/>
      <x:c r="V129" s="0"/>
      <x:c r="W129" s="0"/>
      <x:c r="X129" t="str" s="2">
        <x:v>3466780007</x:v>
      </x:c>
      <x:c r="Y129" t="str" s="2">
        <x:v>lucygrosas40@gmail.com</x:v>
      </x:c>
      <x:c r="Z129" s="6">
        <x:v>46253.54620292824</x:v>
      </x:c>
      <x:c r="AA129" t="str" s="2">
        <x:v>Jose Parada</x:v>
      </x:c>
      <x:c r="AB129" s="6">
        <x:v>46212.62600228009</x:v>
      </x:c>
      <x:c r="AC129" t="n" s="2">
        <x:v>38362</x:v>
      </x:c>
      <x:c r="AD129" s="0"/>
      <x:c r="AE129" s="0"/>
      <x:c r="AF129" s="0"/>
      <x:c r="AG129" s="0"/>
      <x:c r="AH129" s="0"/>
      <x:c r="AI129" s="0"/>
      <x:c r="AJ129" s="0"/>
      <x:c r="AK129" s="0"/>
    </x:row>
    <x:row r="130">
      <x:c r="A130" t="str" s="2">
        <x:f>=HYPERLINK("https://rsms.futurehomex.com/lead/38363", "Elijah Bolton")</x:f>
      </x:c>
      <x:c r="B130" t="n" s="2">
        <x:v>96</x:v>
      </x:c>
      <x:c r="C130" t="str" s="2">
        <x:v/>
      </x:c>
      <x:c r="D130" t="str" s="2">
        <x:f>=""</x:f>
      </x:c>
      <x:c r="E130" s="0"/>
      <x:c r="F130" t="str" s="2">
        <x:v>META Marketplace</x:v>
      </x:c>
      <x:c r="G130" t="str" s="2">
        <x:v>Heritage Housing Mt Pleasant</x:v>
      </x:c>
      <x:c r="H130" t="str" s="2">
        <x:v>Elias Gallardo</x:v>
      </x:c>
      <x:c r="I130" s="0"/>
      <x:c r="J130" t="str" s="2">
        <x:v>Elias Gallardo</x:v>
      </x:c>
      <x:c r="K130" t="n" s="2">
        <x:v>5</x:v>
      </x:c>
      <x:c r="L130" t="str" s="2">
        <x:v>1.1</x:v>
      </x:c>
      <x:c r="M130" t="str" s="2">
        <x:v>Tentative</x:v>
      </x:c>
      <x:c r="N130" t="str" s="2">
        <x:v>Deal Created</x:v>
      </x:c>
      <x:c r="O130" s="0"/>
      <x:c r="P130" s="6">
        <x:v>46212</x:v>
      </x:c>
      <x:c r="Q130" s="6">
        <x:v>46212.64175613426</x:v>
      </x:c>
      <x:c r="R130" s="0"/>
      <x:c r="S130" s="0"/>
      <x:c r="T130" s="0"/>
      <x:c r="U130" s="0"/>
      <x:c r="V130" s="0"/>
      <x:c r="W130" s="0"/>
      <x:c r="X130" t="str" s="2">
        <x:v>9039461155</x:v>
      </x:c>
      <x:c r="Y130" t="str" s="2">
        <x:v>9039461155</x:v>
      </x:c>
      <x:c r="Z130" s="0"/>
      <x:c r="AA130" s="0"/>
      <x:c r="AB130" s="6">
        <x:v>46212.641761493054</x:v>
      </x:c>
      <x:c r="AC130" t="n" s="2">
        <x:v>38363</x:v>
      </x:c>
      <x:c r="AD130" s="0"/>
      <x:c r="AE130" s="0"/>
      <x:c r="AF130" s="0"/>
      <x:c r="AG130" s="0"/>
      <x:c r="AH130" s="0"/>
      <x:c r="AI130" s="0"/>
      <x:c r="AJ130" s="0"/>
      <x:c r="AK130" s="0"/>
    </x:row>
    <x:row r="131">
      <x:c r="A131" t="str" s="2">
        <x:f>=HYPERLINK("https://rsms.futurehomex.com/lead/38364", "Shirley Winn")</x:f>
      </x:c>
      <x:c r="B131" t="n" s="2">
        <x:v>96</x:v>
      </x:c>
      <x:c r="C131" t="str" s="2">
        <x:v/>
      </x:c>
      <x:c r="D131" t="str" s="2">
        <x:f>=""</x:f>
      </x:c>
      <x:c r="E131" s="0"/>
      <x:c r="F131" t="str" s="2">
        <x:v>Facebook Messenger</x:v>
      </x:c>
      <x:c r="G131" t="str" s="2">
        <x:v>Heritage Housing of Augusta</x:v>
      </x:c>
      <x:c r="H131" t="str" s="2">
        <x:v>Faye Lively</x:v>
      </x:c>
      <x:c r="I131" s="0"/>
      <x:c r="J131" t="str" s="2">
        <x:v>Faye Lively</x:v>
      </x:c>
      <x:c r="K131" t="n" s="2">
        <x:v>5</x:v>
      </x:c>
      <x:c r="L131" t="str" s="2">
        <x:v>1.1</x:v>
      </x:c>
      <x:c r="M131" t="str" s="2">
        <x:v>Tentative</x:v>
      </x:c>
      <x:c r="N131" t="str" s="2">
        <x:v>Prospect</x:v>
      </x:c>
      <x:c r="O131" s="0"/>
      <x:c r="P131" s="6">
        <x:v>46212</x:v>
      </x:c>
      <x:c r="Q131" s="6">
        <x:v>46212.642405011575</x:v>
      </x:c>
      <x:c r="R131" s="0"/>
      <x:c r="S131" s="0"/>
      <x:c r="T131" s="0"/>
      <x:c r="U131" s="0"/>
      <x:c r="V131" s="0"/>
      <x:c r="W131" s="0"/>
      <x:c r="X131" t="str" s="2">
        <x:v>8034022153</x:v>
      </x:c>
      <x:c r="Y131" t="str" s="2">
        <x:v>8034022153</x:v>
      </x:c>
      <x:c r="Z131" s="0"/>
      <x:c r="AA131" s="0"/>
      <x:c r="AB131" s="6">
        <x:v>46212.64240570602</x:v>
      </x:c>
      <x:c r="AC131" t="n" s="2">
        <x:v>38364</x:v>
      </x:c>
      <x:c r="AD131" s="0"/>
      <x:c r="AE131" s="0"/>
      <x:c r="AF131" s="0"/>
      <x:c r="AG131" s="0"/>
      <x:c r="AH131" s="0"/>
      <x:c r="AI131" s="0"/>
      <x:c r="AJ131" s="0"/>
      <x:c r="AK131" s="0"/>
    </x:row>
    <x:row r="132">
      <x:c r="A132" t="str" s="2">
        <x:f>=HYPERLINK("https://rsms.futurehomex.com/lead/38365", "Jaszmine Mills")</x:f>
      </x:c>
      <x:c r="B132" t="n" s="2">
        <x:v>96</x:v>
      </x:c>
      <x:c r="C132" t="str" s="2">
        <x:v>0/2</x:v>
      </x:c>
      <x:c r="D132" t="str" s="2">
        <x:f>="38365"</x:f>
      </x:c>
      <x:c r="E132" s="0"/>
      <x:c r="F132" t="str" s="2">
        <x:v>Website</x:v>
      </x:c>
      <x:c r="G132" t="str" s="2">
        <x:v>Heritage Housing of Minden</x:v>
      </x:c>
      <x:c r="H132" t="str" s="2">
        <x:v>Patrick Schuchart</x:v>
      </x:c>
      <x:c r="I132" t="str" s="2">
        <x:v>Karol Romero</x:v>
      </x:c>
      <x:c r="J132" t="str" s="2">
        <x:v>Kyla Brown</x:v>
      </x:c>
      <x:c r="K132" t="n" s="2">
        <x:v>38</x:v>
      </x:c>
      <x:c r="L132" t="str" s="2">
        <x:v>3.2</x:v>
      </x:c>
      <x:c r="M132" t="str" s="2">
        <x:v>Denied</x:v>
      </x:c>
      <x:c r="N132" t="str" s="2">
        <x:v>Application</x:v>
      </x:c>
      <x:c r="O132" s="0"/>
      <x:c r="P132" s="6">
        <x:v>46212</x:v>
      </x:c>
      <x:c r="Q132" s="6">
        <x:v>46216.818998993054</x:v>
      </x:c>
      <x:c r="R132" s="0"/>
      <x:c r="S132" s="6">
        <x:v>46213</x:v>
      </x:c>
      <x:c r="T132" s="6">
        <x:v>46213</x:v>
      </x:c>
      <x:c r="U132" s="0"/>
      <x:c r="V132" s="0"/>
      <x:c r="W132" s="0"/>
      <x:c r="X132" t="str" s="2">
        <x:v>3184228194</x:v>
      </x:c>
      <x:c r="Y132" t="str" s="2">
        <x:v>jaszminem04@gmail.com</x:v>
      </x:c>
      <x:c r="Z132" s="6">
        <x:v>46216.83404664352</x:v>
      </x:c>
      <x:c r="AA132" t="str" s="2">
        <x:v>Kyla Brown</x:v>
      </x:c>
      <x:c r="AB132" s="6">
        <x:v>46212.64635471065</x:v>
      </x:c>
      <x:c r="AC132" t="n" s="2">
        <x:v>38365</x:v>
      </x:c>
      <x:c r="AD132" t="str" s="2">
        <x:v>Singlewide</x:v>
      </x:c>
      <x:c r="AE132" t="str" s="2">
        <x:v>21st Mortgage Corporation</x:v>
      </x:c>
      <x:c r="AF132" s="7">
        <x:v>7000</x:v>
      </x:c>
      <x:c r="AG132" s="7">
        <x:v>7000</x:v>
      </x:c>
      <x:c r="AH132" s="0"/>
      <x:c r="AI132" s="0"/>
      <x:c r="AJ132" s="0"/>
      <x:c r="AK132" s="0"/>
    </x:row>
    <x:row r="133">
      <x:c r="A133" t="str" s="2">
        <x:f>=HYPERLINK("https://rsms.futurehomex.com/lead/38367", "Wanda Brewington")</x:f>
      </x:c>
      <x:c r="B133" t="n" s="2">
        <x:v>96</x:v>
      </x:c>
      <x:c r="C133" t="str" s="2">
        <x:v/>
      </x:c>
      <x:c r="D133" t="str" s="2">
        <x:f>=""</x:f>
      </x:c>
      <x:c r="E133" s="0"/>
      <x:c r="F133" t="str" s="2">
        <x:v>Website</x:v>
      </x:c>
      <x:c r="G133" t="str" s="2">
        <x:v>Heritage Housing of Augusta</x:v>
      </x:c>
      <x:c r="H133" t="str" s="2">
        <x:v>Faye Lively</x:v>
      </x:c>
      <x:c r="I133" s="0"/>
      <x:c r="J133" t="str" s="2">
        <x:v>Faye Lively</x:v>
      </x:c>
      <x:c r="K133" t="n" s="2">
        <x:v>5</x:v>
      </x:c>
      <x:c r="L133" t="str" s="2">
        <x:v>1.1</x:v>
      </x:c>
      <x:c r="M133" t="str" s="2">
        <x:v>Tentative</x:v>
      </x:c>
      <x:c r="N133" t="str" s="2">
        <x:v>Prospect</x:v>
      </x:c>
      <x:c r="O133" s="0"/>
      <x:c r="P133" s="6">
        <x:v>46212</x:v>
      </x:c>
      <x:c r="Q133" s="6">
        <x:v>46212.68540350694</x:v>
      </x:c>
      <x:c r="R133" s="0"/>
      <x:c r="S133" s="0"/>
      <x:c r="T133" s="0"/>
      <x:c r="U133" s="0"/>
      <x:c r="V133" s="0"/>
      <x:c r="W133" s="0"/>
      <x:c r="X133" t="str" s="2">
        <x:v>+12018397924</x:v>
      </x:c>
      <x:c r="Y133" t="str" s="2">
        <x:v>wandacr88@gmail.com</x:v>
      </x:c>
      <x:c r="Z133" s="0"/>
      <x:c r="AA133" s="0"/>
      <x:c r="AB133" s="6">
        <x:v>46212.68540408565</x:v>
      </x:c>
      <x:c r="AC133" t="n" s="2">
        <x:v>38367</x:v>
      </x:c>
      <x:c r="AD133" s="0"/>
      <x:c r="AE133" s="0"/>
      <x:c r="AF133" s="0"/>
      <x:c r="AG133" s="0"/>
      <x:c r="AH133" s="0"/>
      <x:c r="AI133" s="0"/>
      <x:c r="AJ133" s="0"/>
      <x:c r="AK133" s="0"/>
    </x:row>
    <x:row r="134">
      <x:c r="A134" t="str" s="2">
        <x:f>=HYPERLINK("https://rsms.futurehomex.com/lead/38368", "Yesenia Almaraz")</x:f>
      </x:c>
      <x:c r="B134" t="n" s="2">
        <x:v>96</x:v>
      </x:c>
      <x:c r="C134" t="str" s="2">
        <x:v/>
      </x:c>
      <x:c r="D134" t="str" s="2">
        <x:f>=""</x:f>
      </x:c>
      <x:c r="E134" s="0"/>
      <x:c r="F134" t="str" s="2">
        <x:v>META Marketplace</x:v>
      </x:c>
      <x:c r="G134" t="str" s="2">
        <x:v>Heritage Housing Mt Pleasant</x:v>
      </x:c>
      <x:c r="H134" t="str" s="2">
        <x:v>Elias Gallardo</x:v>
      </x:c>
      <x:c r="I134" s="0"/>
      <x:c r="J134" t="str" s="2">
        <x:v>Elias Gallardo</x:v>
      </x:c>
      <x:c r="K134" t="n" s="2">
        <x:v>5</x:v>
      </x:c>
      <x:c r="L134" t="str" s="2">
        <x:v>1.1</x:v>
      </x:c>
      <x:c r="M134" t="str" s="2">
        <x:v>Tentative</x:v>
      </x:c>
      <x:c r="N134" t="str" s="2">
        <x:v>Deal Created</x:v>
      </x:c>
      <x:c r="O134" s="0"/>
      <x:c r="P134" s="6">
        <x:v>46212</x:v>
      </x:c>
      <x:c r="Q134" s="6">
        <x:v>46212.70288819444</x:v>
      </x:c>
      <x:c r="R134" s="0"/>
      <x:c r="S134" s="0"/>
      <x:c r="T134" s="0"/>
      <x:c r="U134" s="0"/>
      <x:c r="V134" s="0"/>
      <x:c r="W134" s="0"/>
      <x:c r="X134" t="str" s="2">
        <x:v>9033995129</x:v>
      </x:c>
      <x:c r="Y134" t="str" s="2">
        <x:v>9033995129</x:v>
      </x:c>
      <x:c r="Z134" s="0"/>
      <x:c r="AA134" s="0"/>
      <x:c r="AB134" s="6">
        <x:v>46212.70289008102</x:v>
      </x:c>
      <x:c r="AC134" t="n" s="2">
        <x:v>38368</x:v>
      </x:c>
      <x:c r="AD134" s="0"/>
      <x:c r="AE134" s="0"/>
      <x:c r="AF134" s="0"/>
      <x:c r="AG134" s="0"/>
      <x:c r="AH134" s="0"/>
      <x:c r="AI134" s="0"/>
      <x:c r="AJ134" s="0"/>
      <x:c r="AK134" s="0"/>
    </x:row>
    <x:row r="135">
      <x:c r="A135" t="str" s="2">
        <x:f>=HYPERLINK("https://rsms.futurehomex.com/lead/38369", "Payton Pierce")</x:f>
      </x:c>
      <x:c r="B135" t="n" s="2">
        <x:v>96</x:v>
      </x:c>
      <x:c r="C135" t="str" s="2">
        <x:v>0/4</x:v>
      </x:c>
      <x:c r="D135" t="str" s="2">
        <x:f>="38369"</x:f>
      </x:c>
      <x:c r="E135" t="str" s="2">
        <x:v>Ciera Thompson</x:v>
      </x:c>
      <x:c r="F135" t="str" s="2">
        <x:v>HH - Minden</x:v>
      </x:c>
      <x:c r="G135" t="str" s="2">
        <x:v>Heritage Housing of Minden</x:v>
      </x:c>
      <x:c r="H135" t="str" s="2">
        <x:v>Patrick Schuchart</x:v>
      </x:c>
      <x:c r="I135" t="str" s="2">
        <x:v>Karol Romero</x:v>
      </x:c>
      <x:c r="J135" t="str" s="2">
        <x:v>Kyla Brown</x:v>
      </x:c>
      <x:c r="K135" t="n" s="2">
        <x:v>59</x:v>
      </x:c>
      <x:c r="L135" t="str" s="2">
        <x:v>4.3</x:v>
      </x:c>
      <x:c r="M135" t="str" s="2">
        <x:v>Inactive</x:v>
      </x:c>
      <x:c r="N135" t="str" s="2">
        <x:v>Loan Approved</x:v>
      </x:c>
      <x:c r="O135" s="0"/>
      <x:c r="P135" s="6">
        <x:v>46212</x:v>
      </x:c>
      <x:c r="Q135" s="6">
        <x:v>46239.86632797454</x:v>
      </x:c>
      <x:c r="R135" s="0"/>
      <x:c r="S135" s="6">
        <x:v>46212</x:v>
      </x:c>
      <x:c r="T135" s="6">
        <x:v>46212</x:v>
      </x:c>
      <x:c r="U135" s="6">
        <x:v>46212</x:v>
      </x:c>
      <x:c r="V135" s="6">
        <x:v>46217</x:v>
      </x:c>
      <x:c r="W135" s="0"/>
      <x:c r="X135" t="str" s="2">
        <x:v>9037467046</x:v>
      </x:c>
      <x:c r="Y135" t="str" s="2">
        <x:v>paytonapierce@gmail.com</x:v>
      </x:c>
      <x:c r="Z135" s="6">
        <x:v>46294.88561774306</x:v>
      </x:c>
      <x:c r="AA135" t="str" s="2">
        <x:v>Kyla Brown</x:v>
      </x:c>
      <x:c r="AB135" s="6">
        <x:v>46212.705010844904</x:v>
      </x:c>
      <x:c r="AC135" t="n" s="2">
        <x:v>38369</x:v>
      </x:c>
      <x:c r="AD135" t="str" s="2">
        <x:v>Singlewide</x:v>
      </x:c>
      <x:c r="AE135" t="str" s="2">
        <x:v>21st Mortgage Corporation</x:v>
      </x:c>
      <x:c r="AF135" s="7">
        <x:v>12000</x:v>
      </x:c>
      <x:c r="AG135" s="7">
        <x:v>12000</x:v>
      </x:c>
      <x:c r="AH135" s="0"/>
      <x:c r="AI135" t="str" s="2" xml:space="preserve">
        <x:v>610 </x:v>
      </x:c>
      <x:c r="AJ135" s="0"/>
      <x:c r="AK135" s="0"/>
    </x:row>
    <x:row r="136">
      <x:c r="A136" t="str" s="2">
        <x:f>=HYPERLINK("https://rsms.futurehomex.com/lead/38370", "Glenda Kitchens")</x:f>
      </x:c>
      <x:c r="B136" t="n" s="2">
        <x:v>96</x:v>
      </x:c>
      <x:c r="C136" t="str" s="2">
        <x:v>0/1</x:v>
      </x:c>
      <x:c r="D136" t="str" s="2">
        <x:f>=""</x:f>
      </x:c>
      <x:c r="E136" s="0"/>
      <x:c r="F136" t="str" s="2">
        <x:v>Meta Ads - Forms</x:v>
      </x:c>
      <x:c r="G136" t="str" s="2">
        <x:v>Heritage Housing of Oklahoma City</x:v>
      </x:c>
      <x:c r="H136" t="str" s="2">
        <x:v>Trey Rixleben</x:v>
      </x:c>
      <x:c r="I136" t="str" s="2">
        <x:v>Karol Romero</x:v>
      </x:c>
      <x:c r="J136" t="str" s="2">
        <x:v>Trey Rixleben</x:v>
      </x:c>
      <x:c r="K136" t="n" s="2">
        <x:v>5</x:v>
      </x:c>
      <x:c r="L136" t="str" s="2">
        <x:v>1.1</x:v>
      </x:c>
      <x:c r="M136" t="str" s="2">
        <x:v>Dead</x:v>
      </x:c>
      <x:c r="N136" t="str" s="2">
        <x:v>Deal Created</x:v>
      </x:c>
      <x:c r="O136" s="0"/>
      <x:c r="P136" s="6">
        <x:v>46212</x:v>
      </x:c>
      <x:c r="Q136" s="6">
        <x:v>46214.836417094906</x:v>
      </x:c>
      <x:c r="R136" s="0"/>
      <x:c r="S136" s="0"/>
      <x:c r="T136" s="0"/>
      <x:c r="U136" s="0"/>
      <x:c r="V136" s="0"/>
      <x:c r="W136" s="0"/>
      <x:c r="X136" t="str" s="2">
        <x:v>4424561965</x:v>
      </x:c>
      <x:c r="Y136" t="str" s="2">
        <x:v>glendak760@gmail.com</x:v>
      </x:c>
      <x:c r="Z136" s="6">
        <x:v>46218.95908487269</x:v>
      </x:c>
      <x:c r="AA136" t="str" s="2">
        <x:v>Trey Rixleben</x:v>
      </x:c>
      <x:c r="AB136" s="6">
        <x:v>46212.71224626157</x:v>
      </x:c>
      <x:c r="AC136" t="n" s="2">
        <x:v>38370</x:v>
      </x:c>
      <x:c r="AD136" s="0"/>
      <x:c r="AE136" s="0"/>
      <x:c r="AF136" s="0"/>
      <x:c r="AG136" s="0"/>
      <x:c r="AH136" s="0"/>
      <x:c r="AI136" s="0"/>
      <x:c r="AJ136" s="0"/>
      <x:c r="AK136" s="0"/>
    </x:row>
    <x:row r="137">
      <x:c r="A137" t="str" s="2">
        <x:f>=HYPERLINK("https://rsms.futurehomex.com/lead/38371", "Richard Johnson")</x:f>
      </x:c>
      <x:c r="B137" t="n" s="2">
        <x:v>96</x:v>
      </x:c>
      <x:c r="C137" t="str" s="2">
        <x:v/>
      </x:c>
      <x:c r="D137" t="str" s="2">
        <x:f>=""</x:f>
      </x:c>
      <x:c r="E137" s="0"/>
      <x:c r="F137" t="str" s="2">
        <x:v>Meta Ads - Forms</x:v>
      </x:c>
      <x:c r="G137" t="str" s="2">
        <x:v>Heritage Housing of Oklahoma City</x:v>
      </x:c>
      <x:c r="H137" t="str" s="2">
        <x:v>Trey Rixleben</x:v>
      </x:c>
      <x:c r="I137" t="str" s="2">
        <x:v>Karol Romero</x:v>
      </x:c>
      <x:c r="J137" t="str" s="2">
        <x:v>Trey Rixleben</x:v>
      </x:c>
      <x:c r="K137" t="n" s="2">
        <x:v>5</x:v>
      </x:c>
      <x:c r="L137" t="str" s="2">
        <x:v>1.1</x:v>
      </x:c>
      <x:c r="M137" t="str" s="2">
        <x:v>Dead</x:v>
      </x:c>
      <x:c r="N137" t="str" s="2">
        <x:v>Deal Created</x:v>
      </x:c>
      <x:c r="O137" s="0"/>
      <x:c r="P137" s="6">
        <x:v>46212</x:v>
      </x:c>
      <x:c r="Q137" s="6">
        <x:v>46212.714795914355</x:v>
      </x:c>
      <x:c r="R137" s="0"/>
      <x:c r="S137" s="0"/>
      <x:c r="T137" s="0"/>
      <x:c r="U137" s="0"/>
      <x:c r="V137" s="0"/>
      <x:c r="W137" s="0"/>
      <x:c r="X137" t="str" s="2">
        <x:v>5804455503</x:v>
      </x:c>
      <x:c r="Y137" t="str" s="2">
        <x:v>richard.bear.1169@gmail.com</x:v>
      </x:c>
      <x:c r="Z137" s="6">
        <x:v>46212.71968576389</x:v>
      </x:c>
      <x:c r="AA137" t="str" s="2">
        <x:v>Trey Rixleben</x:v>
      </x:c>
      <x:c r="AB137" s="6">
        <x:v>46212.714796527776</x:v>
      </x:c>
      <x:c r="AC137" t="n" s="2">
        <x:v>38371</x:v>
      </x:c>
      <x:c r="AD137" s="0"/>
      <x:c r="AE137" s="0"/>
      <x:c r="AF137" s="0"/>
      <x:c r="AG137" s="0"/>
      <x:c r="AH137" s="0"/>
      <x:c r="AI137" s="0"/>
      <x:c r="AJ137" s="0"/>
      <x:c r="AK137" s="0"/>
    </x:row>
    <x:row r="138">
      <x:c r="A138" t="str" s="2">
        <x:f>=HYPERLINK("https://rsms.futurehomex.com/lead/38372", "Donette Collins-Miller")</x:f>
      </x:c>
      <x:c r="B138" t="n" s="2">
        <x:v>96</x:v>
      </x:c>
      <x:c r="C138" t="str" s="2">
        <x:v>0/1</x:v>
      </x:c>
      <x:c r="D138" t="str" s="2">
        <x:f>=""</x:f>
      </x:c>
      <x:c r="E138" s="0"/>
      <x:c r="F138" t="str" s="2">
        <x:v>LandingPage</x:v>
      </x:c>
      <x:c r="G138" t="str" s="2">
        <x:v>Heritage Housing of Oklahoma City</x:v>
      </x:c>
      <x:c r="H138" t="str" s="2">
        <x:v>Trey Rixleben</x:v>
      </x:c>
      <x:c r="I138" t="str" s="2">
        <x:v>Karol Romero</x:v>
      </x:c>
      <x:c r="J138" t="str" s="2">
        <x:v>Trey Rixleben</x:v>
      </x:c>
      <x:c r="K138" t="n" s="2">
        <x:v>5</x:v>
      </x:c>
      <x:c r="L138" t="str" s="2">
        <x:v>1.1</x:v>
      </x:c>
      <x:c r="M138" t="str" s="2">
        <x:v>Dead</x:v>
      </x:c>
      <x:c r="N138" t="str" s="2">
        <x:v>Deal Created</x:v>
      </x:c>
      <x:c r="O138" s="0"/>
      <x:c r="P138" s="6">
        <x:v>46212</x:v>
      </x:c>
      <x:c r="Q138" s="6">
        <x:v>46230.93698741898</x:v>
      </x:c>
      <x:c r="R138" s="0"/>
      <x:c r="S138" s="0"/>
      <x:c r="T138" s="0"/>
      <x:c r="U138" s="0"/>
      <x:c r="V138" s="0"/>
      <x:c r="W138" s="0"/>
      <x:c r="X138" t="str" s="2">
        <x:v>8169885955</x:v>
      </x:c>
      <x:c r="Y138" t="str" s="2">
        <x:v>donettem75@gmail.com</x:v>
      </x:c>
      <x:c r="Z138" s="6">
        <x:v>46230.93793078704</x:v>
      </x:c>
      <x:c r="AA138" t="str" s="2">
        <x:v>Trey Rixleben</x:v>
      </x:c>
      <x:c r="AB138" s="6">
        <x:v>46212.720013391205</x:v>
      </x:c>
      <x:c r="AC138" t="n" s="2">
        <x:v>38372</x:v>
      </x:c>
      <x:c r="AD138" s="0"/>
      <x:c r="AE138" s="0"/>
      <x:c r="AF138" s="0"/>
      <x:c r="AG138" s="0"/>
      <x:c r="AH138" s="0"/>
      <x:c r="AI138" s="0"/>
      <x:c r="AJ138" s="0"/>
      <x:c r="AK138" s="0"/>
    </x:row>
    <x:row r="139">
      <x:c r="A139" t="str" s="2">
        <x:f>=HYPERLINK("https://rsms.futurehomex.com/lead/38373", "Kirsten Livingston")</x:f>
      </x:c>
      <x:c r="B139" t="n" s="2">
        <x:v>96</x:v>
      </x:c>
      <x:c r="C139" t="str" s="2">
        <x:v>0/6</x:v>
      </x:c>
      <x:c r="D139" t="str" s="2">
        <x:f>=""</x:f>
      </x:c>
      <x:c r="E139" s="0"/>
      <x:c r="F139" t="str" s="2">
        <x:v>Walk-in</x:v>
      </x:c>
      <x:c r="G139" t="str" s="2">
        <x:v>Heritage Housing of Jennings</x:v>
      </x:c>
      <x:c r="H139" t="str" s="2">
        <x:v>Mervin Leslie Smith</x:v>
      </x:c>
      <x:c r="I139" s="0"/>
      <x:c r="J139" s="0"/>
      <x:c r="K139" t="n" s="2">
        <x:v>5</x:v>
      </x:c>
      <x:c r="L139" t="str" s="2">
        <x:v>1.1</x:v>
      </x:c>
      <x:c r="M139" t="str" s="2">
        <x:v>Dead</x:v>
      </x:c>
      <x:c r="N139" t="str" s="2">
        <x:v>Prospect</x:v>
      </x:c>
      <x:c r="O139" s="0"/>
      <x:c r="P139" s="6">
        <x:v>46212</x:v>
      </x:c>
      <x:c r="Q139" s="6">
        <x:v>46212.742470219906</x:v>
      </x:c>
      <x:c r="R139" s="0"/>
      <x:c r="S139" s="0"/>
      <x:c r="T139" s="0"/>
      <x:c r="U139" s="0"/>
      <x:c r="V139" s="0"/>
      <x:c r="W139" s="0"/>
      <x:c r="X139" t="str" s="2">
        <x:v>3378426132</x:v>
      </x:c>
      <x:c r="Y139" t="str" s="2">
        <x:v>lkirsten@hotmail.com</x:v>
      </x:c>
      <x:c r="Z139" s="6">
        <x:v>46279.870369525466</x:v>
      </x:c>
      <x:c r="AA139" t="str" s="2">
        <x:v>Mervin Leslie Smith</x:v>
      </x:c>
      <x:c r="AB139" s="6">
        <x:v>46212.742470868056</x:v>
      </x:c>
      <x:c r="AC139" t="n" s="2">
        <x:v>38373</x:v>
      </x:c>
      <x:c r="AD139" s="0"/>
      <x:c r="AE139" s="0"/>
      <x:c r="AF139" s="0"/>
      <x:c r="AG139" s="0"/>
      <x:c r="AH139" s="0"/>
      <x:c r="AI139" s="0"/>
      <x:c r="AJ139" s="0"/>
      <x:c r="AK139" s="0"/>
    </x:row>
    <x:row r="140">
      <x:c r="A140" t="str" s="2">
        <x:f>=HYPERLINK("https://rsms.futurehomex.com/lead/38374", "Ricky Parker")</x:f>
      </x:c>
      <x:c r="B140" t="n" s="2">
        <x:v>96</x:v>
      </x:c>
      <x:c r="C140" t="str" s="2">
        <x:v/>
      </x:c>
      <x:c r="D140" t="str" s="2">
        <x:f>=""</x:f>
      </x:c>
      <x:c r="E140" s="0"/>
      <x:c r="F140" t="str" s="2">
        <x:v>Walk-in</x:v>
      </x:c>
      <x:c r="G140" t="str" s="2">
        <x:v>Heritage Housing of Tulsa</x:v>
      </x:c>
      <x:c r="H140" t="str" s="2">
        <x:v>Jenna Fransisco</x:v>
      </x:c>
      <x:c r="I140" s="0"/>
      <x:c r="J140" t="str" s="2">
        <x:v>Jenna Fransisco</x:v>
      </x:c>
      <x:c r="K140" t="n" s="2">
        <x:v>5</x:v>
      </x:c>
      <x:c r="L140" t="str" s="2">
        <x:v>1.1</x:v>
      </x:c>
      <x:c r="M140" t="str" s="2">
        <x:v>Tentative</x:v>
      </x:c>
      <x:c r="N140" t="str" s="2">
        <x:v>Deal Created</x:v>
      </x:c>
      <x:c r="O140" s="0"/>
      <x:c r="P140" s="6">
        <x:v>46212</x:v>
      </x:c>
      <x:c r="Q140" s="6">
        <x:v>46212.7943775463</x:v>
      </x:c>
      <x:c r="R140" s="0"/>
      <x:c r="S140" s="6">
        <x:v>46211</x:v>
      </x:c>
      <x:c r="T140" s="0"/>
      <x:c r="U140" s="0"/>
      <x:c r="V140" s="0"/>
      <x:c r="W140" s="0"/>
      <x:c r="X140" t="str" s="2">
        <x:v>9183692413</x:v>
      </x:c>
      <x:c r="Y140" t="str" s="2">
        <x:v>rep2344@yahoo.com</x:v>
      </x:c>
      <x:c r="Z140" s="0"/>
      <x:c r="AA140" s="0"/>
      <x:c r="AB140" s="6">
        <x:v>46212.79239768518</x:v>
      </x:c>
      <x:c r="AC140" t="n" s="2">
        <x:v>38374</x:v>
      </x:c>
      <x:c r="AD140" s="0"/>
      <x:c r="AE140" s="0"/>
      <x:c r="AF140" s="0"/>
      <x:c r="AG140" s="0"/>
      <x:c r="AH140" s="0"/>
      <x:c r="AI140" s="0"/>
      <x:c r="AJ140" s="0"/>
      <x:c r="AK140" s="0"/>
    </x:row>
    <x:row r="141">
      <x:c r="A141" t="str" s="2">
        <x:f>=HYPERLINK("https://rsms.futurehomex.com/lead/38375", "Scuba Steve")</x:f>
      </x:c>
      <x:c r="B141" t="n" s="2">
        <x:v>96</x:v>
      </x:c>
      <x:c r="C141" t="str" s="2">
        <x:v/>
      </x:c>
      <x:c r="D141" t="str" s="2">
        <x:f>=""</x:f>
      </x:c>
      <x:c r="E141" s="0"/>
      <x:c r="F141" t="str" s="2">
        <x:v>Facebook Messenger</x:v>
      </x:c>
      <x:c r="G141" t="str" s="2">
        <x:v>Heritage Housing of Oklahoma City</x:v>
      </x:c>
      <x:c r="H141" t="str" s="2">
        <x:v>Steve Castell</x:v>
      </x:c>
      <x:c r="I141" s="0"/>
      <x:c r="J141" t="str" s="2">
        <x:v>Steve Castell</x:v>
      </x:c>
      <x:c r="K141" t="n" s="2">
        <x:v>5</x:v>
      </x:c>
      <x:c r="L141" t="str" s="2">
        <x:v>1.1</x:v>
      </x:c>
      <x:c r="M141" t="str" s="2">
        <x:v>Dead</x:v>
      </x:c>
      <x:c r="N141" t="str" s="2">
        <x:v>Deal Created</x:v>
      </x:c>
      <x:c r="O141" s="0"/>
      <x:c r="P141" s="6">
        <x:v>46212</x:v>
      </x:c>
      <x:c r="Q141" s="6">
        <x:v>46212.80048434028</x:v>
      </x:c>
      <x:c r="R141" s="0"/>
      <x:c r="S141" s="0"/>
      <x:c r="T141" s="0"/>
      <x:c r="U141" s="0"/>
      <x:c r="V141" s="0"/>
      <x:c r="W141" s="0"/>
      <x:c r="X141" t="str" s="2">
        <x:v>4056844636</x:v>
      </x:c>
      <x:c r="Y141" t="str" s="2">
        <x:v>jscastell@gmail.com</x:v>
      </x:c>
      <x:c r="Z141" s="6">
        <x:v>46212.85681975695</x:v>
      </x:c>
      <x:c r="AA141" t="str" s="2">
        <x:v>Richard Bell</x:v>
      </x:c>
      <x:c r="AB141" s="6">
        <x:v>46212.80048564815</x:v>
      </x:c>
      <x:c r="AC141" t="n" s="2">
        <x:v>38375</x:v>
      </x:c>
      <x:c r="AD141" s="0"/>
      <x:c r="AE141" s="0"/>
      <x:c r="AF141" s="0"/>
      <x:c r="AG141" s="0"/>
      <x:c r="AH141" s="0"/>
      <x:c r="AI141" s="0"/>
      <x:c r="AJ141" s="0"/>
      <x:c r="AK141" s="0"/>
    </x:row>
    <x:row r="142">
      <x:c r="A142" t="str" s="2">
        <x:f>=HYPERLINK("https://rsms.futurehomex.com/lead/38376", "Eladia Figueroa Ayala")</x:f>
      </x:c>
      <x:c r="B142" t="n" s="2">
        <x:v>96</x:v>
      </x:c>
      <x:c r="C142" t="str" s="2">
        <x:v>2/21</x:v>
      </x:c>
      <x:c r="D142" t="str" s="2">
        <x:f>=""</x:f>
      </x:c>
      <x:c r="E142" s="0"/>
      <x:c r="F142" t="str" s="2">
        <x:v>Walk-in</x:v>
      </x:c>
      <x:c r="G142" t="str" s="2">
        <x:v>Legacy Housing Corp. DBA Americasa</x:v>
      </x:c>
      <x:c r="H142" t="str" s="2">
        <x:v>Joey Marquez</x:v>
      </x:c>
      <x:c r="I142" t="str" s="2">
        <x:v>Karol Romero</x:v>
      </x:c>
      <x:c r="J142" t="str" s="2">
        <x:v>Rodrigo Ramirez</x:v>
      </x:c>
      <x:c r="K142" t="n" s="2">
        <x:v>59</x:v>
      </x:c>
      <x:c r="L142" t="str" s="2">
        <x:v>4.3</x:v>
      </x:c>
      <x:c r="M142" t="str" s="2">
        <x:v>Inactive</x:v>
      </x:c>
      <x:c r="N142" t="str" s="2">
        <x:v>Loan Approved</x:v>
      </x:c>
      <x:c r="O142" s="6">
        <x:v>46446</x:v>
      </x:c>
      <x:c r="P142" s="6">
        <x:v>46212</x:v>
      </x:c>
      <x:c r="Q142" s="6">
        <x:v>46252.87215755787</x:v>
      </x:c>
      <x:c r="R142" s="0"/>
      <x:c r="S142" s="6">
        <x:v>46212</x:v>
      </x:c>
      <x:c r="T142" s="6">
        <x:v>46216</x:v>
      </x:c>
      <x:c r="U142" s="6">
        <x:v>46216</x:v>
      </x:c>
      <x:c r="V142" s="6">
        <x:v>46217</x:v>
      </x:c>
      <x:c r="W142" s="0"/>
      <x:c r="X142" t="str" s="2">
        <x:v>8324997089</x:v>
      </x:c>
      <x:c r="Y142" t="str" s="2">
        <x:v>efigueroa@teloloapanmeatmarket.com</x:v>
      </x:c>
      <x:c r="Z142" s="6">
        <x:v>46279.80880975694</x:v>
      </x:c>
      <x:c r="AA142" t="str" s="2">
        <x:v>Rodrigo Ramirez</x:v>
      </x:c>
      <x:c r="AB142" s="6">
        <x:v>46212.811630902776</x:v>
      </x:c>
      <x:c r="AC142" t="n" s="2">
        <x:v>38376</x:v>
      </x:c>
      <x:c r="AD142" t="str" s="2">
        <x:v>Singlewide</x:v>
      </x:c>
      <x:c r="AE142" t="str" s="2">
        <x:v>Legacy Housing Corporation</x:v>
      </x:c>
      <x:c r="AF142" s="7">
        <x:v>29150</x:v>
      </x:c>
      <x:c r="AG142" s="7">
        <x:v>20000</x:v>
      </x:c>
      <x:c r="AH142" s="0"/>
      <x:c r="AI142" s="0"/>
      <x:c r="AJ142" s="0"/>
      <x:c r="AK142" s="0"/>
    </x:row>
    <x:row r="143">
      <x:c r="A143" t="str" s="2">
        <x:f>=HYPERLINK("https://rsms.futurehomex.com/lead/38377", "Javier Figueroa")</x:f>
      </x:c>
      <x:c r="B143" t="n" s="2">
        <x:v>96</x:v>
      </x:c>
      <x:c r="C143" t="str" s="2">
        <x:v>0/16</x:v>
      </x:c>
      <x:c r="D143" t="str" s="2">
        <x:f>="REPO"</x:f>
      </x:c>
      <x:c r="E143" s="0"/>
      <x:c r="F143" t="str" s="2">
        <x:v>Walk-in</x:v>
      </x:c>
      <x:c r="G143" t="str" s="2">
        <x:v>Legacy Housing Corp. DBA Americasa</x:v>
      </x:c>
      <x:c r="H143" t="str" s="2">
        <x:v>Rodrigo Ramirez</x:v>
      </x:c>
      <x:c r="I143" t="str" s="2">
        <x:v>Karol Romero</x:v>
      </x:c>
      <x:c r="J143" t="str" s="2">
        <x:v>Rodrigo Ramirez</x:v>
      </x:c>
      <x:c r="K143" t="n" s="2">
        <x:v>100</x:v>
      </x:c>
      <x:c r="L143" t="str" s="2">
        <x:v>6.2</x:v>
      </x:c>
      <x:c r="M143" t="str" s="2">
        <x:v>Closed</x:v>
      </x:c>
      <x:c r="N143" t="str" s="2">
        <x:v>Delivered</x:v>
      </x:c>
      <x:c r="O143" s="6">
        <x:v>46233</x:v>
      </x:c>
      <x:c r="P143" s="6">
        <x:v>46212</x:v>
      </x:c>
      <x:c r="Q143" s="6">
        <x:v>46261.5826440625</x:v>
      </x:c>
      <x:c r="R143" s="0"/>
      <x:c r="S143" s="6">
        <x:v>46212</x:v>
      </x:c>
      <x:c r="T143" s="6">
        <x:v>46216</x:v>
      </x:c>
      <x:c r="U143" s="6">
        <x:v>46217</x:v>
      </x:c>
      <x:c r="V143" s="6">
        <x:v>46217</x:v>
      </x:c>
      <x:c r="W143" s="6">
        <x:v>46260</x:v>
      </x:c>
      <x:c r="X143" t="str" s="2">
        <x:v>7135044848</x:v>
      </x:c>
      <x:c r="Y143" t="str" s="2">
        <x:v>javier198004@icloud.com</x:v>
      </x:c>
      <x:c r="Z143" s="6">
        <x:v>46300.660341284725</x:v>
      </x:c>
      <x:c r="AA143" t="str" s="2">
        <x:v>Angelica Mendoza </x:v>
      </x:c>
      <x:c r="AB143" s="6">
        <x:v>46212.82843017361</x:v>
      </x:c>
      <x:c r="AC143" t="n" s="2">
        <x:v>38377</x:v>
      </x:c>
      <x:c r="AD143" t="str" s="2">
        <x:v>Singlewide</x:v>
      </x:c>
      <x:c r="AE143" t="str" s="2">
        <x:v>Legacy Housing Corporation</x:v>
      </x:c>
      <x:c r="AF143" s="7">
        <x:v>13000</x:v>
      </x:c>
      <x:c r="AG143" s="7">
        <x:v>10000</x:v>
      </x:c>
      <x:c r="AH143" s="7">
        <x:v>13000</x:v>
      </x:c>
      <x:c r="AI143" s="0"/>
      <x:c r="AJ143" s="0"/>
      <x:c r="AK143" t="str" s="6">
        <x:v>2026-08-25</x:v>
      </x:c>
    </x:row>
    <x:row r="144">
      <x:c r="A144" t="str" s="2">
        <x:f>=HYPERLINK("https://rsms.futurehomex.com/lead/38378", "Mount Moriah Baptist Church")</x:f>
      </x:c>
      <x:c r="B144" t="n" s="2">
        <x:v>96</x:v>
      </x:c>
      <x:c r="C144" t="str" s="2">
        <x:v>1/5</x:v>
      </x:c>
      <x:c r="D144" t="str" s="2">
        <x:f>=""</x:f>
      </x:c>
      <x:c r="E144" s="0"/>
      <x:c r="F144" t="str" s="2">
        <x:v>Meta Ads - Forms</x:v>
      </x:c>
      <x:c r="G144" t="str" s="2">
        <x:v>Heritage Housing of Jennings</x:v>
      </x:c>
      <x:c r="H144" t="str" s="2">
        <x:v>Mervin Leslie Smith</x:v>
      </x:c>
      <x:c r="I144" s="0"/>
      <x:c r="J144" t="str" s="2">
        <x:v>Mervin Leslie Smith</x:v>
      </x:c>
      <x:c r="K144" t="n" s="2">
        <x:v>5</x:v>
      </x:c>
      <x:c r="L144" t="str" s="2">
        <x:v>1.1</x:v>
      </x:c>
      <x:c r="M144" t="str" s="2">
        <x:v>Inactive</x:v>
      </x:c>
      <x:c r="N144" t="str" s="2">
        <x:v>Deal Created</x:v>
      </x:c>
      <x:c r="O144" s="0"/>
      <x:c r="P144" s="6">
        <x:v>46212</x:v>
      </x:c>
      <x:c r="Q144" s="6">
        <x:v>46212.837508136574</x:v>
      </x:c>
      <x:c r="R144" s="0"/>
      <x:c r="S144" s="0"/>
      <x:c r="T144" s="0"/>
      <x:c r="U144" s="0"/>
      <x:c r="V144" s="0"/>
      <x:c r="W144" s="0"/>
      <x:c r="X144" t="str" s="2">
        <x:v>2253294892</x:v>
      </x:c>
      <x:c r="Y144" t="str" s="2">
        <x:v>cswan0529@gmail.com</x:v>
      </x:c>
      <x:c r="Z144" s="6">
        <x:v>46230.80155497685</x:v>
      </x:c>
      <x:c r="AA144" t="str" s="2">
        <x:v>Mervin Leslie Smith</x:v>
      </x:c>
      <x:c r="AB144" s="6">
        <x:v>46212.837508715274</x:v>
      </x:c>
      <x:c r="AC144" t="n" s="2">
        <x:v>38378</x:v>
      </x:c>
      <x:c r="AD144" s="0"/>
      <x:c r="AE144" s="0"/>
      <x:c r="AF144" s="0"/>
      <x:c r="AG144" s="0"/>
      <x:c r="AH144" s="0"/>
      <x:c r="AI144" s="0"/>
      <x:c r="AJ144" s="0"/>
      <x:c r="AK144" s="0"/>
    </x:row>
    <x:row r="145">
      <x:c r="A145" t="str" s="2">
        <x:f>=HYPERLINK("https://rsms.futurehomex.com/lead/38379", "Fabiola Chavira")</x:f>
      </x:c>
      <x:c r="B145" t="n" s="2">
        <x:v>96</x:v>
      </x:c>
      <x:c r="C145" t="str" s="2">
        <x:v>1/3</x:v>
      </x:c>
      <x:c r="D145" t="str" s="2">
        <x:f>=""</x:f>
      </x:c>
      <x:c r="E145" t="str" s="2">
        <x:v>Noe Bonilla</x:v>
      </x:c>
      <x:c r="F145" t="str" s="2">
        <x:v>Meta Ads - Forms</x:v>
      </x:c>
      <x:c r="G145" t="str" s="2">
        <x:v>Legacy Housing Corp. DBA Americasa</x:v>
      </x:c>
      <x:c r="H145" t="str" s="2">
        <x:v>Joey Marquez</x:v>
      </x:c>
      <x:c r="I145" t="str" s="2">
        <x:v>Karol Romero</x:v>
      </x:c>
      <x:c r="J145" t="str" s="2">
        <x:v>Rodrigo Ramirez</x:v>
      </x:c>
      <x:c r="K145" t="n" s="2">
        <x:v>5</x:v>
      </x:c>
      <x:c r="L145" t="str" s="2">
        <x:v>1.1</x:v>
      </x:c>
      <x:c r="M145" t="str" s="2">
        <x:v>Inactive</x:v>
      </x:c>
      <x:c r="N145" t="str" s="2">
        <x:v>Deal Created</x:v>
      </x:c>
      <x:c r="O145" s="0"/>
      <x:c r="P145" s="6">
        <x:v>46212</x:v>
      </x:c>
      <x:c r="Q145" s="6">
        <x:v>46218.828102893516</x:v>
      </x:c>
      <x:c r="R145" s="0"/>
      <x:c r="S145" s="6">
        <x:v>46218</x:v>
      </x:c>
      <x:c r="T145" s="0"/>
      <x:c r="U145" s="0"/>
      <x:c r="V145" s="0"/>
      <x:c r="W145" s="0"/>
      <x:c r="X145" t="str" s="2">
        <x:v>8324062988</x:v>
      </x:c>
      <x:c r="Y145" t="str" s="2">
        <x:v>fabiolanavarrete.199325@gmail.com</x:v>
      </x:c>
      <x:c r="Z145" s="6">
        <x:v>46245.895792013886</x:v>
      </x:c>
      <x:c r="AA145" t="str" s="2">
        <x:v>Rodrigo Ramirez</x:v>
      </x:c>
      <x:c r="AB145" s="6">
        <x:v>46212.878267280095</x:v>
      </x:c>
      <x:c r="AC145" t="n" s="2">
        <x:v>38379</x:v>
      </x:c>
      <x:c r="AD145" s="0"/>
      <x:c r="AE145" s="0"/>
      <x:c r="AF145" s="0"/>
      <x:c r="AG145" s="0"/>
      <x:c r="AH145" s="0"/>
      <x:c r="AI145" s="0"/>
      <x:c r="AJ145" s="0"/>
      <x:c r="AK145" s="0"/>
    </x:row>
    <x:row r="146">
      <x:c r="A146" t="str" s="2">
        <x:f>=HYPERLINK("https://rsms.futurehomex.com/lead/38380", "Yanella Sanabria")</x:f>
      </x:c>
      <x:c r="B146" t="n" s="2">
        <x:v>96</x:v>
      </x:c>
      <x:c r="C146" t="str" s="2">
        <x:v>0/1</x:v>
      </x:c>
      <x:c r="D146" t="str" s="2">
        <x:f>=""</x:f>
      </x:c>
      <x:c r="E146" s="0"/>
      <x:c r="F146" t="str" s="2">
        <x:v>Meta Ads - Forms</x:v>
      </x:c>
      <x:c r="G146" t="str" s="2">
        <x:v>Legacy Housing Corp. DBA Americasa</x:v>
      </x:c>
      <x:c r="H146" t="str" s="2">
        <x:v>Joey Marquez</x:v>
      </x:c>
      <x:c r="I146" s="0"/>
      <x:c r="J146" t="str" s="2">
        <x:v>Rodrigo Ramirez</x:v>
      </x:c>
      <x:c r="K146" t="n" s="2">
        <x:v>5</x:v>
      </x:c>
      <x:c r="L146" t="str" s="2">
        <x:v>1.1</x:v>
      </x:c>
      <x:c r="M146" t="str" s="2">
        <x:v>Tentative</x:v>
      </x:c>
      <x:c r="N146" t="str" s="2">
        <x:v>Deal Created</x:v>
      </x:c>
      <x:c r="O146" s="0"/>
      <x:c r="P146" s="6">
        <x:v>46212</x:v>
      </x:c>
      <x:c r="Q146" s="6">
        <x:v>46269.875050347226</x:v>
      </x:c>
      <x:c r="R146" s="0"/>
      <x:c r="S146" s="0"/>
      <x:c r="T146" s="0"/>
      <x:c r="U146" s="0"/>
      <x:c r="V146" s="0"/>
      <x:c r="W146" s="0"/>
      <x:c r="X146" t="str" s="2">
        <x:v>7863551929</x:v>
      </x:c>
      <x:c r="Y146" t="str" s="2">
        <x:v>Yanella.noda@gmail.com</x:v>
      </x:c>
      <x:c r="Z146" s="6">
        <x:v>46290.765158333335</x:v>
      </x:c>
      <x:c r="AA146" t="str" s="2">
        <x:v>Joey Marquez</x:v>
      </x:c>
      <x:c r="AB146" s="6">
        <x:v>46212.87972646991</x:v>
      </x:c>
      <x:c r="AC146" t="n" s="2">
        <x:v>38380</x:v>
      </x:c>
      <x:c r="AD146" s="0"/>
      <x:c r="AE146" s="0"/>
      <x:c r="AF146" s="0"/>
      <x:c r="AG146" s="0"/>
      <x:c r="AH146" s="0"/>
      <x:c r="AI146" s="0"/>
      <x:c r="AJ146" s="0"/>
      <x:c r="AK146" s="0"/>
    </x:row>
    <x:row r="147">
      <x:c r="A147" t="str" s="2">
        <x:f>=HYPERLINK("https://rsms.futurehomex.com/lead/38381", "Sandra Gonzalez")</x:f>
      </x:c>
      <x:c r="B147" t="n" s="2">
        <x:v>96</x:v>
      </x:c>
      <x:c r="C147" t="str" s="2">
        <x:v>0/1</x:v>
      </x:c>
      <x:c r="D147" t="str" s="2">
        <x:f>=""</x:f>
      </x:c>
      <x:c r="E147" s="0"/>
      <x:c r="F147" t="str" s="2">
        <x:v>META Marketplace</x:v>
      </x:c>
      <x:c r="G147" t="str" s="2">
        <x:v>Heritage Housing Mt Pleasant</x:v>
      </x:c>
      <x:c r="H147" t="str" s="2">
        <x:v>Elias Gallardo</x:v>
      </x:c>
      <x:c r="I147" s="0"/>
      <x:c r="J147" t="str" s="2">
        <x:v>Elias Gallardo</x:v>
      </x:c>
      <x:c r="K147" t="n" s="2">
        <x:v>59</x:v>
      </x:c>
      <x:c r="L147" t="str" s="2">
        <x:v>4.3</x:v>
      </x:c>
      <x:c r="M147" t="str" s="2">
        <x:v>Dead</x:v>
      </x:c>
      <x:c r="N147" t="str" s="2">
        <x:v>Loan Approved</x:v>
      </x:c>
      <x:c r="O147" s="6">
        <x:v>46234</x:v>
      </x:c>
      <x:c r="P147" s="6">
        <x:v>46212</x:v>
      </x:c>
      <x:c r="Q147" s="6">
        <x:v>46217.55594070602</x:v>
      </x:c>
      <x:c r="R147" s="0"/>
      <x:c r="S147" s="6">
        <x:v>46212</x:v>
      </x:c>
      <x:c r="T147" s="6">
        <x:v>46212</x:v>
      </x:c>
      <x:c r="U147" s="6">
        <x:v>46217</x:v>
      </x:c>
      <x:c r="V147" s="6">
        <x:v>46217</x:v>
      </x:c>
      <x:c r="W147" s="0"/>
      <x:c r="X147" t="str" s="2">
        <x:v>9039177410</x:v>
      </x:c>
      <x:c r="Y147" t="str" s="2">
        <x:v>Sg9144515@gmail.com</x:v>
      </x:c>
      <x:c r="Z147" s="6">
        <x:v>46217.54287508102</x:v>
      </x:c>
      <x:c r="AA147" t="str" s="2">
        <x:v>Kristin Breedlove</x:v>
      </x:c>
      <x:c r="AB147" s="6">
        <x:v>46212.90845011574</x:v>
      </x:c>
      <x:c r="AC147" t="n" s="2">
        <x:v>38381</x:v>
      </x:c>
      <x:c r="AD147" t="str" s="2">
        <x:v>Doublewide</x:v>
      </x:c>
      <x:c r="AE147" t="str" s="2">
        <x:v>Legacy Housing Corporation</x:v>
      </x:c>
      <x:c r="AF147" s="7">
        <x:v>11882.5</x:v>
      </x:c>
      <x:c r="AG147" s="7">
        <x:v>11882.5</x:v>
      </x:c>
      <x:c r="AH147" s="7">
        <x:v>500</x:v>
      </x:c>
      <x:c r="AI147" s="0"/>
      <x:c r="AJ147" s="0"/>
      <x:c r="AK147" s="0"/>
    </x:row>
    <x:row r="148">
      <x:c r="A148" t="str" s="2">
        <x:f>=HYPERLINK("https://rsms.futurehomex.com/lead/38382", "Lexi Stanbery")</x:f>
      </x:c>
      <x:c r="B148" t="n" s="2">
        <x:v>96</x:v>
      </x:c>
      <x:c r="C148" t="str" s="2">
        <x:v>0/2</x:v>
      </x:c>
      <x:c r="D148" t="str" s="2">
        <x:f>=""</x:f>
      </x:c>
      <x:c r="E148" t="str" s="2">
        <x:v>Jacob Edwards</x:v>
      </x:c>
      <x:c r="F148" t="str" s="2">
        <x:v>Facebook Messenger</x:v>
      </x:c>
      <x:c r="G148" t="str" s="2">
        <x:v>Heritage Housing of Greenville</x:v>
      </x:c>
      <x:c r="H148" t="str" s="2">
        <x:v>Brooklynn Allen</x:v>
      </x:c>
      <x:c r="I148" s="0"/>
      <x:c r="J148" t="str" s="2">
        <x:v>Brooklynn Allen</x:v>
      </x:c>
      <x:c r="K148" t="n" s="2">
        <x:v>100</x:v>
      </x:c>
      <x:c r="L148" t="str" s="2">
        <x:v>6.2</x:v>
      </x:c>
      <x:c r="M148" t="str" s="2">
        <x:v>Closed</x:v>
      </x:c>
      <x:c r="N148" t="str" s="2">
        <x:v>Delivered</x:v>
      </x:c>
      <x:c r="O148" s="6">
        <x:v>46219</x:v>
      </x:c>
      <x:c r="P148" s="6">
        <x:v>46212</x:v>
      </x:c>
      <x:c r="Q148" s="6">
        <x:v>46221.672763622686</x:v>
      </x:c>
      <x:c r="R148" s="0"/>
      <x:c r="S148" s="6">
        <x:v>46212</x:v>
      </x:c>
      <x:c r="T148" s="6">
        <x:v>46212</x:v>
      </x:c>
      <x:c r="U148" s="6">
        <x:v>46217</x:v>
      </x:c>
      <x:c r="V148" s="6">
        <x:v>46216</x:v>
      </x:c>
      <x:c r="W148" s="6">
        <x:v>46223</x:v>
      </x:c>
      <x:c r="X148" t="str" s="2">
        <x:v>9034560749</x:v>
      </x:c>
      <x:c r="Y148" t="str" s="2">
        <x:v>stanberylm07@gmail.com</x:v>
      </x:c>
      <x:c r="Z148" s="6">
        <x:v>46220.645908136576</x:v>
      </x:c>
      <x:c r="AA148" t="str" s="2">
        <x:v>Brandie Sartor</x:v>
      </x:c>
      <x:c r="AB148" s="6">
        <x:v>46213.589296875</x:v>
      </x:c>
      <x:c r="AC148" t="n" s="2">
        <x:v>38382</x:v>
      </x:c>
      <x:c r="AD148" t="str" s="2">
        <x:v>Singlewide</x:v>
      </x:c>
      <x:c r="AE148" t="str" s="2">
        <x:v>Legacy Housing Corporation</x:v>
      </x:c>
      <x:c r="AF148" s="7">
        <x:v>12000</x:v>
      </x:c>
      <x:c r="AG148" s="7">
        <x:v>12000</x:v>
      </x:c>
      <x:c r="AH148" s="7">
        <x:v>12000</x:v>
      </x:c>
      <x:c r="AI148" s="0"/>
      <x:c r="AJ148" s="0"/>
      <x:c r="AK148" t="str" s="6">
        <x:v>2026-07-18</x:v>
      </x:c>
    </x:row>
    <x:row r="149">
      <x:c r="A149" t="str" s="2">
        <x:f>=HYPERLINK("https://rsms.futurehomex.com/lead/38383", "Jemeica &amp; Gregory Smith")</x:f>
      </x:c>
      <x:c r="B149" t="n" s="2">
        <x:v>96</x:v>
      </x:c>
      <x:c r="C149" t="str" s="2">
        <x:v/>
      </x:c>
      <x:c r="D149" t="str" s="2">
        <x:f>=""</x:f>
      </x:c>
      <x:c r="E149" s="0"/>
      <x:c r="F149" t="str" s="2">
        <x:v>Website</x:v>
      </x:c>
      <x:c r="G149" t="str" s="2">
        <x:v>Heritage Housing Mt Pleasant</x:v>
      </x:c>
      <x:c r="H149" t="str" s="2">
        <x:v>Elias Gallardo</x:v>
      </x:c>
      <x:c r="I149" s="0"/>
      <x:c r="J149" t="str" s="2">
        <x:v>Elias Gallardo</x:v>
      </x:c>
      <x:c r="K149" t="n" s="2">
        <x:v>5</x:v>
      </x:c>
      <x:c r="L149" t="str" s="2">
        <x:v>1.1</x:v>
      </x:c>
      <x:c r="M149" t="str" s="2">
        <x:v>Tentative</x:v>
      </x:c>
      <x:c r="N149" t="str" s="2">
        <x:v>Prospect</x:v>
      </x:c>
      <x:c r="O149" s="0"/>
      <x:c r="P149" s="6">
        <x:v>46212</x:v>
      </x:c>
      <x:c r="Q149" s="6">
        <x:v>46212.95876461806</x:v>
      </x:c>
      <x:c r="R149" s="0"/>
      <x:c r="S149" s="6">
        <x:v>46214</x:v>
      </x:c>
      <x:c r="T149" s="0"/>
      <x:c r="U149" s="0"/>
      <x:c r="V149" s="0"/>
      <x:c r="W149" s="0"/>
      <x:c r="X149" t="str" s="2">
        <x:v>4423247310</x:v>
      </x:c>
      <x:c r="Y149" t="str" s="2">
        <x:v>Jemeicas22@hotmail.com</x:v>
      </x:c>
      <x:c r="Z149" s="6">
        <x:v>46215.819695833336</x:v>
      </x:c>
      <x:c r="AA149" t="str" s="2">
        <x:v>Elias Gallardo</x:v>
      </x:c>
      <x:c r="AB149" s="6">
        <x:v>46212.95876527778</x:v>
      </x:c>
      <x:c r="AC149" t="n" s="2">
        <x:v>38383</x:v>
      </x:c>
      <x:c r="AD149" s="0"/>
      <x:c r="AE149" s="0"/>
      <x:c r="AF149" s="0"/>
      <x:c r="AG149" s="0"/>
      <x:c r="AH149" s="0"/>
      <x:c r="AI149" s="0"/>
      <x:c r="AJ149" s="0"/>
      <x:c r="AK149" s="0"/>
    </x:row>
    <x:row r="150">
      <x:c r="A150" t="str" s="2">
        <x:f>=HYPERLINK("https://rsms.futurehomex.com/lead/38385", "Appleonea Enos")</x:f>
      </x:c>
      <x:c r="B150" t="n" s="2">
        <x:v>95</x:v>
      </x:c>
      <x:c r="C150" t="str" s="2">
        <x:v/>
      </x:c>
      <x:c r="D150" t="str" s="2">
        <x:f>=""</x:f>
      </x:c>
      <x:c r="E150" s="0"/>
      <x:c r="F150" t="str" s="2">
        <x:v>META Marketplace</x:v>
      </x:c>
      <x:c r="G150" t="str" s="2">
        <x:v>Heritage Housing Mt Pleasant</x:v>
      </x:c>
      <x:c r="H150" t="str" s="2">
        <x:v>Yarelis Torres</x:v>
      </x:c>
      <x:c r="I150" s="0"/>
      <x:c r="J150" t="str" s="2">
        <x:v>Yarelis Torres</x:v>
      </x:c>
      <x:c r="K150" t="n" s="2">
        <x:v>5</x:v>
      </x:c>
      <x:c r="L150" t="str" s="2">
        <x:v>1.1</x:v>
      </x:c>
      <x:c r="M150" t="str" s="2">
        <x:v>Tentative</x:v>
      </x:c>
      <x:c r="N150" t="str" s="2">
        <x:v>Deal Created</x:v>
      </x:c>
      <x:c r="O150" s="0"/>
      <x:c r="P150" s="6">
        <x:v>46213</x:v>
      </x:c>
      <x:c r="Q150" s="6">
        <x:v>46213.63754001157</x:v>
      </x:c>
      <x:c r="R150" s="0"/>
      <x:c r="S150" s="0"/>
      <x:c r="T150" s="0"/>
      <x:c r="U150" s="0"/>
      <x:c r="V150" s="0"/>
      <x:c r="W150" s="0"/>
      <x:c r="X150" t="str" s="2">
        <x:v>4698163590</x:v>
      </x:c>
      <x:c r="Y150" t="str" s="2">
        <x:v>appleoneaenos@gmail.com</x:v>
      </x:c>
      <x:c r="Z150" s="6">
        <x:v>46213.94631478009</x:v>
      </x:c>
      <x:c r="AA150" t="str" s="2">
        <x:v>Yarelis Torres</x:v>
      </x:c>
      <x:c r="AB150" s="6">
        <x:v>46213.637544907404</x:v>
      </x:c>
      <x:c r="AC150" t="n" s="2">
        <x:v>38385</x:v>
      </x:c>
      <x:c r="AD150" s="0"/>
      <x:c r="AE150" s="0"/>
      <x:c r="AF150" s="0"/>
      <x:c r="AG150" s="0"/>
      <x:c r="AH150" s="0"/>
      <x:c r="AI150" s="0"/>
      <x:c r="AJ150" s="0"/>
      <x:c r="AK150" s="0"/>
    </x:row>
    <x:row r="151">
      <x:c r="A151" t="str" s="2">
        <x:f>=HYPERLINK("https://rsms.futurehomex.com/lead/38386", "Kenneth Stanley Jr.")</x:f>
      </x:c>
      <x:c r="B151" t="n" s="2">
        <x:v>95</x:v>
      </x:c>
      <x:c r="C151" t="str" s="2">
        <x:v/>
      </x:c>
      <x:c r="D151" t="str" s="2">
        <x:f>=""</x:f>
      </x:c>
      <x:c r="E151" t="str" s="2">
        <x:v>Kimberly Stanley</x:v>
      </x:c>
      <x:c r="F151" t="str" s="2">
        <x:v>Meta Ads - Forms</x:v>
      </x:c>
      <x:c r="G151" t="str" s="2">
        <x:v>Heritage Housing of Augusta</x:v>
      </x:c>
      <x:c r="H151" t="str" s="2">
        <x:v>Jennifer Johnson</x:v>
      </x:c>
      <x:c r="I151" t="str" s="2">
        <x:v>Karol Romero</x:v>
      </x:c>
      <x:c r="J151" t="str" s="2">
        <x:v>Jennifer Johnson</x:v>
      </x:c>
      <x:c r="K151" t="n" s="2">
        <x:v>38</x:v>
      </x:c>
      <x:c r="L151" t="str" s="2">
        <x:v>3.2</x:v>
      </x:c>
      <x:c r="M151" t="str" s="2">
        <x:v>Active</x:v>
      </x:c>
      <x:c r="N151" t="str" s="2">
        <x:v>Application</x:v>
      </x:c>
      <x:c r="O151" s="0"/>
      <x:c r="P151" s="6">
        <x:v>46213</x:v>
      </x:c>
      <x:c r="Q151" s="6">
        <x:v>46294.916028506945</x:v>
      </x:c>
      <x:c r="R151" s="0"/>
      <x:c r="S151" s="6">
        <x:v>46245</x:v>
      </x:c>
      <x:c r="T151" s="6">
        <x:v>46247</x:v>
      </x:c>
      <x:c r="U151" s="6">
        <x:v>46248</x:v>
      </x:c>
      <x:c r="V151" s="0"/>
      <x:c r="W151" s="0"/>
      <x:c r="X151" t="str" s="2">
        <x:v>70667556341</x:v>
      </x:c>
      <x:c r="Y151" t="str" s="2">
        <x:v>kenny04ks@icloud.com</x:v>
      </x:c>
      <x:c r="Z151" s="6">
        <x:v>46279.78243197917</x:v>
      </x:c>
      <x:c r="AA151" t="str" s="2">
        <x:v>Alex Jones</x:v>
      </x:c>
      <x:c r="AB151" s="6">
        <x:v>46245.83808417824</x:v>
      </x:c>
      <x:c r="AC151" t="n" s="2">
        <x:v>38386</x:v>
      </x:c>
      <x:c r="AD151" t="str" s="2">
        <x:v>Singlewide</x:v>
      </x:c>
      <x:c r="AE151" t="str" s="2">
        <x:v>Legacy Housing Corporation</x:v>
      </x:c>
      <x:c r="AF151" s="0"/>
      <x:c r="AG151" s="7">
        <x:v>9600</x:v>
      </x:c>
      <x:c r="AH151" s="0"/>
      <x:c r="AI151" s="0"/>
      <x:c r="AJ151" s="0"/>
      <x:c r="AK151" s="0"/>
    </x:row>
    <x:row r="152">
      <x:c r="A152" t="str" s="2">
        <x:f>=HYPERLINK("https://rsms.futurehomex.com/lead/38387", "Ashley Martin")</x:f>
      </x:c>
      <x:c r="B152" t="n" s="2">
        <x:v>95</x:v>
      </x:c>
      <x:c r="C152" t="str" s="2">
        <x:v>0/3</x:v>
      </x:c>
      <x:c r="D152" t="str" s="2">
        <x:f>=""</x:f>
      </x:c>
      <x:c r="E152" s="0"/>
      <x:c r="F152" t="str" s="2">
        <x:v>Facebook Messenger</x:v>
      </x:c>
      <x:c r="G152" t="str" s="2">
        <x:v>Heritage Housing of Oklahoma City</x:v>
      </x:c>
      <x:c r="H152" t="str" s="2">
        <x:v>Steve Castell</x:v>
      </x:c>
      <x:c r="I152" s="0"/>
      <x:c r="J152" t="str" s="2">
        <x:v>Steve Castell</x:v>
      </x:c>
      <x:c r="K152" t="n" s="2">
        <x:v>5</x:v>
      </x:c>
      <x:c r="L152" t="str" s="2">
        <x:v>1.1</x:v>
      </x:c>
      <x:c r="M152" t="str" s="2">
        <x:v>Dead</x:v>
      </x:c>
      <x:c r="N152" t="str" s="2">
        <x:v>Deal Created</x:v>
      </x:c>
      <x:c r="O152" s="0"/>
      <x:c r="P152" s="6">
        <x:v>46213</x:v>
      </x:c>
      <x:c r="Q152" s="6">
        <x:v>46213.63965127315</x:v>
      </x:c>
      <x:c r="R152" s="0"/>
      <x:c r="S152" s="6">
        <x:v>46214</x:v>
      </x:c>
      <x:c r="T152" s="0"/>
      <x:c r="U152" s="0"/>
      <x:c r="V152" s="0"/>
      <x:c r="W152" s="0"/>
      <x:c r="X152" t="str" s="2">
        <x:v>4058882387</x:v>
      </x:c>
      <x:c r="Y152" t="str" s="2">
        <x:v>4058882387</x:v>
      </x:c>
      <x:c r="Z152" s="6">
        <x:v>46226.93298599537</x:v>
      </x:c>
      <x:c r="AA152" t="str" s="2">
        <x:v>Steve Castell</x:v>
      </x:c>
      <x:c r="AB152" s="6">
        <x:v>46213.63965451389</x:v>
      </x:c>
      <x:c r="AC152" t="n" s="2">
        <x:v>38387</x:v>
      </x:c>
      <x:c r="AD152" s="0"/>
      <x:c r="AE152" s="0"/>
      <x:c r="AF152" s="0"/>
      <x:c r="AG152" s="0"/>
      <x:c r="AH152" s="0"/>
      <x:c r="AI152" s="0"/>
      <x:c r="AJ152" s="0"/>
      <x:c r="AK152" s="0"/>
    </x:row>
    <x:row r="153">
      <x:c r="A153" t="str" s="2">
        <x:f>=HYPERLINK("https://rsms.futurehomex.com/lead/38389", "Martin Miller")</x:f>
      </x:c>
      <x:c r="B153" t="n" s="2">
        <x:v>95</x:v>
      </x:c>
      <x:c r="C153" t="str" s="2">
        <x:v/>
      </x:c>
      <x:c r="D153" t="str" s="2">
        <x:f>=""</x:f>
      </x:c>
      <x:c r="E153" s="0"/>
      <x:c r="F153" t="str" s="2">
        <x:v>Other</x:v>
      </x:c>
      <x:c r="G153" t="str" s="2">
        <x:v>Heritage Housing of Augusta</x:v>
      </x:c>
      <x:c r="H153" t="str" s="2">
        <x:v>Faye Lively</x:v>
      </x:c>
      <x:c r="I153" s="0"/>
      <x:c r="J153" t="str" s="2">
        <x:v>Faye Lively</x:v>
      </x:c>
      <x:c r="K153" t="n" s="2">
        <x:v>5</x:v>
      </x:c>
      <x:c r="L153" t="str" s="2">
        <x:v>1.1</x:v>
      </x:c>
      <x:c r="M153" t="str" s="2">
        <x:v>Tentative</x:v>
      </x:c>
      <x:c r="N153" t="str" s="2">
        <x:v>Deal Created</x:v>
      </x:c>
      <x:c r="O153" s="0"/>
      <x:c r="P153" s="6">
        <x:v>46213</x:v>
      </x:c>
      <x:c r="Q153" s="6">
        <x:v>46213.678928587964</x:v>
      </x:c>
      <x:c r="R153" s="0"/>
      <x:c r="S153" s="0"/>
      <x:c r="T153" s="0"/>
      <x:c r="U153" s="0"/>
      <x:c r="V153" s="0"/>
      <x:c r="W153" s="0"/>
      <x:c r="X153" t="str" s="2">
        <x:v>7154417497</x:v>
      </x:c>
      <x:c r="Y153" t="str" s="2">
        <x:v>7154417497</x:v>
      </x:c>
      <x:c r="Z153" s="0"/>
      <x:c r="AA153" s="0"/>
      <x:c r="AB153" s="6">
        <x:v>46213.678930358794</x:v>
      </x:c>
      <x:c r="AC153" t="n" s="2">
        <x:v>38389</x:v>
      </x:c>
      <x:c r="AD153" s="0"/>
      <x:c r="AE153" s="0"/>
      <x:c r="AF153" s="0"/>
      <x:c r="AG153" s="0"/>
      <x:c r="AH153" s="0"/>
      <x:c r="AI153" s="0"/>
      <x:c r="AJ153" s="0"/>
      <x:c r="AK153" s="0"/>
    </x:row>
    <x:row r="154">
      <x:c r="A154" t="str" s="2">
        <x:f>=HYPERLINK("https://rsms.futurehomex.com/lead/38390", "Sam Carroll")</x:f>
      </x:c>
      <x:c r="B154" t="n" s="2">
        <x:v>95</x:v>
      </x:c>
      <x:c r="C154" t="str" s="2">
        <x:v/>
      </x:c>
      <x:c r="D154" t="str" s="2">
        <x:f>=""</x:f>
      </x:c>
      <x:c r="E154" s="0"/>
      <x:c r="F154" t="str" s="2">
        <x:v>Walk-in</x:v>
      </x:c>
      <x:c r="G154" t="str" s="2">
        <x:v>Heritage Housing of Asheboro</x:v>
      </x:c>
      <x:c r="H154" t="str" s="2">
        <x:v>Maria Lopez</x:v>
      </x:c>
      <x:c r="I154" s="0"/>
      <x:c r="J154" s="0"/>
      <x:c r="K154" t="n" s="2">
        <x:v>21</x:v>
      </x:c>
      <x:c r="L154" t="str" s="2">
        <x:v>2.1</x:v>
      </x:c>
      <x:c r="M154" t="str" s="2">
        <x:v>Tentative</x:v>
      </x:c>
      <x:c r="N154" t="str" s="2">
        <x:v>Qualified</x:v>
      </x:c>
      <x:c r="O154" s="0"/>
      <x:c r="P154" s="6">
        <x:v>46213</x:v>
      </x:c>
      <x:c r="Q154" s="6">
        <x:v>46216.751994907405</x:v>
      </x:c>
      <x:c r="R154" s="0"/>
      <x:c r="S154" s="0"/>
      <x:c r="T154" s="0"/>
      <x:c r="U154" s="0"/>
      <x:c r="V154" s="0"/>
      <x:c r="W154" s="0"/>
      <x:c r="X154" t="str" s="2">
        <x:v>3369079334</x:v>
      </x:c>
      <x:c r="Y154" t="str" s="2">
        <x:v>margaretbtilley@gmail.com</x:v>
      </x:c>
      <x:c r="Z154" s="6">
        <x:v>46216.75198278935</x:v>
      </x:c>
      <x:c r="AA154" t="str" s="2">
        <x:v>Jeremy Jacques</x:v>
      </x:c>
      <x:c r="AB154" s="6">
        <x:v>46213.6984247338</x:v>
      </x:c>
      <x:c r="AC154" t="n" s="2">
        <x:v>38390</x:v>
      </x:c>
      <x:c r="AD154" s="0"/>
      <x:c r="AE154" s="0"/>
      <x:c r="AF154" s="0"/>
      <x:c r="AG154" s="0"/>
      <x:c r="AH154" s="0"/>
      <x:c r="AI154" s="0"/>
      <x:c r="AJ154" s="0"/>
      <x:c r="AK154" s="0"/>
    </x:row>
    <x:row r="155">
      <x:c r="A155" t="str" s="2">
        <x:f>=HYPERLINK("https://rsms.futurehomex.com/lead/38391", "Robert &amp; Czrena Watts")</x:f>
      </x:c>
      <x:c r="B155" t="n" s="2">
        <x:v>95</x:v>
      </x:c>
      <x:c r="C155" t="str" s="2">
        <x:v>0/5</x:v>
      </x:c>
      <x:c r="D155" t="str" s="2">
        <x:f>=""</x:f>
      </x:c>
      <x:c r="E155" s="0"/>
      <x:c r="F155" t="str" s="2">
        <x:v>Walk-in</x:v>
      </x:c>
      <x:c r="G155" t="str" s="2">
        <x:v>Heritage Housing of Oklahoma City</x:v>
      </x:c>
      <x:c r="H155" t="str" s="2">
        <x:v>Steve Castell</x:v>
      </x:c>
      <x:c r="I155" s="0"/>
      <x:c r="J155" t="str" s="2">
        <x:v>Steve Castell</x:v>
      </x:c>
      <x:c r="K155" t="n" s="2">
        <x:v>5</x:v>
      </x:c>
      <x:c r="L155" t="str" s="2">
        <x:v>1.1</x:v>
      </x:c>
      <x:c r="M155" t="str" s="2">
        <x:v>Dead</x:v>
      </x:c>
      <x:c r="N155" t="str" s="2">
        <x:v>Deal Created</x:v>
      </x:c>
      <x:c r="O155" s="0"/>
      <x:c r="P155" s="6">
        <x:v>46213</x:v>
      </x:c>
      <x:c r="Q155" s="6">
        <x:v>46213.70676331018</x:v>
      </x:c>
      <x:c r="R155" s="0"/>
      <x:c r="S155" s="6">
        <x:v>46213</x:v>
      </x:c>
      <x:c r="T155" s="0"/>
      <x:c r="U155" s="0"/>
      <x:c r="V155" s="0"/>
      <x:c r="W155" s="0"/>
      <x:c r="X155" t="str" s="2">
        <x:v>8062050787</x:v>
      </x:c>
      <x:c r="Y155" t="str" s="2">
        <x:v>rclawatts@me.com</x:v>
      </x:c>
      <x:c r="Z155" s="6">
        <x:v>46262.05565945602</x:v>
      </x:c>
      <x:c r="AA155" t="str" s="2">
        <x:v>Steve Castell</x:v>
      </x:c>
      <x:c r="AB155" s="6">
        <x:v>46213.70676554398</x:v>
      </x:c>
      <x:c r="AC155" t="n" s="2">
        <x:v>38391</x:v>
      </x:c>
      <x:c r="AD155" s="0"/>
      <x:c r="AE155" s="0"/>
      <x:c r="AF155" s="0"/>
      <x:c r="AG155" s="0"/>
      <x:c r="AH155" s="0"/>
      <x:c r="AI155" s="0"/>
      <x:c r="AJ155" s="0"/>
      <x:c r="AK155" s="0"/>
    </x:row>
    <x:row r="156">
      <x:c r="A156" t="str" s="2">
        <x:f>=HYPERLINK("https://rsms.futurehomex.com/lead/38392", "JENNY CAMPBELL")</x:f>
      </x:c>
      <x:c r="B156" t="n" s="2">
        <x:v>95</x:v>
      </x:c>
      <x:c r="C156" t="str" s="2">
        <x:v/>
      </x:c>
      <x:c r="D156" t="str" s="2">
        <x:f>=""</x:f>
      </x:c>
      <x:c r="E156" s="0"/>
      <x:c r="F156" t="str" s="2">
        <x:v>FHF Website</x:v>
      </x:c>
      <x:c r="G156" t="str" s="2">
        <x:v>Heritage Housing of Augusta</x:v>
      </x:c>
      <x:c r="H156" t="str" s="2">
        <x:v>Faye Lively</x:v>
      </x:c>
      <x:c r="I156" t="str" s="2">
        <x:v>Karol Romero</x:v>
      </x:c>
      <x:c r="J156" t="str" s="2">
        <x:v>Faye Lively</x:v>
      </x:c>
      <x:c r="K156" t="n" s="2">
        <x:v>21</x:v>
      </x:c>
      <x:c r="L156" t="str" s="2">
        <x:v>2.1</x:v>
      </x:c>
      <x:c r="M156" t="str" s="2">
        <x:v>Tentative</x:v>
      </x:c>
      <x:c r="N156" t="str" s="2">
        <x:v>Qualified</x:v>
      </x:c>
      <x:c r="O156" s="0"/>
      <x:c r="P156" s="6">
        <x:v>46213</x:v>
      </x:c>
      <x:c r="Q156" s="6">
        <x:v>46216.75021539352</x:v>
      </x:c>
      <x:c r="R156" s="0"/>
      <x:c r="S156" s="0"/>
      <x:c r="T156" s="0"/>
      <x:c r="U156" s="0"/>
      <x:c r="V156" s="0"/>
      <x:c r="W156" s="0"/>
      <x:c r="X156" t="str" s="2">
        <x:v>7708614628</x:v>
      </x:c>
      <x:c r="Y156" t="str" s="2">
        <x:v>campbellredhead@yahoo.com</x:v>
      </x:c>
      <x:c r="Z156" s="6">
        <x:v>46216.75020246528</x:v>
      </x:c>
      <x:c r="AA156" t="str" s="2">
        <x:v>Brian Amato</x:v>
      </x:c>
      <x:c r="AB156" s="6">
        <x:v>46213.74350636574</x:v>
      </x:c>
      <x:c r="AC156" t="n" s="2">
        <x:v>38392</x:v>
      </x:c>
      <x:c r="AD156" s="0"/>
      <x:c r="AE156" s="0"/>
      <x:c r="AF156" s="0"/>
      <x:c r="AG156" s="0"/>
      <x:c r="AH156" s="0"/>
      <x:c r="AI156" s="0"/>
      <x:c r="AJ156" s="0"/>
      <x:c r="AK156" s="0"/>
    </x:row>
    <x:row r="157">
      <x:c r="A157" t="str" s="2">
        <x:f>=HYPERLINK("https://rsms.futurehomex.com/lead/38393", "Lucas Gomez")</x:f>
      </x:c>
      <x:c r="B157" t="n" s="2">
        <x:v>95</x:v>
      </x:c>
      <x:c r="C157" t="str" s="2">
        <x:v/>
      </x:c>
      <x:c r="D157" t="str" s="2">
        <x:f>=""</x:f>
      </x:c>
      <x:c r="E157" s="0"/>
      <x:c r="F157" t="str" s="2">
        <x:v>Walk-in</x:v>
      </x:c>
      <x:c r="G157" t="str" s="2">
        <x:v>Heritage Housing of Asheboro</x:v>
      </x:c>
      <x:c r="H157" t="str" s="2">
        <x:v>Maria Lopez</x:v>
      </x:c>
      <x:c r="I157" s="0"/>
      <x:c r="J157" s="0"/>
      <x:c r="K157" t="n" s="2">
        <x:v>21</x:v>
      </x:c>
      <x:c r="L157" t="str" s="2">
        <x:v>2.1</x:v>
      </x:c>
      <x:c r="M157" t="str" s="2">
        <x:v>Tentative</x:v>
      </x:c>
      <x:c r="N157" t="str" s="2">
        <x:v>Qualified</x:v>
      </x:c>
      <x:c r="O157" s="0"/>
      <x:c r="P157" s="6">
        <x:v>46213</x:v>
      </x:c>
      <x:c r="Q157" s="6">
        <x:v>46216.75274505787</x:v>
      </x:c>
      <x:c r="R157" s="0"/>
      <x:c r="S157" s="0"/>
      <x:c r="T157" s="0"/>
      <x:c r="U157" s="0"/>
      <x:c r="V157" s="0"/>
      <x:c r="W157" s="0"/>
      <x:c r="X157" t="str" s="2">
        <x:v>3369538292</x:v>
      </x:c>
      <x:c r="Y157" t="str" s="2">
        <x:v>lucasdaheboro@hotmail.com</x:v>
      </x:c>
      <x:c r="Z157" s="6">
        <x:v>46216.752732256944</x:v>
      </x:c>
      <x:c r="AA157" t="str" s="2">
        <x:v>Jeremy Jacques</x:v>
      </x:c>
      <x:c r="AB157" s="6">
        <x:v>46213.74850509259</x:v>
      </x:c>
      <x:c r="AC157" t="n" s="2">
        <x:v>38393</x:v>
      </x:c>
      <x:c r="AD157" s="0"/>
      <x:c r="AE157" s="0"/>
      <x:c r="AF157" s="0"/>
      <x:c r="AG157" s="0"/>
      <x:c r="AH157" s="0"/>
      <x:c r="AI157" s="0"/>
      <x:c r="AJ157" s="0"/>
      <x:c r="AK157" s="0"/>
    </x:row>
    <x:row r="158">
      <x:c r="A158" t="str" s="2">
        <x:f>=HYPERLINK("https://rsms.futurehomex.com/lead/38395", "Alysia Houston")</x:f>
      </x:c>
      <x:c r="B158" t="n" s="2">
        <x:v>95</x:v>
      </x:c>
      <x:c r="C158" t="str" s="2">
        <x:v/>
      </x:c>
      <x:c r="D158" t="str" s="2">
        <x:f>="Double Wide"</x:f>
      </x:c>
      <x:c r="E158" t="str" s="2">
        <x:v>Kristin Williams</x:v>
      </x:c>
      <x:c r="F158" t="str" s="2">
        <x:v>Website</x:v>
      </x:c>
      <x:c r="G158" t="str" s="2">
        <x:v>Heritage Housing Gainesville</x:v>
      </x:c>
      <x:c r="H158" t="str" s="2">
        <x:v>Chris Michniacki</x:v>
      </x:c>
      <x:c r="I158" s="0"/>
      <x:c r="J158" t="str" s="2">
        <x:v>Chris Michniacki</x:v>
      </x:c>
      <x:c r="K158" t="n" s="2">
        <x:v>5</x:v>
      </x:c>
      <x:c r="L158" t="str" s="2">
        <x:v>1.1</x:v>
      </x:c>
      <x:c r="M158" t="str" s="2">
        <x:v>Dead</x:v>
      </x:c>
      <x:c r="N158" t="str" s="2">
        <x:v>Deal Created</x:v>
      </x:c>
      <x:c r="O158" s="0"/>
      <x:c r="P158" s="6">
        <x:v>46213</x:v>
      </x:c>
      <x:c r="Q158" s="6">
        <x:v>46213.76821582176</x:v>
      </x:c>
      <x:c r="R158" s="0"/>
      <x:c r="S158" s="0"/>
      <x:c r="T158" s="0"/>
      <x:c r="U158" s="0"/>
      <x:c r="V158" s="0"/>
      <x:c r="W158" s="0"/>
      <x:c r="X158" t="str" s="2">
        <x:v>2297192921</x:v>
      </x:c>
      <x:c r="Y158" t="str" s="2">
        <x:v>HOUSTONSHEA56@GMAIL.COM</x:v>
      </x:c>
      <x:c r="Z158" s="6">
        <x:v>46220.94008533565</x:v>
      </x:c>
      <x:c r="AA158" t="str" s="2">
        <x:v>Chris Michniacki</x:v>
      </x:c>
      <x:c r="AB158" s="6">
        <x:v>46213.768216666664</x:v>
      </x:c>
      <x:c r="AC158" t="n" s="2">
        <x:v>38395</x:v>
      </x:c>
      <x:c r="AD158" s="0"/>
      <x:c r="AE158" s="0"/>
      <x:c r="AF158" s="0"/>
      <x:c r="AG158" s="0"/>
      <x:c r="AH158" s="0"/>
      <x:c r="AI158" s="0"/>
      <x:c r="AJ158" s="0"/>
      <x:c r="AK158" s="0"/>
    </x:row>
    <x:row r="159">
      <x:c r="A159" t="str" s="2">
        <x:f>=HYPERLINK("https://rsms.futurehomex.com/lead/38396", "Amy McCallister")</x:f>
      </x:c>
      <x:c r="B159" t="n" s="2">
        <x:v>95</x:v>
      </x:c>
      <x:c r="C159" t="str" s="2">
        <x:v/>
      </x:c>
      <x:c r="D159" t="str" s="2">
        <x:f>=""</x:f>
      </x:c>
      <x:c r="E159" s="0"/>
      <x:c r="F159" t="str" s="2">
        <x:v>Meta Marketplace</x:v>
      </x:c>
      <x:c r="G159" t="str" s="2">
        <x:v>Heritage Housing of Athens</x:v>
      </x:c>
      <x:c r="H159" t="str" s="2">
        <x:v>Nathan Bishop</x:v>
      </x:c>
      <x:c r="I159" t="str" s="2">
        <x:v>Karol Romero</x:v>
      </x:c>
      <x:c r="J159" t="str" s="2">
        <x:v>Nathan Bishop</x:v>
      </x:c>
      <x:c r="K159" t="n" s="2">
        <x:v>5</x:v>
      </x:c>
      <x:c r="L159" t="str" s="2">
        <x:v>1.1</x:v>
      </x:c>
      <x:c r="M159" t="str" s="2">
        <x:v>Dead</x:v>
      </x:c>
      <x:c r="N159" t="str" s="2">
        <x:v>Deal Created</x:v>
      </x:c>
      <x:c r="O159" s="0"/>
      <x:c r="P159" s="6">
        <x:v>46213</x:v>
      </x:c>
      <x:c r="Q159" s="6">
        <x:v>46213.76876119213</x:v>
      </x:c>
      <x:c r="R159" s="0"/>
      <x:c r="S159" s="0"/>
      <x:c r="T159" s="0"/>
      <x:c r="U159" s="0"/>
      <x:c r="V159" s="0"/>
      <x:c r="W159" s="0"/>
      <x:c r="X159" t="str" s="2">
        <x:v>7066330698</x:v>
      </x:c>
      <x:c r="Y159" t="str" s="2">
        <x:v>7066330698</x:v>
      </x:c>
      <x:c r="Z159" s="6">
        <x:v>46253.619899652775</x:v>
      </x:c>
      <x:c r="AA159" t="str" s="2">
        <x:v>Nathan Bishop</x:v>
      </x:c>
      <x:c r="AB159" s="6">
        <x:v>46213.7687628125</x:v>
      </x:c>
      <x:c r="AC159" t="n" s="2">
        <x:v>38396</x:v>
      </x:c>
      <x:c r="AD159" s="0"/>
      <x:c r="AE159" s="0"/>
      <x:c r="AF159" s="0"/>
      <x:c r="AG159" s="0"/>
      <x:c r="AH159" s="0"/>
      <x:c r="AI159" s="0"/>
      <x:c r="AJ159" s="0"/>
      <x:c r="AK159" s="0"/>
    </x:row>
    <x:row r="160">
      <x:c r="A160" t="str" s="2">
        <x:f>=HYPERLINK("https://rsms.futurehomex.com/lead/38397", "Andrea Crenshaw")</x:f>
      </x:c>
      <x:c r="B160" t="n" s="2">
        <x:v>95</x:v>
      </x:c>
      <x:c r="C160" t="str" s="2">
        <x:v/>
      </x:c>
      <x:c r="D160" t="str" s="2">
        <x:f>=""</x:f>
      </x:c>
      <x:c r="E160" s="0"/>
      <x:c r="F160" t="str" s="2">
        <x:v>Other</x:v>
      </x:c>
      <x:c r="G160" t="str" s="2">
        <x:v>Heritage Housing of Augusta</x:v>
      </x:c>
      <x:c r="H160" t="str" s="2">
        <x:v>Faye Lively</x:v>
      </x:c>
      <x:c r="I160" s="0"/>
      <x:c r="J160" t="str" s="2">
        <x:v>Faye Lively</x:v>
      </x:c>
      <x:c r="K160" t="n" s="2">
        <x:v>5</x:v>
      </x:c>
      <x:c r="L160" t="str" s="2">
        <x:v>1.1</x:v>
      </x:c>
      <x:c r="M160" t="str" s="2">
        <x:v>Tentative</x:v>
      </x:c>
      <x:c r="N160" t="str" s="2">
        <x:v>Deal Created</x:v>
      </x:c>
      <x:c r="O160" s="0"/>
      <x:c r="P160" s="6">
        <x:v>46213</x:v>
      </x:c>
      <x:c r="Q160" s="6">
        <x:v>46213.77966739584</x:v>
      </x:c>
      <x:c r="R160" s="0"/>
      <x:c r="S160" s="0"/>
      <x:c r="T160" s="0"/>
      <x:c r="U160" s="0"/>
      <x:c r="V160" s="0"/>
      <x:c r="W160" s="0"/>
      <x:c r="X160" t="str" s="2">
        <x:v>7069627949</x:v>
      </x:c>
      <x:c r="Y160" t="str" s="2">
        <x:v>7069627949</x:v>
      </x:c>
      <x:c r="Z160" s="0"/>
      <x:c r="AA160" s="0"/>
      <x:c r="AB160" s="6">
        <x:v>46213.77966944445</x:v>
      </x:c>
      <x:c r="AC160" t="n" s="2">
        <x:v>38397</x:v>
      </x:c>
      <x:c r="AD160" s="0"/>
      <x:c r="AE160" s="0"/>
      <x:c r="AF160" s="0"/>
      <x:c r="AG160" s="0"/>
      <x:c r="AH160" s="0"/>
      <x:c r="AI160" s="0"/>
      <x:c r="AJ160" s="0"/>
      <x:c r="AK160" s="0"/>
    </x:row>
    <x:row r="161">
      <x:c r="A161" t="str" s="2">
        <x:f>=HYPERLINK("https://rsms.futurehomex.com/lead/38399", "Alder Martinez")</x:f>
      </x:c>
      <x:c r="B161" t="n" s="2">
        <x:v>95</x:v>
      </x:c>
      <x:c r="C161" t="str" s="2">
        <x:v/>
      </x:c>
      <x:c r="D161" t="str" s="2">
        <x:f>=""</x:f>
      </x:c>
      <x:c r="E161" s="0"/>
      <x:c r="F161" t="str" s="2">
        <x:v>Facebook_repo</x:v>
      </x:c>
      <x:c r="G161" t="str" s="2">
        <x:v>Heritage Housing of Asheboro</x:v>
      </x:c>
      <x:c r="H161" t="str" s="2">
        <x:v>Maria Lopez</x:v>
      </x:c>
      <x:c r="I161" s="0"/>
      <x:c r="J161" t="str" s="2">
        <x:v>Jeremy Jacques</x:v>
      </x:c>
      <x:c r="K161" t="n" s="2">
        <x:v>21</x:v>
      </x:c>
      <x:c r="L161" t="str" s="2">
        <x:v>2.1</x:v>
      </x:c>
      <x:c r="M161" t="str" s="2">
        <x:v>Dead</x:v>
      </x:c>
      <x:c r="N161" t="str" s="2">
        <x:v>Qualified</x:v>
      </x:c>
      <x:c r="O161" s="0"/>
      <x:c r="P161" s="6">
        <x:v>46213</x:v>
      </x:c>
      <x:c r="Q161" s="6">
        <x:v>46216.750503703704</x:v>
      </x:c>
      <x:c r="R161" s="0"/>
      <x:c r="S161" s="6">
        <x:v>46214</x:v>
      </x:c>
      <x:c r="T161" s="0"/>
      <x:c r="U161" s="0"/>
      <x:c r="V161" s="0"/>
      <x:c r="W161" s="0"/>
      <x:c r="X161" t="str" s="2">
        <x:v>3362668480</x:v>
      </x:c>
      <x:c r="Y161" t="str" s="2">
        <x:v>alderflores@icloud.com</x:v>
      </x:c>
      <x:c r="Z161" s="6">
        <x:v>46261.87834568287</x:v>
      </x:c>
      <x:c r="AA161" t="str" s="2">
        <x:v>Maria Lopez</x:v>
      </x:c>
      <x:c r="AB161" s="6">
        <x:v>46213.78237306713</x:v>
      </x:c>
      <x:c r="AC161" t="n" s="2">
        <x:v>38399</x:v>
      </x:c>
      <x:c r="AD161" s="0"/>
      <x:c r="AE161" s="0"/>
      <x:c r="AF161" s="0"/>
      <x:c r="AG161" s="0"/>
      <x:c r="AH161" s="0"/>
      <x:c r="AI161" s="0"/>
      <x:c r="AJ161" s="0"/>
      <x:c r="AK161" s="0"/>
    </x:row>
    <x:row r="162">
      <x:c r="A162" t="str" s="2">
        <x:f>=HYPERLINK("https://rsms.futurehomex.com/lead/38401", "Brittany")</x:f>
      </x:c>
      <x:c r="B162" t="n" s="2">
        <x:v>95</x:v>
      </x:c>
      <x:c r="C162" t="str" s="2">
        <x:v>0/1</x:v>
      </x:c>
      <x:c r="D162" t="str" s="2">
        <x:f>=""</x:f>
      </x:c>
      <x:c r="E162" s="0"/>
      <x:c r="F162" t="str" s="2">
        <x:v>Meta Ads - Messenger</x:v>
      </x:c>
      <x:c r="G162" t="str" s="2">
        <x:v>Heritage Housing of Athens</x:v>
      </x:c>
      <x:c r="H162" t="str" s="2">
        <x:v>Nathan Bishop</x:v>
      </x:c>
      <x:c r="I162" t="str" s="2">
        <x:v>Karol Romero</x:v>
      </x:c>
      <x:c r="J162" t="str" s="2">
        <x:v>Nathan Bishop</x:v>
      </x:c>
      <x:c r="K162" t="n" s="2">
        <x:v>5</x:v>
      </x:c>
      <x:c r="L162" t="str" s="2">
        <x:v>1.1</x:v>
      </x:c>
      <x:c r="M162" t="str" s="2">
        <x:v>Tentative</x:v>
      </x:c>
      <x:c r="N162" t="str" s="2">
        <x:v>Deal Created</x:v>
      </x:c>
      <x:c r="O162" s="0"/>
      <x:c r="P162" s="6">
        <x:v>46213</x:v>
      </x:c>
      <x:c r="Q162" s="6">
        <x:v>46213.82731056713</x:v>
      </x:c>
      <x:c r="R162" s="0"/>
      <x:c r="S162" s="0"/>
      <x:c r="T162" s="0"/>
      <x:c r="U162" s="0"/>
      <x:c r="V162" s="0"/>
      <x:c r="W162" s="0"/>
      <x:c r="X162" t="str" s="2">
        <x:v>7064240451</x:v>
      </x:c>
      <x:c r="Y162" t="str" s="2">
        <x:v>7064240451</x:v>
      </x:c>
      <x:c r="Z162" s="6">
        <x:v>46216.839068368055</x:v>
      </x:c>
      <x:c r="AA162" t="str" s="2">
        <x:v>Nathan Bishop</x:v>
      </x:c>
      <x:c r="AB162" s="6">
        <x:v>46213.7992340625</x:v>
      </x:c>
      <x:c r="AC162" t="n" s="2">
        <x:v>38401</x:v>
      </x:c>
      <x:c r="AD162" s="0"/>
      <x:c r="AE162" s="0"/>
      <x:c r="AF162" s="0"/>
      <x:c r="AG162" s="0"/>
      <x:c r="AH162" s="0"/>
      <x:c r="AI162" s="0"/>
      <x:c r="AJ162" s="0"/>
      <x:c r="AK162" s="0"/>
    </x:row>
    <x:row r="163">
      <x:c r="A163" t="str" s="2">
        <x:f>=HYPERLINK("https://rsms.futurehomex.com/lead/38402", "Brittney Johnson")</x:f>
      </x:c>
      <x:c r="B163" t="n" s="2">
        <x:v>95</x:v>
      </x:c>
      <x:c r="C163" t="str" s="2">
        <x:v/>
      </x:c>
      <x:c r="D163" t="str" s="2">
        <x:f>=""</x:f>
      </x:c>
      <x:c r="E163" s="0"/>
      <x:c r="F163" t="str" s="2">
        <x:v>Walk-in</x:v>
      </x:c>
      <x:c r="G163" t="str" s="2">
        <x:v>Heritage Housing of Augusta</x:v>
      </x:c>
      <x:c r="H163" t="str" s="2">
        <x:v>Faye Lively</x:v>
      </x:c>
      <x:c r="I163" s="0"/>
      <x:c r="J163" t="str" s="2">
        <x:v>Faye Lively</x:v>
      </x:c>
      <x:c r="K163" t="n" s="2">
        <x:v>5</x:v>
      </x:c>
      <x:c r="L163" t="str" s="2">
        <x:v>1.1</x:v>
      </x:c>
      <x:c r="M163" t="str" s="2">
        <x:v>Tentative</x:v>
      </x:c>
      <x:c r="N163" t="str" s="2">
        <x:v>Deal Created</x:v>
      </x:c>
      <x:c r="O163" s="0"/>
      <x:c r="P163" s="6">
        <x:v>46213</x:v>
      </x:c>
      <x:c r="Q163" s="6">
        <x:v>46213.82446701389</x:v>
      </x:c>
      <x:c r="R163" s="0"/>
      <x:c r="S163" s="0"/>
      <x:c r="T163" s="0"/>
      <x:c r="U163" s="0"/>
      <x:c r="V163" s="0"/>
      <x:c r="W163" s="0"/>
      <x:c r="X163" t="str" s="2">
        <x:v>7069937939</x:v>
      </x:c>
      <x:c r="Y163" t="str" s="2">
        <x:v>7069937939</x:v>
      </x:c>
      <x:c r="Z163" s="0"/>
      <x:c r="AA163" s="0"/>
      <x:c r="AB163" s="6">
        <x:v>46213.8244690625</x:v>
      </x:c>
      <x:c r="AC163" t="n" s="2">
        <x:v>38402</x:v>
      </x:c>
      <x:c r="AD163" s="0"/>
      <x:c r="AE163" s="0"/>
      <x:c r="AF163" s="0"/>
      <x:c r="AG163" s="0"/>
      <x:c r="AH163" s="0"/>
      <x:c r="AI163" s="0"/>
      <x:c r="AJ163" s="0"/>
      <x:c r="AK163" s="0"/>
    </x:row>
    <x:row r="164">
      <x:c r="A164" t="str" s="2">
        <x:f>=HYPERLINK("https://rsms.futurehomex.com/lead/38403", "Alejandro Rios")</x:f>
      </x:c>
      <x:c r="B164" t="n" s="2">
        <x:v>95</x:v>
      </x:c>
      <x:c r="C164" t="str" s="2">
        <x:v/>
      </x:c>
      <x:c r="D164" t="str" s="2">
        <x:f>=""</x:f>
      </x:c>
      <x:c r="E164" s="0"/>
      <x:c r="F164" t="str" s="2">
        <x:v>Meta Ads - Messenger</x:v>
      </x:c>
      <x:c r="G164" t="str" s="2">
        <x:v>Heritage Housing of Athens</x:v>
      </x:c>
      <x:c r="H164" t="str" s="2">
        <x:v>Nathan Bishop</x:v>
      </x:c>
      <x:c r="I164" t="str" s="2">
        <x:v>Karol Romero</x:v>
      </x:c>
      <x:c r="J164" t="str" s="2">
        <x:v>Nathan Bishop</x:v>
      </x:c>
      <x:c r="K164" t="n" s="2">
        <x:v>5</x:v>
      </x:c>
      <x:c r="L164" t="str" s="2">
        <x:v>1.1</x:v>
      </x:c>
      <x:c r="M164" t="str" s="2">
        <x:v>Dead</x:v>
      </x:c>
      <x:c r="N164" t="str" s="2">
        <x:v>Deal Created</x:v>
      </x:c>
      <x:c r="O164" s="0"/>
      <x:c r="P164" s="6">
        <x:v>46213</x:v>
      </x:c>
      <x:c r="Q164" s="6">
        <x:v>46213.844192627315</x:v>
      </x:c>
      <x:c r="R164" s="0"/>
      <x:c r="S164" s="0"/>
      <x:c r="T164" s="0"/>
      <x:c r="U164" s="0"/>
      <x:c r="V164" s="0"/>
      <x:c r="W164" s="0"/>
      <x:c r="X164" t="str" s="2">
        <x:v>1234567897</x:v>
      </x:c>
      <x:c r="Y164" t="str" s="2">
        <x:v>1234567897</x:v>
      </x:c>
      <x:c r="Z164" s="6">
        <x:v>46259.60233449074</x:v>
      </x:c>
      <x:c r="AA164" t="str" s="2">
        <x:v>Nathan Bishop</x:v>
      </x:c>
      <x:c r="AB164" s="6">
        <x:v>46213.84419502315</x:v>
      </x:c>
      <x:c r="AC164" t="n" s="2">
        <x:v>38403</x:v>
      </x:c>
      <x:c r="AD164" s="0"/>
      <x:c r="AE164" s="0"/>
      <x:c r="AF164" s="0"/>
      <x:c r="AG164" s="0"/>
      <x:c r="AH164" s="0"/>
      <x:c r="AI164" s="0"/>
      <x:c r="AJ164" s="0"/>
      <x:c r="AK164" s="0"/>
    </x:row>
    <x:row r="165">
      <x:c r="A165" t="str" s="2">
        <x:f>=HYPERLINK("https://rsms.futurehomex.com/lead/38404", "Bradley Humphrey")</x:f>
      </x:c>
      <x:c r="B165" t="n" s="2">
        <x:v>95</x:v>
      </x:c>
      <x:c r="C165" t="str" s="2">
        <x:v/>
      </x:c>
      <x:c r="D165" t="str" s="2">
        <x:f>=""</x:f>
      </x:c>
      <x:c r="E165" s="0"/>
      <x:c r="F165" t="str" s="2">
        <x:v>Walk-in</x:v>
      </x:c>
      <x:c r="G165" t="str" s="2">
        <x:v>Heritage Housing of Asheboro</x:v>
      </x:c>
      <x:c r="H165" t="str" s="2">
        <x:v>Maria Lopez</x:v>
      </x:c>
      <x:c r="I165" s="0"/>
      <x:c r="J165" s="0"/>
      <x:c r="K165" t="n" s="2">
        <x:v>21</x:v>
      </x:c>
      <x:c r="L165" t="str" s="2">
        <x:v>2.1</x:v>
      </x:c>
      <x:c r="M165" t="str" s="2">
        <x:v>Tentative</x:v>
      </x:c>
      <x:c r="N165" t="str" s="2">
        <x:v>Qualified</x:v>
      </x:c>
      <x:c r="O165" s="0"/>
      <x:c r="P165" s="6">
        <x:v>46213</x:v>
      </x:c>
      <x:c r="Q165" s="6">
        <x:v>46216.75152954861</x:v>
      </x:c>
      <x:c r="R165" s="0"/>
      <x:c r="S165" s="0"/>
      <x:c r="T165" s="0"/>
      <x:c r="U165" s="0"/>
      <x:c r="V165" s="0"/>
      <x:c r="W165" s="0"/>
      <x:c r="X165" t="str" s="2">
        <x:v>3363016161</x:v>
      </x:c>
      <x:c r="Y165" t="str" s="2">
        <x:v>bbpbradley@gmail.com</x:v>
      </x:c>
      <x:c r="Z165" s="6">
        <x:v>46216.75151712963</x:v>
      </x:c>
      <x:c r="AA165" t="str" s="2">
        <x:v>Jeremy Jacques</x:v>
      </x:c>
      <x:c r="AB165" s="6">
        <x:v>46213.86174255787</x:v>
      </x:c>
      <x:c r="AC165" t="n" s="2">
        <x:v>38404</x:v>
      </x:c>
      <x:c r="AD165" s="0"/>
      <x:c r="AE165" s="0"/>
      <x:c r="AF165" s="0"/>
      <x:c r="AG165" s="0"/>
      <x:c r="AH165" s="0"/>
      <x:c r="AI165" s="0"/>
      <x:c r="AJ165" s="0"/>
      <x:c r="AK165" s="0"/>
    </x:row>
    <x:row r="166">
      <x:c r="A166" t="str" s="2">
        <x:f>=HYPERLINK("https://rsms.futurehomex.com/lead/38406", "Lynn Neighbors")</x:f>
      </x:c>
      <x:c r="B166" t="n" s="2">
        <x:v>95</x:v>
      </x:c>
      <x:c r="C166" t="str" s="2">
        <x:v>0/6</x:v>
      </x:c>
      <x:c r="D166" t="str" s="2">
        <x:f>=""</x:f>
      </x:c>
      <x:c r="E166" s="0"/>
      <x:c r="F166" t="str" s="2">
        <x:v>Walk-in</x:v>
      </x:c>
      <x:c r="G166" t="str" s="2">
        <x:v>Heritage Housing of Oklahoma City</x:v>
      </x:c>
      <x:c r="H166" t="str" s="2">
        <x:v>Steve Castell</x:v>
      </x:c>
      <x:c r="I166" s="0"/>
      <x:c r="J166" s="0"/>
      <x:c r="K166" t="n" s="2">
        <x:v>100</x:v>
      </x:c>
      <x:c r="L166" t="str" s="2">
        <x:v>6.2</x:v>
      </x:c>
      <x:c r="M166" t="str" s="2">
        <x:v>Closed</x:v>
      </x:c>
      <x:c r="N166" t="str" s="2">
        <x:v>Delivered</x:v>
      </x:c>
      <x:c r="O166" s="6">
        <x:v>46241</x:v>
      </x:c>
      <x:c r="P166" s="6">
        <x:v>46213</x:v>
      </x:c>
      <x:c r="Q166" s="6">
        <x:v>46252.866998460646</x:v>
      </x:c>
      <x:c r="R166" t="str" s="2">
        <x:v>Trey Rixleben</x:v>
      </x:c>
      <x:c r="S166" s="6">
        <x:v>46213</x:v>
      </x:c>
      <x:c r="T166" s="6">
        <x:v>46216</x:v>
      </x:c>
      <x:c r="U166" s="6">
        <x:v>46220</x:v>
      </x:c>
      <x:c r="V166" s="6">
        <x:v>46223</x:v>
      </x:c>
      <x:c r="W166" s="6">
        <x:v>46253</x:v>
      </x:c>
      <x:c r="X166" t="str" s="2">
        <x:v>4056157774</x:v>
      </x:c>
      <x:c r="Y166" t="str" s="2">
        <x:v>htneighbors@gmail.com</x:v>
      </x:c>
      <x:c r="Z166" s="6">
        <x:v>46253.80505740741</x:v>
      </x:c>
      <x:c r="AA166" t="str" s="2">
        <x:v>Wendy Lee Lunn</x:v>
      </x:c>
      <x:c r="AB166" s="6">
        <x:v>46213.89860208333</x:v>
      </x:c>
      <x:c r="AC166" t="n" s="2">
        <x:v>38406</x:v>
      </x:c>
      <x:c r="AD166" t="str" s="2">
        <x:v>Singlewide</x:v>
      </x:c>
      <x:c r="AE166" t="str" s="2">
        <x:v>Legacy Housing Corporation</x:v>
      </x:c>
      <x:c r="AF166" s="0"/>
      <x:c r="AG166" s="7">
        <x:v>7000</x:v>
      </x:c>
      <x:c r="AH166" s="0"/>
      <x:c r="AI166" s="0"/>
      <x:c r="AJ166" s="0"/>
      <x:c r="AK166" t="str" s="6">
        <x:v>2026-08-15</x:v>
      </x:c>
    </x:row>
    <x:row r="167">
      <x:c r="A167" t="str" s="2">
        <x:f>=HYPERLINK("https://rsms.futurehomex.com/lead/38407", "Marco Antonio Segovia Alcudia")</x:f>
      </x:c>
      <x:c r="B167" t="n" s="2">
        <x:v>95</x:v>
      </x:c>
      <x:c r="C167" t="str" s="2">
        <x:v/>
      </x:c>
      <x:c r="D167" t="str" s="2">
        <x:f>=""</x:f>
      </x:c>
      <x:c r="E167" s="0"/>
      <x:c r="F167" t="str" s="2">
        <x:v>Terrenos Houston</x:v>
      </x:c>
      <x:c r="G167" t="str" s="2">
        <x:v>Legacy Housing Corp. DBA Americasa</x:v>
      </x:c>
      <x:c r="H167" t="str" s="2">
        <x:v>Jose Parada</x:v>
      </x:c>
      <x:c r="I167" s="0"/>
      <x:c r="J167" t="str" s="2">
        <x:v>Rodrigo Ramirez</x:v>
      </x:c>
      <x:c r="K167" t="n" s="2">
        <x:v>5</x:v>
      </x:c>
      <x:c r="L167" t="str" s="2">
        <x:v>1.1</x:v>
      </x:c>
      <x:c r="M167" t="str" s="2">
        <x:v>Tentative</x:v>
      </x:c>
      <x:c r="N167" t="str" s="2">
        <x:v>Deal Created</x:v>
      </x:c>
      <x:c r="O167" s="0"/>
      <x:c r="P167" s="6">
        <x:v>46213</x:v>
      </x:c>
      <x:c r="Q167" s="6">
        <x:v>46213.91502508102</x:v>
      </x:c>
      <x:c r="R167" s="0"/>
      <x:c r="S167" s="0"/>
      <x:c r="T167" s="0"/>
      <x:c r="U167" s="0"/>
      <x:c r="V167" s="0"/>
      <x:c r="W167" s="0"/>
      <x:c r="X167" t="str" s="2">
        <x:v>3464258138</x:v>
      </x:c>
      <x:c r="Y167" t="str" s="2">
        <x:v>segovmarcos2@gmail.com</x:v>
      </x:c>
      <x:c r="Z167" s="6">
        <x:v>46213.91551825232</x:v>
      </x:c>
      <x:c r="AA167" t="str" s="2">
        <x:v>Victoria Sanchez</x:v>
      </x:c>
      <x:c r="AB167" s="6">
        <x:v>46213.91502561342</x:v>
      </x:c>
      <x:c r="AC167" t="n" s="2">
        <x:v>38407</x:v>
      </x:c>
      <x:c r="AD167" s="0"/>
      <x:c r="AE167" s="0"/>
      <x:c r="AF167" s="0"/>
      <x:c r="AG167" s="0"/>
      <x:c r="AH167" s="0"/>
      <x:c r="AI167" s="0"/>
      <x:c r="AJ167" s="0"/>
      <x:c r="AK167" s="0"/>
    </x:row>
    <x:row r="168">
      <x:c r="A168" t="str" s="2">
        <x:f>=HYPERLINK("https://rsms.futurehomex.com/lead/38408", "Erik Fosnaught")</x:f>
      </x:c>
      <x:c r="B168" t="n" s="2">
        <x:v>95</x:v>
      </x:c>
      <x:c r="C168" t="str" s="2">
        <x:v/>
      </x:c>
      <x:c r="D168" t="str" s="2">
        <x:f>=""</x:f>
      </x:c>
      <x:c r="E168" s="0"/>
      <x:c r="F168" t="str" s="2">
        <x:v>First Time Home Buyer Campaign</x:v>
      </x:c>
      <x:c r="G168" t="str" s="2">
        <x:v>Heritage Housing Mt Pleasant</x:v>
      </x:c>
      <x:c r="H168" t="str" s="2">
        <x:v>Elias Gallardo</x:v>
      </x:c>
      <x:c r="I168" s="0"/>
      <x:c r="J168" t="str" s="2">
        <x:v>Elias Gallardo</x:v>
      </x:c>
      <x:c r="K168" t="n" s="2">
        <x:v>5</x:v>
      </x:c>
      <x:c r="L168" t="str" s="2">
        <x:v>1.1</x:v>
      </x:c>
      <x:c r="M168" t="str" s="2">
        <x:v>Tentative</x:v>
      </x:c>
      <x:c r="N168" t="str" s="2">
        <x:v>Prospect</x:v>
      </x:c>
      <x:c r="O168" s="0"/>
      <x:c r="P168" s="6">
        <x:v>46213</x:v>
      </x:c>
      <x:c r="Q168" s="6">
        <x:v>46213.93304748843</x:v>
      </x:c>
      <x:c r="R168" s="0"/>
      <x:c r="S168" s="0"/>
      <x:c r="T168" s="0"/>
      <x:c r="U168" s="0"/>
      <x:c r="V168" s="0"/>
      <x:c r="W168" s="0"/>
      <x:c r="X168" t="str" s="2">
        <x:v>+13174600567</x:v>
      </x:c>
      <x:c r="Y168" t="str" s="2">
        <x:v>erikfosnaught@yahoo.com</x:v>
      </x:c>
      <x:c r="Z168" s="0"/>
      <x:c r="AA168" s="0"/>
      <x:c r="AB168" s="6">
        <x:v>46213.933048148145</x:v>
      </x:c>
      <x:c r="AC168" t="n" s="2">
        <x:v>38408</x:v>
      </x:c>
      <x:c r="AD168" s="0"/>
      <x:c r="AE168" s="0"/>
      <x:c r="AF168" s="0"/>
      <x:c r="AG168" s="0"/>
      <x:c r="AH168" s="0"/>
      <x:c r="AI168" s="0"/>
      <x:c r="AJ168" s="0"/>
      <x:c r="AK168" s="0"/>
    </x:row>
    <x:row r="169">
      <x:c r="A169" t="str" s="2">
        <x:f>=HYPERLINK("https://rsms.futurehomex.com/lead/38409", "Jeannie Lott")</x:f>
      </x:c>
      <x:c r="B169" t="n" s="2">
        <x:v>95</x:v>
      </x:c>
      <x:c r="C169" t="str" s="2">
        <x:v>1/5</x:v>
      </x:c>
      <x:c r="D169" t="str" s="2">
        <x:f>=""</x:f>
      </x:c>
      <x:c r="E169" s="0"/>
      <x:c r="F169" t="str" s="2">
        <x:v>Facebook Messenger</x:v>
      </x:c>
      <x:c r="G169" t="str" s="2">
        <x:v>Heritage Housing of Oklahoma City</x:v>
      </x:c>
      <x:c r="H169" t="str" s="2">
        <x:v>Alejandra Calderon</x:v>
      </x:c>
      <x:c r="I169" t="str" s="2">
        <x:v>Karol Romero</x:v>
      </x:c>
      <x:c r="J169" s="0"/>
      <x:c r="K169" t="n" s="2">
        <x:v>5</x:v>
      </x:c>
      <x:c r="L169" t="str" s="2">
        <x:v>1.1</x:v>
      </x:c>
      <x:c r="M169" t="str" s="2">
        <x:v>Tentative</x:v>
      </x:c>
      <x:c r="N169" t="str" s="2">
        <x:v>Deal Created</x:v>
      </x:c>
      <x:c r="O169" s="0"/>
      <x:c r="P169" s="6">
        <x:v>46213</x:v>
      </x:c>
      <x:c r="Q169" s="6">
        <x:v>46213.933994212966</x:v>
      </x:c>
      <x:c r="R169" s="0"/>
      <x:c r="S169" s="0"/>
      <x:c r="T169" s="0"/>
      <x:c r="U169" s="0"/>
      <x:c r="V169" s="0"/>
      <x:c r="W169" s="0"/>
      <x:c r="X169" t="str" s="2">
        <x:v>4055503305</x:v>
      </x:c>
      <x:c r="Y169" t="str" s="2">
        <x:v>theindigogypsy@gmail.com</x:v>
      </x:c>
      <x:c r="Z169" s="6">
        <x:v>46303.96012199074</x:v>
      </x:c>
      <x:c r="AA169" t="str" s="2">
        <x:v>Alejandra Calderon</x:v>
      </x:c>
      <x:c r="AB169" s="6">
        <x:v>46213.93399579861</x:v>
      </x:c>
      <x:c r="AC169" t="n" s="2">
        <x:v>38409</x:v>
      </x:c>
      <x:c r="AD169" s="0"/>
      <x:c r="AE169" s="0"/>
      <x:c r="AF169" s="0"/>
      <x:c r="AG169" s="0"/>
      <x:c r="AH169" s="0"/>
      <x:c r="AI169" s="0"/>
      <x:c r="AJ169" s="0"/>
      <x:c r="AK169" s="0"/>
    </x:row>
    <x:row r="170">
      <x:c r="A170" t="str" s="2">
        <x:f>=HYPERLINK("https://rsms.futurehomex.com/lead/38410", "Elsa Paredis")</x:f>
      </x:c>
      <x:c r="B170" t="n" s="2">
        <x:v>94</x:v>
      </x:c>
      <x:c r="C170" t="str" s="2">
        <x:v/>
      </x:c>
      <x:c r="D170" t="str" s="2">
        <x:f>=""</x:f>
      </x:c>
      <x:c r="E170" s="0"/>
      <x:c r="F170" t="str" s="2">
        <x:v>Walk-in</x:v>
      </x:c>
      <x:c r="G170" t="str" s="2">
        <x:v>Heritage Housing of Tulsa</x:v>
      </x:c>
      <x:c r="H170" t="str" s="2">
        <x:v>Derek Searcy</x:v>
      </x:c>
      <x:c r="I170" t="str" s="2">
        <x:v>Karol Romero</x:v>
      </x:c>
      <x:c r="J170" t="str" s="2">
        <x:v>Jenna Fransisco</x:v>
      </x:c>
      <x:c r="K170" t="n" s="2">
        <x:v>5</x:v>
      </x:c>
      <x:c r="L170" t="str" s="2">
        <x:v>1.1</x:v>
      </x:c>
      <x:c r="M170" t="str" s="2">
        <x:v>Inactive</x:v>
      </x:c>
      <x:c r="N170" t="str" s="2">
        <x:v>Deal Created</x:v>
      </x:c>
      <x:c r="O170" s="0"/>
      <x:c r="P170" s="6">
        <x:v>46214</x:v>
      </x:c>
      <x:c r="Q170" s="6">
        <x:v>46214.610988113425</x:v>
      </x:c>
      <x:c r="R170" s="0"/>
      <x:c r="S170" s="0"/>
      <x:c r="T170" s="0"/>
      <x:c r="U170" s="0"/>
      <x:c r="V170" s="0"/>
      <x:c r="W170" s="0"/>
      <x:c r="X170" t="str" s="2">
        <x:v>9188130564</x:v>
      </x:c>
      <x:c r="Y170" t="str" s="2">
        <x:v>9188130564</x:v>
      </x:c>
      <x:c r="Z170" s="6">
        <x:v>46214.6115065625</x:v>
      </x:c>
      <x:c r="AA170" t="str" s="2">
        <x:v>Brittany Cobb</x:v>
      </x:c>
      <x:c r="AB170" s="6">
        <x:v>46214.61099394676</x:v>
      </x:c>
      <x:c r="AC170" t="n" s="2">
        <x:v>38410</x:v>
      </x:c>
      <x:c r="AD170" s="0"/>
      <x:c r="AE170" s="0"/>
      <x:c r="AF170" s="0"/>
      <x:c r="AG170" s="0"/>
      <x:c r="AH170" s="0"/>
      <x:c r="AI170" s="0"/>
      <x:c r="AJ170" s="0"/>
      <x:c r="AK170" s="0"/>
    </x:row>
    <x:row r="171">
      <x:c r="A171" t="str" s="2">
        <x:f>=HYPERLINK("https://rsms.futurehomex.com/lead/38411", "Sky Clark")</x:f>
      </x:c>
      <x:c r="B171" t="n" s="2">
        <x:v>94</x:v>
      </x:c>
      <x:c r="C171" t="str" s="2">
        <x:v/>
      </x:c>
      <x:c r="D171" t="str" s="2">
        <x:f>=""</x:f>
      </x:c>
      <x:c r="E171" s="0"/>
      <x:c r="F171" t="str" s="2">
        <x:v>Walk-in</x:v>
      </x:c>
      <x:c r="G171" t="str" s="2">
        <x:v>Heritage Housing of Tulsa</x:v>
      </x:c>
      <x:c r="H171" t="str" s="2">
        <x:v>Derek Searcy</x:v>
      </x:c>
      <x:c r="I171" t="str" s="2">
        <x:v>Karol Romero</x:v>
      </x:c>
      <x:c r="J171" t="str" s="2">
        <x:v>Jenna Fransisco</x:v>
      </x:c>
      <x:c r="K171" t="n" s="2">
        <x:v>5</x:v>
      </x:c>
      <x:c r="L171" t="str" s="2">
        <x:v>1.1</x:v>
      </x:c>
      <x:c r="M171" t="str" s="2">
        <x:v>Active</x:v>
      </x:c>
      <x:c r="N171" t="str" s="2">
        <x:v>Deal Created</x:v>
      </x:c>
      <x:c r="O171" s="0"/>
      <x:c r="P171" s="6">
        <x:v>46214</x:v>
      </x:c>
      <x:c r="Q171" s="6">
        <x:v>46214.61328121528</x:v>
      </x:c>
      <x:c r="R171" s="0"/>
      <x:c r="S171" s="0"/>
      <x:c r="T171" s="0"/>
      <x:c r="U171" s="0"/>
      <x:c r="V171" s="0"/>
      <x:c r="W171" s="0"/>
      <x:c r="X171" t="str" s="2">
        <x:v>4059022382</x:v>
      </x:c>
      <x:c r="Y171" t="str" s="2">
        <x:v>4059022382</x:v>
      </x:c>
      <x:c r="Z171" s="6">
        <x:v>46214.61437971065</x:v>
      </x:c>
      <x:c r="AA171" t="str" s="2">
        <x:v>Brittany Cobb</x:v>
      </x:c>
      <x:c r="AB171" s="6">
        <x:v>46214.613283101855</x:v>
      </x:c>
      <x:c r="AC171" t="n" s="2">
        <x:v>38411</x:v>
      </x:c>
      <x:c r="AD171" s="0"/>
      <x:c r="AE171" s="0"/>
      <x:c r="AF171" s="0"/>
      <x:c r="AG171" s="0"/>
      <x:c r="AH171" s="0"/>
      <x:c r="AI171" s="0"/>
      <x:c r="AJ171" s="0"/>
      <x:c r="AK171" s="0"/>
    </x:row>
    <x:row r="172">
      <x:c r="A172" t="str" s="2">
        <x:f>=HYPERLINK("https://rsms.futurehomex.com/lead/38412", "Brad &amp; Gayle Lefler")</x:f>
      </x:c>
      <x:c r="B172" t="n" s="2">
        <x:v>94</x:v>
      </x:c>
      <x:c r="C172" t="str" s="2">
        <x:v/>
      </x:c>
      <x:c r="D172" t="str" s="2">
        <x:f>=""</x:f>
      </x:c>
      <x:c r="E172" s="0"/>
      <x:c r="F172" t="str" s="2">
        <x:v>Facebook Messenger</x:v>
      </x:c>
      <x:c r="G172" t="str" s="2">
        <x:v>Heritage Housing Marble Falls</x:v>
      </x:c>
      <x:c r="H172" t="str" s="2">
        <x:v>Garrett Riedesel</x:v>
      </x:c>
      <x:c r="I172" t="str" s="2">
        <x:v>Karol Romero</x:v>
      </x:c>
      <x:c r="J172" t="str" s="2">
        <x:v>Garrett Riedesel</x:v>
      </x:c>
      <x:c r="K172" t="n" s="2">
        <x:v>5</x:v>
      </x:c>
      <x:c r="L172" t="str" s="2">
        <x:v>1.1</x:v>
      </x:c>
      <x:c r="M172" t="str" s="2">
        <x:v>Active</x:v>
      </x:c>
      <x:c r="N172" t="str" s="2">
        <x:v>Deal Created</x:v>
      </x:c>
      <x:c r="O172" s="0"/>
      <x:c r="P172" s="6">
        <x:v>46214</x:v>
      </x:c>
      <x:c r="Q172" s="6">
        <x:v>46251.5806693287</x:v>
      </x:c>
      <x:c r="R172" s="0"/>
      <x:c r="S172" s="6">
        <x:v>46214</x:v>
      </x:c>
      <x:c r="T172" s="0"/>
      <x:c r="U172" s="0"/>
      <x:c r="V172" s="0"/>
      <x:c r="W172" s="0"/>
      <x:c r="X172" t="str" s="2">
        <x:v>3195724584</x:v>
      </x:c>
      <x:c r="Y172" t="str" s="2">
        <x:v>3195724584</x:v>
      </x:c>
      <x:c r="Z172" s="6">
        <x:v>46218.88120512731</x:v>
      </x:c>
      <x:c r="AA172" t="str" s="2">
        <x:v>Norma Coffey</x:v>
      </x:c>
      <x:c r="AB172" s="6">
        <x:v>46214.62254834491</x:v>
      </x:c>
      <x:c r="AC172" t="n" s="2">
        <x:v>38412</x:v>
      </x:c>
      <x:c r="AD172" s="0"/>
      <x:c r="AE172" s="0"/>
      <x:c r="AF172" s="0"/>
      <x:c r="AG172" s="0"/>
      <x:c r="AH172" s="0"/>
      <x:c r="AI172" s="0"/>
      <x:c r="AJ172" s="0"/>
      <x:c r="AK172" s="0"/>
    </x:row>
    <x:row r="173">
      <x:c r="A173" t="str" s="2">
        <x:f>=HYPERLINK("https://rsms.futurehomex.com/lead/38413", "Coriene Riley")</x:f>
      </x:c>
      <x:c r="B173" t="n" s="2">
        <x:v>94</x:v>
      </x:c>
      <x:c r="C173" t="str" s="2">
        <x:v>0/1</x:v>
      </x:c>
      <x:c r="D173" t="str" s="2">
        <x:f>=""</x:f>
      </x:c>
      <x:c r="E173" s="0"/>
      <x:c r="F173" t="str" s="2">
        <x:v>Walk-in</x:v>
      </x:c>
      <x:c r="G173" t="str" s="2">
        <x:v>Heritage Housing of Oklahoma City</x:v>
      </x:c>
      <x:c r="H173" t="str" s="2">
        <x:v>Trey Rixleben</x:v>
      </x:c>
      <x:c r="I173" t="str" s="2">
        <x:v>Karol Romero</x:v>
      </x:c>
      <x:c r="J173" t="str" s="2">
        <x:v>Trey Rixleben</x:v>
      </x:c>
      <x:c r="K173" t="n" s="2">
        <x:v>5</x:v>
      </x:c>
      <x:c r="L173" t="str" s="2">
        <x:v>1.1</x:v>
      </x:c>
      <x:c r="M173" t="str" s="2">
        <x:v>Dead</x:v>
      </x:c>
      <x:c r="N173" t="str" s="2">
        <x:v>Deal Created</x:v>
      </x:c>
      <x:c r="O173" s="0"/>
      <x:c r="P173" s="6">
        <x:v>46214</x:v>
      </x:c>
      <x:c r="Q173" s="6">
        <x:v>46214.63289039352</x:v>
      </x:c>
      <x:c r="R173" s="0"/>
      <x:c r="S173" s="6">
        <x:v>46213</x:v>
      </x:c>
      <x:c r="T173" s="0"/>
      <x:c r="U173" s="0"/>
      <x:c r="V173" s="0"/>
      <x:c r="W173" s="0"/>
      <x:c r="X173" t="str" s="2">
        <x:v>5806953299</x:v>
      </x:c>
      <x:c r="Y173" t="str" s="2">
        <x:v/>
      </x:c>
      <x:c r="Z173" s="6">
        <x:v>46223.8029275463</x:v>
      </x:c>
      <x:c r="AA173" t="str" s="2">
        <x:v>Trey Rixleben</x:v>
      </x:c>
      <x:c r="AB173" s="6">
        <x:v>46214.63289212963</x:v>
      </x:c>
      <x:c r="AC173" t="n" s="2">
        <x:v>38413</x:v>
      </x:c>
      <x:c r="AD173" s="0"/>
      <x:c r="AE173" s="0"/>
      <x:c r="AF173" s="0"/>
      <x:c r="AG173" s="0"/>
      <x:c r="AH173" s="0"/>
      <x:c r="AI173" s="0"/>
      <x:c r="AJ173" s="0"/>
      <x:c r="AK173" s="0"/>
    </x:row>
    <x:row r="174">
      <x:c r="A174" t="str" s="2">
        <x:f>=HYPERLINK("https://rsms.futurehomex.com/lead/38414", "Naomi Guoch")</x:f>
      </x:c>
      <x:c r="B174" t="n" s="2">
        <x:v>94</x:v>
      </x:c>
      <x:c r="C174" t="str" s="2">
        <x:v>0/2</x:v>
      </x:c>
      <x:c r="D174" t="str" s="2">
        <x:f>=""</x:f>
      </x:c>
      <x:c r="E174" s="0"/>
      <x:c r="F174" t="str" s="2">
        <x:v>Walk-in</x:v>
      </x:c>
      <x:c r="G174" t="str" s="2">
        <x:v>Heritage Housing of Oklahoma City</x:v>
      </x:c>
      <x:c r="H174" t="str" s="2">
        <x:v>Karla Brizuela</x:v>
      </x:c>
      <x:c r="I174" s="0"/>
      <x:c r="J174" t="str" s="2">
        <x:v>Karla Brizuela</x:v>
      </x:c>
      <x:c r="K174" t="n" s="2">
        <x:v>5</x:v>
      </x:c>
      <x:c r="L174" t="str" s="2">
        <x:v>1.1</x:v>
      </x:c>
      <x:c r="M174" t="str" s="2">
        <x:v>Dead</x:v>
      </x:c>
      <x:c r="N174" t="str" s="2">
        <x:v>Deal Created</x:v>
      </x:c>
      <x:c r="O174" s="0"/>
      <x:c r="P174" s="6">
        <x:v>46214</x:v>
      </x:c>
      <x:c r="Q174" s="6">
        <x:v>46214.63401461806</x:v>
      </x:c>
      <x:c r="R174" s="0"/>
      <x:c r="S174" s="6">
        <x:v>46213</x:v>
      </x:c>
      <x:c r="T174" s="0"/>
      <x:c r="U174" s="0"/>
      <x:c r="V174" s="0"/>
      <x:c r="W174" s="0"/>
      <x:c r="X174" t="str" s="2">
        <x:v>4058080595</x:v>
      </x:c>
      <x:c r="Y174" t="str" s="2">
        <x:v>4058080595</x:v>
      </x:c>
      <x:c r="Z174" s="6">
        <x:v>46227.86867164352</x:v>
      </x:c>
      <x:c r="AA174" t="str" s="2">
        <x:v>Karla Brizuela</x:v>
      </x:c>
      <x:c r="AB174" s="6">
        <x:v>46214.63401585648</x:v>
      </x:c>
      <x:c r="AC174" t="n" s="2">
        <x:v>38414</x:v>
      </x:c>
      <x:c r="AD174" s="0"/>
      <x:c r="AE174" s="0"/>
      <x:c r="AF174" s="0"/>
      <x:c r="AG174" s="0"/>
      <x:c r="AH174" s="0"/>
      <x:c r="AI174" s="0"/>
      <x:c r="AJ174" s="0"/>
      <x:c r="AK174" s="0"/>
    </x:row>
    <x:row r="175">
      <x:c r="A175" t="str" s="2">
        <x:f>=HYPERLINK("https://rsms.futurehomex.com/lead/38415", "Onea Nos")</x:f>
      </x:c>
      <x:c r="B175" t="n" s="2">
        <x:v>94</x:v>
      </x:c>
      <x:c r="C175" t="str" s="2">
        <x:v/>
      </x:c>
      <x:c r="D175" t="str" s="2">
        <x:f>=""</x:f>
      </x:c>
      <x:c r="E175" s="0"/>
      <x:c r="F175" t="str" s="2">
        <x:v>META Marketplace</x:v>
      </x:c>
      <x:c r="G175" t="str" s="2">
        <x:v>Heritage Housing Mt Pleasant</x:v>
      </x:c>
      <x:c r="H175" t="str" s="2">
        <x:v>Elias Gallardo</x:v>
      </x:c>
      <x:c r="I175" s="0"/>
      <x:c r="J175" t="str" s="2">
        <x:v>Elias Gallardo</x:v>
      </x:c>
      <x:c r="K175" t="n" s="2">
        <x:v>5</x:v>
      </x:c>
      <x:c r="L175" t="str" s="2">
        <x:v>1.1</x:v>
      </x:c>
      <x:c r="M175" t="str" s="2">
        <x:v>Tentative</x:v>
      </x:c>
      <x:c r="N175" t="str" s="2">
        <x:v>Prospect</x:v>
      </x:c>
      <x:c r="O175" s="0"/>
      <x:c r="P175" s="6">
        <x:v>46214</x:v>
      </x:c>
      <x:c r="Q175" s="6">
        <x:v>46214.638647997686</x:v>
      </x:c>
      <x:c r="R175" s="0"/>
      <x:c r="S175" s="0"/>
      <x:c r="T175" s="0"/>
      <x:c r="U175" s="0"/>
      <x:c r="V175" s="0"/>
      <x:c r="W175" s="0"/>
      <x:c r="X175" t="str" s="2" xml:space="preserve">
        <x:v> 111111111    </x:v>
      </x:c>
      <x:c r="Y175" t="str" s="2">
        <x:v>appleoneaenos@gmail.com</x:v>
      </x:c>
      <x:c r="Z175" s="0"/>
      <x:c r="AA175" s="0"/>
      <x:c r="AB175" s="6">
        <x:v>46215.00076782407</x:v>
      </x:c>
      <x:c r="AC175" t="n" s="2">
        <x:v>38415</x:v>
      </x:c>
      <x:c r="AD175" s="0"/>
      <x:c r="AE175" s="0"/>
      <x:c r="AF175" s="0"/>
      <x:c r="AG175" s="0"/>
      <x:c r="AH175" s="0"/>
      <x:c r="AI175" s="0"/>
      <x:c r="AJ175" s="0"/>
      <x:c r="AK175" s="0"/>
    </x:row>
    <x:row r="176">
      <x:c r="A176" t="str" s="2">
        <x:f>=HYPERLINK("https://rsms.futurehomex.com/lead/38416", "Carl &amp; Kim Doyle")</x:f>
      </x:c>
      <x:c r="B176" t="n" s="2">
        <x:v>94</x:v>
      </x:c>
      <x:c r="C176" t="str" s="2">
        <x:v>0/5</x:v>
      </x:c>
      <x:c r="D176" t="str" s="2">
        <x:f>=""</x:f>
      </x:c>
      <x:c r="E176" s="0"/>
      <x:c r="F176" t="str" s="2">
        <x:v>Facebook Messenger</x:v>
      </x:c>
      <x:c r="G176" t="str" s="2">
        <x:v>Heritage Housing of Oklahoma City</x:v>
      </x:c>
      <x:c r="H176" t="str" s="2">
        <x:v>Steve Castell</x:v>
      </x:c>
      <x:c r="I176" s="0"/>
      <x:c r="J176" t="str" s="2">
        <x:v>Steve Castell</x:v>
      </x:c>
      <x:c r="K176" t="n" s="2">
        <x:v>5</x:v>
      </x:c>
      <x:c r="L176" t="str" s="2">
        <x:v>1.1</x:v>
      </x:c>
      <x:c r="M176" t="str" s="2">
        <x:v>Dead</x:v>
      </x:c>
      <x:c r="N176" t="str" s="2">
        <x:v>Deal Created</x:v>
      </x:c>
      <x:c r="O176" s="0"/>
      <x:c r="P176" s="6">
        <x:v>46214</x:v>
      </x:c>
      <x:c r="Q176" s="6">
        <x:v>46214.65622430555</x:v>
      </x:c>
      <x:c r="R176" s="0"/>
      <x:c r="S176" s="6">
        <x:v>46214</x:v>
      </x:c>
      <x:c r="T176" s="0"/>
      <x:c r="U176" s="0"/>
      <x:c r="V176" s="0"/>
      <x:c r="W176" s="0"/>
      <x:c r="X176" t="str" s="2">
        <x:v>4052054004</x:v>
      </x:c>
      <x:c r="Y176" t="str" s="2">
        <x:v>kdmetalworkco@gmail.com</x:v>
      </x:c>
      <x:c r="Z176" s="6">
        <x:v>46255.548632060185</x:v>
      </x:c>
      <x:c r="AA176" t="str" s="2">
        <x:v>Richard Bell</x:v>
      </x:c>
      <x:c r="AB176" s="6">
        <x:v>46214.656226238425</x:v>
      </x:c>
      <x:c r="AC176" t="n" s="2">
        <x:v>38416</x:v>
      </x:c>
      <x:c r="AD176" s="0"/>
      <x:c r="AE176" s="0"/>
      <x:c r="AF176" s="0"/>
      <x:c r="AG176" s="0"/>
      <x:c r="AH176" s="0"/>
      <x:c r="AI176" s="0"/>
      <x:c r="AJ176" s="0"/>
      <x:c r="AK176" s="0"/>
    </x:row>
    <x:row r="177">
      <x:c r="A177" t="str" s="2">
        <x:f>=HYPERLINK("https://rsms.futurehomex.com/lead/38417", "Gabrieal Mathews")</x:f>
      </x:c>
      <x:c r="B177" t="n" s="2">
        <x:v>94</x:v>
      </x:c>
      <x:c r="C177" t="str" s="2">
        <x:v>0/1</x:v>
      </x:c>
      <x:c r="D177" t="str" s="2">
        <x:f>=""</x:f>
      </x:c>
      <x:c r="E177" s="0"/>
      <x:c r="F177" t="str" s="2">
        <x:v>Facebook Messenger</x:v>
      </x:c>
      <x:c r="G177" t="str" s="2">
        <x:v>Heritage Housing of Albany</x:v>
      </x:c>
      <x:c r="H177" t="str" s="2">
        <x:v>Alexander Bryant</x:v>
      </x:c>
      <x:c r="I177" t="str" s="2">
        <x:v>Karol Romero</x:v>
      </x:c>
      <x:c r="J177" t="str" s="2">
        <x:v>Alexander Bryant</x:v>
      </x:c>
      <x:c r="K177" t="n" s="2">
        <x:v>5</x:v>
      </x:c>
      <x:c r="L177" t="str" s="2">
        <x:v>1.1</x:v>
      </x:c>
      <x:c r="M177" t="str" s="2">
        <x:v>Active</x:v>
      </x:c>
      <x:c r="N177" t="str" s="2">
        <x:v>Deal Created</x:v>
      </x:c>
      <x:c r="O177" s="0"/>
      <x:c r="P177" s="6">
        <x:v>46214</x:v>
      </x:c>
      <x:c r="Q177" s="6">
        <x:v>46282.82567670139</x:v>
      </x:c>
      <x:c r="R177" s="0"/>
      <x:c r="S177" s="6">
        <x:v>46198</x:v>
      </x:c>
      <x:c r="T177" s="0"/>
      <x:c r="U177" s="0"/>
      <x:c r="V177" s="0"/>
      <x:c r="W177" s="0"/>
      <x:c r="X177" t="str" s="2">
        <x:v>9126780542</x:v>
      </x:c>
      <x:c r="Y177" t="str" s="2">
        <x:v>gabriealmatthews@icloud.com</x:v>
      </x:c>
      <x:c r="Z177" s="6">
        <x:v>46288.635955439815</x:v>
      </x:c>
      <x:c r="AA177" t="str" s="2">
        <x:v>Alexander Bryant</x:v>
      </x:c>
      <x:c r="AB177" s="6">
        <x:v>46214.66233634259</x:v>
      </x:c>
      <x:c r="AC177" t="n" s="2">
        <x:v>38417</x:v>
      </x:c>
      <x:c r="AD177" s="0"/>
      <x:c r="AE177" s="0"/>
      <x:c r="AF177" s="0"/>
      <x:c r="AG177" s="0"/>
      <x:c r="AH177" s="0"/>
      <x:c r="AI177" s="0"/>
      <x:c r="AJ177" s="0"/>
      <x:c r="AK177" s="0"/>
    </x:row>
    <x:row r="178">
      <x:c r="A178" t="str" s="2">
        <x:f>=HYPERLINK("https://rsms.futurehomex.com/lead/38419", "Shanice Shipman")</x:f>
      </x:c>
      <x:c r="B178" t="n" s="2">
        <x:v>94</x:v>
      </x:c>
      <x:c r="C178" t="str" s="2">
        <x:v/>
      </x:c>
      <x:c r="D178" t="str" s="2">
        <x:f>=""</x:f>
      </x:c>
      <x:c r="E178" s="0"/>
      <x:c r="F178" t="str" s="2">
        <x:v>Meta Ads - Forms</x:v>
      </x:c>
      <x:c r="G178" t="str" s="2">
        <x:v>Heritage Housing of Augusta</x:v>
      </x:c>
      <x:c r="H178" t="str" s="2">
        <x:v>Faye Lively</x:v>
      </x:c>
      <x:c r="I178" s="0"/>
      <x:c r="J178" s="0"/>
      <x:c r="K178" t="n" s="2">
        <x:v>5</x:v>
      </x:c>
      <x:c r="L178" t="str" s="2">
        <x:v>1.1</x:v>
      </x:c>
      <x:c r="M178" t="str" s="2">
        <x:v>Tentative</x:v>
      </x:c>
      <x:c r="N178" t="str" s="2">
        <x:v>Prospect</x:v>
      </x:c>
      <x:c r="O178" s="0"/>
      <x:c r="P178" s="6">
        <x:v>46214</x:v>
      </x:c>
      <x:c r="Q178" s="6">
        <x:v>46214.68308741898</x:v>
      </x:c>
      <x:c r="R178" s="0"/>
      <x:c r="S178" s="0"/>
      <x:c r="T178" s="0"/>
      <x:c r="U178" s="0"/>
      <x:c r="V178" s="0"/>
      <x:c r="W178" s="0"/>
      <x:c r="X178" t="str" s="2">
        <x:v>7066270190</x:v>
      </x:c>
      <x:c r="Y178" t="str" s="2">
        <x:v>shanice.shipman@yahoo.com</x:v>
      </x:c>
      <x:c r="Z178" s="0"/>
      <x:c r="AA178" s="0"/>
      <x:c r="AB178" s="6">
        <x:v>46214.68308892361</x:v>
      </x:c>
      <x:c r="AC178" t="n" s="2">
        <x:v>38419</x:v>
      </x:c>
      <x:c r="AD178" s="0"/>
      <x:c r="AE178" s="0"/>
      <x:c r="AF178" s="0"/>
      <x:c r="AG178" s="0"/>
      <x:c r="AH178" s="0"/>
      <x:c r="AI178" s="0"/>
      <x:c r="AJ178" s="0"/>
      <x:c r="AK178" s="0"/>
    </x:row>
    <x:row r="179">
      <x:c r="A179" t="str" s="2">
        <x:f>=HYPERLINK("https://rsms.futurehomex.com/lead/38420", "Kathryn Dodson")</x:f>
      </x:c>
      <x:c r="B179" t="n" s="2">
        <x:v>94</x:v>
      </x:c>
      <x:c r="C179" t="str" s="2">
        <x:v>0/2</x:v>
      </x:c>
      <x:c r="D179" t="str" s="2">
        <x:f>=""</x:f>
      </x:c>
      <x:c r="E179" t="str" s="2">
        <x:v>Lisa Dodson</x:v>
      </x:c>
      <x:c r="F179" t="str" s="2">
        <x:v>Walk-in</x:v>
      </x:c>
      <x:c r="G179" t="str" s="2">
        <x:v>Heritage Housing Marble Falls</x:v>
      </x:c>
      <x:c r="H179" t="str" s="2">
        <x:v>Stephen Sanders</x:v>
      </x:c>
      <x:c r="I179" t="str" s="2">
        <x:v>Karol Romero</x:v>
      </x:c>
      <x:c r="J179" s="0"/>
      <x:c r="K179" t="n" s="2">
        <x:v>38</x:v>
      </x:c>
      <x:c r="L179" t="str" s="2">
        <x:v>3.2</x:v>
      </x:c>
      <x:c r="M179" t="str" s="2">
        <x:v>Active</x:v>
      </x:c>
      <x:c r="N179" t="str" s="2">
        <x:v>Application</x:v>
      </x:c>
      <x:c r="O179" s="6">
        <x:v>46356</x:v>
      </x:c>
      <x:c r="P179" s="6">
        <x:v>46214</x:v>
      </x:c>
      <x:c r="Q179" s="6">
        <x:v>46298.68585778935</x:v>
      </x:c>
      <x:c r="R179" s="0"/>
      <x:c r="S179" s="6">
        <x:v>46214</x:v>
      </x:c>
      <x:c r="T179" s="0"/>
      <x:c r="U179" s="0"/>
      <x:c r="V179" s="0"/>
      <x:c r="W179" s="0"/>
      <x:c r="X179" t="str" s="2">
        <x:v>3617792739</x:v>
      </x:c>
      <x:c r="Y179" t="str" s="2">
        <x:v>Kattdodson@yahoo.com</x:v>
      </x:c>
      <x:c r="Z179" s="6">
        <x:v>46296.916136886575</x:v>
      </x:c>
      <x:c r="AA179" t="str" s="2">
        <x:v>Stephen Sanders</x:v>
      </x:c>
      <x:c r="AB179" s="6">
        <x:v>46266.592006018516</x:v>
      </x:c>
      <x:c r="AC179" t="n" s="2">
        <x:v>38420</x:v>
      </x:c>
      <x:c r="AD179" t="str" s="2">
        <x:v>Doublewide</x:v>
      </x:c>
      <x:c r="AE179" t="str" s="2">
        <x:v>Legacy Housing Corporation</x:v>
      </x:c>
      <x:c r="AF179" s="0"/>
      <x:c r="AG179" s="7">
        <x:v>10500</x:v>
      </x:c>
      <x:c r="AH179" s="0"/>
      <x:c r="AI179" s="0"/>
      <x:c r="AJ179" s="0"/>
      <x:c r="AK179" s="0"/>
    </x:row>
    <x:row r="180">
      <x:c r="A180" t="str" s="2">
        <x:f>=HYPERLINK("https://rsms.futurehomex.com/lead/38421", "Justin Evans")</x:f>
      </x:c>
      <x:c r="B180" t="n" s="2">
        <x:v>94</x:v>
      </x:c>
      <x:c r="C180" t="str" s="2">
        <x:v/>
      </x:c>
      <x:c r="D180" t="str" s="2">
        <x:f>=""</x:f>
      </x:c>
      <x:c r="E180" t="str" s="2">
        <x:v>Jessica Hill</x:v>
      </x:c>
      <x:c r="F180" t="str" s="2">
        <x:v>Walk-in</x:v>
      </x:c>
      <x:c r="G180" t="str" s="2">
        <x:v>Heritage Housing of Tulsa</x:v>
      </x:c>
      <x:c r="H180" t="str" s="2">
        <x:v>Jenna Fransisco</x:v>
      </x:c>
      <x:c r="I180" t="str" s="2">
        <x:v>Karol Romero</x:v>
      </x:c>
      <x:c r="J180" t="str" s="2">
        <x:v>Jenna Fransisco</x:v>
      </x:c>
      <x:c r="K180" t="n" s="2">
        <x:v>53</x:v>
      </x:c>
      <x:c r="L180" t="str" s="2">
        <x:v>4.1</x:v>
      </x:c>
      <x:c r="M180" t="str" s="2">
        <x:v>Dead</x:v>
      </x:c>
      <x:c r="N180" t="str" s="2">
        <x:v>Loan Approved</x:v>
      </x:c>
      <x:c r="O180" s="0"/>
      <x:c r="P180" s="6">
        <x:v>46214</x:v>
      </x:c>
      <x:c r="Q180" s="6">
        <x:v>46247.669096909725</x:v>
      </x:c>
      <x:c r="R180" s="0"/>
      <x:c r="S180" s="6">
        <x:v>46214</x:v>
      </x:c>
      <x:c r="T180" s="0"/>
      <x:c r="U180" s="6">
        <x:v>46247</x:v>
      </x:c>
      <x:c r="V180" s="6">
        <x:v>46296</x:v>
      </x:c>
      <x:c r="W180" s="0"/>
      <x:c r="X180" t="str" s="2">
        <x:v>9188453751</x:v>
      </x:c>
      <x:c r="Y180" t="str" s="2">
        <x:v>9188453751</x:v>
      </x:c>
      <x:c r="Z180" s="6">
        <x:v>46247.66930297454</x:v>
      </x:c>
      <x:c r="AA180" t="str" s="2">
        <x:v>Kimberly Needham</x:v>
      </x:c>
      <x:c r="AB180" s="6">
        <x:v>46214.70136373842</x:v>
      </x:c>
      <x:c r="AC180" t="n" s="2">
        <x:v>38421</x:v>
      </x:c>
      <x:c r="AD180" t="str" s="2">
        <x:v>Doublewide</x:v>
      </x:c>
      <x:c r="AE180" t="str" s="2">
        <x:v>21st Mortgage Corporation</x:v>
      </x:c>
      <x:c r="AF180" s="0"/>
      <x:c r="AG180" s="0"/>
      <x:c r="AH180" s="0"/>
      <x:c r="AI180" s="0"/>
      <x:c r="AJ180" s="0"/>
      <x:c r="AK180" s="0"/>
    </x:row>
    <x:row r="181">
      <x:c r="A181" t="str" s="2">
        <x:f>=HYPERLINK("https://rsms.futurehomex.com/lead/38422", "Alex Duffie")</x:f>
      </x:c>
      <x:c r="B181" t="n" s="2">
        <x:v>94</x:v>
      </x:c>
      <x:c r="C181" t="str" s="2">
        <x:v/>
      </x:c>
      <x:c r="D181" t="str" s="2">
        <x:f>=""</x:f>
      </x:c>
      <x:c r="E181" s="0"/>
      <x:c r="F181" t="str" s="2">
        <x:v>Meta Marketplace</x:v>
      </x:c>
      <x:c r="G181" t="str" s="2">
        <x:v>Heritage Housing of Asheboro</x:v>
      </x:c>
      <x:c r="H181" t="str" s="2">
        <x:v>Maria Lopez</x:v>
      </x:c>
      <x:c r="I181" s="0"/>
      <x:c r="J181" s="0"/>
      <x:c r="K181" t="n" s="2">
        <x:v>21</x:v>
      </x:c>
      <x:c r="L181" t="str" s="2">
        <x:v>2.1</x:v>
      </x:c>
      <x:c r="M181" t="str" s="2">
        <x:v>Tentative</x:v>
      </x:c>
      <x:c r="N181" t="str" s="2">
        <x:v>Qualified</x:v>
      </x:c>
      <x:c r="O181" s="0"/>
      <x:c r="P181" s="6">
        <x:v>46214</x:v>
      </x:c>
      <x:c r="Q181" s="6">
        <x:v>46216.74830980324</x:v>
      </x:c>
      <x:c r="R181" s="0"/>
      <x:c r="S181" s="6">
        <x:v>46214</x:v>
      </x:c>
      <x:c r="T181" s="0"/>
      <x:c r="U181" s="0"/>
      <x:c r="V181" s="0"/>
      <x:c r="W181" s="0"/>
      <x:c r="X181" t="str" s="2">
        <x:v>3368943259</x:v>
      </x:c>
      <x:c r="Y181" t="str" s="2">
        <x:v>aduffie222@gmail.com</x:v>
      </x:c>
      <x:c r="Z181" s="6">
        <x:v>46216.74829679398</x:v>
      </x:c>
      <x:c r="AA181" t="str" s="2">
        <x:v>Jeremy Jacques</x:v>
      </x:c>
      <x:c r="AB181" s="6">
        <x:v>46214.70593113426</x:v>
      </x:c>
      <x:c r="AC181" t="n" s="2">
        <x:v>38422</x:v>
      </x:c>
      <x:c r="AD181" s="0"/>
      <x:c r="AE181" s="0"/>
      <x:c r="AF181" s="0"/>
      <x:c r="AG181" s="0"/>
      <x:c r="AH181" s="0"/>
      <x:c r="AI181" s="0"/>
      <x:c r="AJ181" s="0"/>
      <x:c r="AK181" s="0"/>
    </x:row>
    <x:row r="182">
      <x:c r="A182" t="str" s="2">
        <x:f>=HYPERLINK("https://rsms.futurehomex.com/lead/38423", "Robert McBride")</x:f>
      </x:c>
      <x:c r="B182" t="n" s="2">
        <x:v>94</x:v>
      </x:c>
      <x:c r="C182" t="str" s="2">
        <x:v/>
      </x:c>
      <x:c r="D182" t="str" s="2">
        <x:f>=""</x:f>
      </x:c>
      <x:c r="E182" s="0"/>
      <x:c r="F182" t="str" s="2">
        <x:v>Walk-in</x:v>
      </x:c>
      <x:c r="G182" t="str" s="2">
        <x:v>Heritage Housing of Asheboro</x:v>
      </x:c>
      <x:c r="H182" t="str" s="2">
        <x:v>Maria Lopez</x:v>
      </x:c>
      <x:c r="I182" s="0"/>
      <x:c r="J182" s="0"/>
      <x:c r="K182" t="n" s="2">
        <x:v>21</x:v>
      </x:c>
      <x:c r="L182" t="str" s="2">
        <x:v>2.1</x:v>
      </x:c>
      <x:c r="M182" t="str" s="2">
        <x:v>Tentative</x:v>
      </x:c>
      <x:c r="N182" t="str" s="2">
        <x:v>Qualified</x:v>
      </x:c>
      <x:c r="O182" s="0"/>
      <x:c r="P182" s="6">
        <x:v>46214</x:v>
      </x:c>
      <x:c r="Q182" s="6">
        <x:v>46216.74882971065</x:v>
      </x:c>
      <x:c r="R182" s="0"/>
      <x:c r="S182" s="0"/>
      <x:c r="T182" s="0"/>
      <x:c r="U182" s="0"/>
      <x:c r="V182" s="0"/>
      <x:c r="W182" s="0"/>
      <x:c r="X182" t="str" s="2">
        <x:v>3365168749</x:v>
      </x:c>
      <x:c r="Y182" t="str" s="2">
        <x:v>robboogieman@yahoo.com</x:v>
      </x:c>
      <x:c r="Z182" s="6">
        <x:v>46216.74881655093</x:v>
      </x:c>
      <x:c r="AA182" t="str" s="2">
        <x:v>Jeremy Jacques</x:v>
      </x:c>
      <x:c r="AB182" s="6">
        <x:v>46214.710340972226</x:v>
      </x:c>
      <x:c r="AC182" t="n" s="2">
        <x:v>38423</x:v>
      </x:c>
      <x:c r="AD182" s="0"/>
      <x:c r="AE182" s="0"/>
      <x:c r="AF182" s="0"/>
      <x:c r="AG182" s="0"/>
      <x:c r="AH182" s="0"/>
      <x:c r="AI182" s="0"/>
      <x:c r="AJ182" s="0"/>
      <x:c r="AK182" s="0"/>
    </x:row>
    <x:row r="183">
      <x:c r="A183" t="str" s="2">
        <x:f>=HYPERLINK("https://rsms.futurehomex.com/lead/38424", "Kiara Romero")</x:f>
      </x:c>
      <x:c r="B183" t="n" s="2">
        <x:v>94</x:v>
      </x:c>
      <x:c r="C183" t="str" s="2">
        <x:v/>
      </x:c>
      <x:c r="D183" t="str" s="2">
        <x:f>=""</x:f>
      </x:c>
      <x:c r="E183" s="0"/>
      <x:c r="F183" t="str" s="2">
        <x:v>Walk-in</x:v>
      </x:c>
      <x:c r="G183" t="str" s="2">
        <x:v>Heritage Housing of Asheboro</x:v>
      </x:c>
      <x:c r="H183" t="str" s="2">
        <x:v>Maria Lopez</x:v>
      </x:c>
      <x:c r="I183" s="0"/>
      <x:c r="J183" s="0"/>
      <x:c r="K183" t="n" s="2">
        <x:v>21</x:v>
      </x:c>
      <x:c r="L183" t="str" s="2">
        <x:v>2.1</x:v>
      </x:c>
      <x:c r="M183" t="str" s="2">
        <x:v>Dead</x:v>
      </x:c>
      <x:c r="N183" t="str" s="2">
        <x:v>Qualified</x:v>
      </x:c>
      <x:c r="O183" s="0"/>
      <x:c r="P183" s="6">
        <x:v>46214</x:v>
      </x:c>
      <x:c r="Q183" s="6">
        <x:v>46228.837474803244</x:v>
      </x:c>
      <x:c r="R183" s="0"/>
      <x:c r="S183" s="0"/>
      <x:c r="T183" s="0"/>
      <x:c r="U183" s="0"/>
      <x:c r="V183" s="0"/>
      <x:c r="W183" s="0"/>
      <x:c r="X183" t="str" s="2">
        <x:v>3362100480</x:v>
      </x:c>
      <x:c r="Y183" t="str" s="2">
        <x:v>kiarasalgador07@gmail.com</x:v>
      </x:c>
      <x:c r="Z183" s="6">
        <x:v>46261.87777615741</x:v>
      </x:c>
      <x:c r="AA183" t="str" s="2">
        <x:v>Maria Lopez</x:v>
      </x:c>
      <x:c r="AB183" s="6">
        <x:v>46214.710421875</x:v>
      </x:c>
      <x:c r="AC183" t="n" s="2">
        <x:v>38424</x:v>
      </x:c>
      <x:c r="AD183" s="0"/>
      <x:c r="AE183" s="0"/>
      <x:c r="AF183" s="0"/>
      <x:c r="AG183" s="0"/>
      <x:c r="AH183" s="0"/>
      <x:c r="AI183" s="0"/>
      <x:c r="AJ183" s="0"/>
      <x:c r="AK183" s="0"/>
    </x:row>
    <x:row r="184">
      <x:c r="A184" t="str" s="2">
        <x:f>=HYPERLINK("https://rsms.futurehomex.com/lead/38425", "Aaron Stoneboner")</x:f>
      </x:c>
      <x:c r="B184" t="n" s="2">
        <x:v>94</x:v>
      </x:c>
      <x:c r="C184" t="str" s="2">
        <x:v/>
      </x:c>
      <x:c r="D184" t="str" s="2">
        <x:f>=""</x:f>
      </x:c>
      <x:c r="E184" s="0"/>
      <x:c r="F184" t="str" s="2">
        <x:v>Walk-in</x:v>
      </x:c>
      <x:c r="G184" t="str" s="2">
        <x:v>Heritage Housing of Tulsa</x:v>
      </x:c>
      <x:c r="H184" t="str" s="2">
        <x:v>Jenna Fransisco</x:v>
      </x:c>
      <x:c r="I184" s="0"/>
      <x:c r="J184" t="str" s="2">
        <x:v>Jenna Fransisco</x:v>
      </x:c>
      <x:c r="K184" t="n" s="2">
        <x:v>5</x:v>
      </x:c>
      <x:c r="L184" t="str" s="2">
        <x:v>1.1</x:v>
      </x:c>
      <x:c r="M184" t="str" s="2">
        <x:v>Tentative</x:v>
      </x:c>
      <x:c r="N184" t="str" s="2">
        <x:v>Deal Created</x:v>
      </x:c>
      <x:c r="O184" s="0"/>
      <x:c r="P184" s="6">
        <x:v>46214</x:v>
      </x:c>
      <x:c r="Q184" s="6">
        <x:v>46214.71167271991</x:v>
      </x:c>
      <x:c r="R184" s="0"/>
      <x:c r="S184" s="0"/>
      <x:c r="T184" s="0"/>
      <x:c r="U184" s="0"/>
      <x:c r="V184" s="0"/>
      <x:c r="W184" s="0"/>
      <x:c r="X184" t="str" s="2">
        <x:v>5127791631</x:v>
      </x:c>
      <x:c r="Y184" t="str" s="2">
        <x:v>5127791631</x:v>
      </x:c>
      <x:c r="Z184" s="0"/>
      <x:c r="AA184" s="0"/>
      <x:c r="AB184" s="6">
        <x:v>46214.71130952546</x:v>
      </x:c>
      <x:c r="AC184" t="n" s="2">
        <x:v>38425</x:v>
      </x:c>
      <x:c r="AD184" s="0"/>
      <x:c r="AE184" s="0"/>
      <x:c r="AF184" s="0"/>
      <x:c r="AG184" s="0"/>
      <x:c r="AH184" s="0"/>
      <x:c r="AI184" s="0"/>
      <x:c r="AJ184" s="0"/>
      <x:c r="AK184" s="0"/>
    </x:row>
    <x:row r="185">
      <x:c r="A185" t="str" s="2">
        <x:f>=HYPERLINK("https://rsms.futurehomex.com/lead/38426", "Donnett Kelly")</x:f>
      </x:c>
      <x:c r="B185" t="n" s="2">
        <x:v>94</x:v>
      </x:c>
      <x:c r="C185" t="str" s="2">
        <x:v/>
      </x:c>
      <x:c r="D185" t="str" s="2">
        <x:f>=""</x:f>
      </x:c>
      <x:c r="E185" s="0"/>
      <x:c r="F185" t="str" s="2">
        <x:v>Website</x:v>
      </x:c>
      <x:c r="G185" t="str" s="2">
        <x:v>Heritage Housing of Augusta</x:v>
      </x:c>
      <x:c r="H185" t="str" s="2">
        <x:v>Faye Lively</x:v>
      </x:c>
      <x:c r="I185" t="str" s="2">
        <x:v>Karol Romero</x:v>
      </x:c>
      <x:c r="J185" s="0"/>
      <x:c r="K185" t="n" s="2">
        <x:v>38</x:v>
      </x:c>
      <x:c r="L185" t="str" s="2">
        <x:v>3.2</x:v>
      </x:c>
      <x:c r="M185" t="str" s="2">
        <x:v>Active</x:v>
      </x:c>
      <x:c r="N185" t="str" s="2">
        <x:v>Application</x:v>
      </x:c>
      <x:c r="O185" s="0"/>
      <x:c r="P185" s="6">
        <x:v>46214</x:v>
      </x:c>
      <x:c r="Q185" s="6">
        <x:v>46218.685075891204</x:v>
      </x:c>
      <x:c r="R185" s="0"/>
      <x:c r="S185" s="6">
        <x:v>46216</x:v>
      </x:c>
      <x:c r="T185" s="0"/>
      <x:c r="U185" s="0"/>
      <x:c r="V185" s="0"/>
      <x:c r="W185" s="0"/>
      <x:c r="X185" t="str" s="2">
        <x:v>7064662591</x:v>
      </x:c>
      <x:c r="Y185" t="str" s="2">
        <x:v>donnettusry1977@yahoo.com</x:v>
      </x:c>
      <x:c r="Z185" s="6">
        <x:v>46218.68554494213</x:v>
      </x:c>
      <x:c r="AA185" t="str" s="2">
        <x:v>LeeAnne Newsome</x:v>
      </x:c>
      <x:c r="AB185" s="6">
        <x:v>46214.73385193287</x:v>
      </x:c>
      <x:c r="AC185" t="n" s="2">
        <x:v>38426</x:v>
      </x:c>
      <x:c r="AD185" t="str" s="2">
        <x:v>Singlewide</x:v>
      </x:c>
      <x:c r="AE185" s="0"/>
      <x:c r="AF185" s="0"/>
      <x:c r="AG185" s="0"/>
      <x:c r="AH185" s="7">
        <x:v>500</x:v>
      </x:c>
      <x:c r="AI185" s="0"/>
      <x:c r="AJ185" s="0"/>
      <x:c r="AK185" s="0"/>
    </x:row>
    <x:row r="186">
      <x:c r="A186" t="str" s="2">
        <x:f>=HYPERLINK("https://rsms.futurehomex.com/lead/38428", "Nicole Allmondjoy")</x:f>
      </x:c>
      <x:c r="B186" t="n" s="2">
        <x:v>94</x:v>
      </x:c>
      <x:c r="C186" t="str" s="2">
        <x:v/>
      </x:c>
      <x:c r="D186" t="str" s="2">
        <x:f>=""</x:f>
      </x:c>
      <x:c r="E186" s="0"/>
      <x:c r="F186" t="str" s="2">
        <x:v>Walk-in</x:v>
      </x:c>
      <x:c r="G186" t="str" s="2">
        <x:v>Heritage Housing of Augusta</x:v>
      </x:c>
      <x:c r="H186" t="str" s="2">
        <x:v>Faye Lively</x:v>
      </x:c>
      <x:c r="I186" t="str" s="2">
        <x:v>Karol Romero</x:v>
      </x:c>
      <x:c r="J186" t="str" s="2">
        <x:v>Faye Lively</x:v>
      </x:c>
      <x:c r="K186" t="n" s="2">
        <x:v>38</x:v>
      </x:c>
      <x:c r="L186" t="str" s="2">
        <x:v>3.2</x:v>
      </x:c>
      <x:c r="M186" t="str" s="2">
        <x:v>Active</x:v>
      </x:c>
      <x:c r="N186" t="str" s="2">
        <x:v>Application</x:v>
      </x:c>
      <x:c r="O186" s="0"/>
      <x:c r="P186" s="6">
        <x:v>46214</x:v>
      </x:c>
      <x:c r="Q186" s="6">
        <x:v>46218.69544675926</x:v>
      </x:c>
      <x:c r="R186" s="0"/>
      <x:c r="S186" s="0"/>
      <x:c r="T186" s="0"/>
      <x:c r="U186" s="0"/>
      <x:c r="V186" s="0"/>
      <x:c r="W186" s="0"/>
      <x:c r="X186" t="str" s="2">
        <x:v>7049414224</x:v>
      </x:c>
      <x:c r="Y186" t="str" s="2">
        <x:v>nrallmondjoy@gmail.com</x:v>
      </x:c>
      <x:c r="Z186" s="6">
        <x:v>46216.88500732639</x:v>
      </x:c>
      <x:c r="AA186" t="str" s="2">
        <x:v>Brian Amato</x:v>
      </x:c>
      <x:c r="AB186" s="6">
        <x:v>46214.75489293982</x:v>
      </x:c>
      <x:c r="AC186" t="n" s="2">
        <x:v>38428</x:v>
      </x:c>
      <x:c r="AD186" t="str" s="2">
        <x:v>Doublewide</x:v>
      </x:c>
      <x:c r="AE186" s="0"/>
      <x:c r="AF186" s="0"/>
      <x:c r="AG186" s="7">
        <x:v>1000</x:v>
      </x:c>
      <x:c r="AH186" s="7">
        <x:v>500</x:v>
      </x:c>
      <x:c r="AI186" s="0"/>
      <x:c r="AJ186" s="0"/>
      <x:c r="AK186" s="0"/>
    </x:row>
    <x:row r="187">
      <x:c r="A187" t="str" s="2">
        <x:f>=HYPERLINK("https://rsms.futurehomex.com/lead/38429", "Laurell Hester")</x:f>
      </x:c>
      <x:c r="B187" t="n" s="2">
        <x:v>94</x:v>
      </x:c>
      <x:c r="C187" t="str" s="2">
        <x:v>0/2</x:v>
      </x:c>
      <x:c r="D187" t="str" s="2">
        <x:f>=""</x:f>
      </x:c>
      <x:c r="E187" s="0"/>
      <x:c r="F187" t="str" s="2">
        <x:v>HH - Minden</x:v>
      </x:c>
      <x:c r="G187" t="str" s="2">
        <x:v>Heritage Housing of Minden</x:v>
      </x:c>
      <x:c r="H187" t="str" s="2">
        <x:v>Patrick Schuchart</x:v>
      </x:c>
      <x:c r="I187" s="0"/>
      <x:c r="J187" t="str" s="2">
        <x:v>Patrick Schuchart</x:v>
      </x:c>
      <x:c r="K187" t="n" s="2">
        <x:v>34</x:v>
      </x:c>
      <x:c r="L187" t="str" s="2">
        <x:v>2.4</x:v>
      </x:c>
      <x:c r="M187" t="str" s="2">
        <x:v>Inactive</x:v>
      </x:c>
      <x:c r="N187" t="str" s="2">
        <x:v>Deal approval</x:v>
      </x:c>
      <x:c r="O187" s="0"/>
      <x:c r="P187" s="6">
        <x:v>46214</x:v>
      </x:c>
      <x:c r="Q187" s="6">
        <x:v>46214.78681859954</x:v>
      </x:c>
      <x:c r="R187" s="0"/>
      <x:c r="S187" s="6">
        <x:v>46214</x:v>
      </x:c>
      <x:c r="T187" s="0"/>
      <x:c r="U187" s="0"/>
      <x:c r="V187" s="0"/>
      <x:c r="W187" s="0"/>
      <x:c r="X187" t="str" s="2">
        <x:v>3182820056</x:v>
      </x:c>
      <x:c r="Y187" t="str" s="2">
        <x:v>Moses.laurell@yahoo.com</x:v>
      </x:c>
      <x:c r="Z187" s="6">
        <x:v>46294.88929197917</x:v>
      </x:c>
      <x:c r="AA187" t="str" s="2">
        <x:v>Kyla Brown</x:v>
      </x:c>
      <x:c r="AB187" s="6">
        <x:v>46214.764861724536</x:v>
      </x:c>
      <x:c r="AC187" t="n" s="2">
        <x:v>38429</x:v>
      </x:c>
      <x:c r="AD187" t="str" s="2">
        <x:v>Singlewide</x:v>
      </x:c>
      <x:c r="AE187" s="0"/>
      <x:c r="AF187" s="0"/>
      <x:c r="AG187" s="7">
        <x:v>500</x:v>
      </x:c>
      <x:c r="AH187" s="0"/>
      <x:c r="AI187" s="0"/>
      <x:c r="AJ187" s="0"/>
      <x:c r="AK187" s="0"/>
    </x:row>
    <x:row r="188">
      <x:c r="A188" t="str" s="2">
        <x:f>=HYPERLINK("https://rsms.futurehomex.com/lead/38430", "Adonay Yanes")</x:f>
      </x:c>
      <x:c r="B188" t="n" s="2">
        <x:v>94</x:v>
      </x:c>
      <x:c r="C188" t="str" s="2">
        <x:v/>
      </x:c>
      <x:c r="D188" t="str" s="2">
        <x:f>=""</x:f>
      </x:c>
      <x:c r="E188" s="0"/>
      <x:c r="F188" t="str" s="2">
        <x:v>META Marketplace</x:v>
      </x:c>
      <x:c r="G188" t="str" s="2">
        <x:v>Heritage Housing Mt Pleasant</x:v>
      </x:c>
      <x:c r="H188" t="str" s="2">
        <x:v>Sandra Saldana</x:v>
      </x:c>
      <x:c r="I188" s="0"/>
      <x:c r="J188" t="str" s="2">
        <x:v>Sandra Saldana</x:v>
      </x:c>
      <x:c r="K188" t="n" s="2">
        <x:v>5</x:v>
      </x:c>
      <x:c r="L188" t="str" s="2">
        <x:v>1.1</x:v>
      </x:c>
      <x:c r="M188" t="str" s="2">
        <x:v>Tentative</x:v>
      </x:c>
      <x:c r="N188" t="str" s="2">
        <x:v>Deal Created</x:v>
      </x:c>
      <x:c r="O188" s="0"/>
      <x:c r="P188" s="6">
        <x:v>46214</x:v>
      </x:c>
      <x:c r="Q188" s="6">
        <x:v>46214.76529780093</x:v>
      </x:c>
      <x:c r="R188" s="0"/>
      <x:c r="S188" s="0"/>
      <x:c r="T188" s="0"/>
      <x:c r="U188" s="0"/>
      <x:c r="V188" s="0"/>
      <x:c r="W188" s="0"/>
      <x:c r="X188" t="str" s="2">
        <x:v>9033059800</x:v>
      </x:c>
      <x:c r="Y188" t="str" s="2">
        <x:v>9033059800</x:v>
      </x:c>
      <x:c r="Z188" s="6">
        <x:v>46214.99907534722</x:v>
      </x:c>
      <x:c r="AA188" t="str" s="2">
        <x:v>Yarelis Torres</x:v>
      </x:c>
      <x:c r="AB188" s="6">
        <x:v>46214.76529938658</x:v>
      </x:c>
      <x:c r="AC188" t="n" s="2">
        <x:v>38430</x:v>
      </x:c>
      <x:c r="AD188" s="0"/>
      <x:c r="AE188" s="0"/>
      <x:c r="AF188" s="0"/>
      <x:c r="AG188" s="0"/>
      <x:c r="AH188" s="0"/>
      <x:c r="AI188" s="0"/>
      <x:c r="AJ188" s="0"/>
      <x:c r="AK188" s="0"/>
    </x:row>
    <x:row r="189">
      <x:c r="A189" t="str" s="2">
        <x:f>=HYPERLINK("https://rsms.futurehomex.com/lead/38431", "Gary Grant")</x:f>
      </x:c>
      <x:c r="B189" t="n" s="2">
        <x:v>94</x:v>
      </x:c>
      <x:c r="C189" t="str" s="2">
        <x:v>0/2</x:v>
      </x:c>
      <x:c r="D189" t="str" s="2">
        <x:f>=""</x:f>
      </x:c>
      <x:c r="E189" s="0"/>
      <x:c r="F189" t="str" s="2">
        <x:v>Facebook Messenger</x:v>
      </x:c>
      <x:c r="G189" t="str" s="2">
        <x:v>Heritage Housing of Oklahoma City</x:v>
      </x:c>
      <x:c r="H189" t="str" s="2">
        <x:v>Trey Rixleben</x:v>
      </x:c>
      <x:c r="I189" t="str" s="2">
        <x:v>Karol Romero</x:v>
      </x:c>
      <x:c r="J189" t="str" s="2">
        <x:v>Trey Rixleben</x:v>
      </x:c>
      <x:c r="K189" t="n" s="2">
        <x:v>5</x:v>
      </x:c>
      <x:c r="L189" t="str" s="2">
        <x:v>1.1</x:v>
      </x:c>
      <x:c r="M189" t="str" s="2">
        <x:v>Dead</x:v>
      </x:c>
      <x:c r="N189" t="str" s="2">
        <x:v>Deal Created</x:v>
      </x:c>
      <x:c r="O189" s="0"/>
      <x:c r="P189" s="6">
        <x:v>46214</x:v>
      </x:c>
      <x:c r="Q189" s="6">
        <x:v>46214.77008579861</x:v>
      </x:c>
      <x:c r="R189" s="0"/>
      <x:c r="S189" s="0"/>
      <x:c r="T189" s="0"/>
      <x:c r="U189" s="0"/>
      <x:c r="V189" s="0"/>
      <x:c r="W189" s="0"/>
      <x:c r="X189" t="str" s="2">
        <x:v>4055848279</x:v>
      </x:c>
      <x:c r="Y189" t="str" s="2">
        <x:v/>
      </x:c>
      <x:c r="Z189" s="6">
        <x:v>46267.992961724536</x:v>
      </x:c>
      <x:c r="AA189" t="str" s="2">
        <x:v>Trey Rixleben</x:v>
      </x:c>
      <x:c r="AB189" s="6">
        <x:v>46214.7700871875</x:v>
      </x:c>
      <x:c r="AC189" t="n" s="2">
        <x:v>38431</x:v>
      </x:c>
      <x:c r="AD189" s="0"/>
      <x:c r="AE189" s="0"/>
      <x:c r="AF189" s="0"/>
      <x:c r="AG189" s="0"/>
      <x:c r="AH189" s="0"/>
      <x:c r="AI189" s="0"/>
      <x:c r="AJ189" s="0"/>
      <x:c r="AK189" s="0"/>
    </x:row>
    <x:row r="190">
      <x:c r="A190" t="str" s="2">
        <x:f>=HYPERLINK("https://rsms.futurehomex.com/lead/38432", "Caleb Barton")</x:f>
      </x:c>
      <x:c r="B190" t="n" s="2">
        <x:v>94</x:v>
      </x:c>
      <x:c r="C190" t="str" s="2">
        <x:v/>
      </x:c>
      <x:c r="D190" t="str" s="2">
        <x:f>=""</x:f>
      </x:c>
      <x:c r="E190" s="0"/>
      <x:c r="F190" t="str" s="2">
        <x:v>Meta Marketplace</x:v>
      </x:c>
      <x:c r="G190" t="str" s="2">
        <x:v>Heritage Housing of Asheboro</x:v>
      </x:c>
      <x:c r="H190" t="str" s="2">
        <x:v>Maria Lopez</x:v>
      </x:c>
      <x:c r="I190" s="0"/>
      <x:c r="J190" s="0"/>
      <x:c r="K190" t="n" s="2">
        <x:v>21</x:v>
      </x:c>
      <x:c r="L190" t="str" s="2">
        <x:v>2.1</x:v>
      </x:c>
      <x:c r="M190" t="str" s="2">
        <x:v>Tentative</x:v>
      </x:c>
      <x:c r="N190" t="str" s="2">
        <x:v>Qualified</x:v>
      </x:c>
      <x:c r="O190" s="0"/>
      <x:c r="P190" s="6">
        <x:v>46214</x:v>
      </x:c>
      <x:c r="Q190" s="6">
        <x:v>46216.74859413195</x:v>
      </x:c>
      <x:c r="R190" s="0"/>
      <x:c r="S190" s="6">
        <x:v>46214</x:v>
      </x:c>
      <x:c r="T190" s="0"/>
      <x:c r="U190" s="0"/>
      <x:c r="V190" s="0"/>
      <x:c r="W190" s="0"/>
      <x:c r="X190" t="str" s="2">
        <x:v>3365881511</x:v>
      </x:c>
      <x:c r="Y190" t="str" s="2">
        <x:v>shadowraid97@gmail.com</x:v>
      </x:c>
      <x:c r="Z190" s="6">
        <x:v>46216.74858197917</x:v>
      </x:c>
      <x:c r="AA190" t="str" s="2">
        <x:v>Jeremy Jacques</x:v>
      </x:c>
      <x:c r="AB190" s="6">
        <x:v>46214.78422210648</x:v>
      </x:c>
      <x:c r="AC190" t="n" s="2">
        <x:v>38432</x:v>
      </x:c>
      <x:c r="AD190" s="0"/>
      <x:c r="AE190" s="0"/>
      <x:c r="AF190" s="0"/>
      <x:c r="AG190" s="0"/>
      <x:c r="AH190" s="0"/>
      <x:c r="AI190" s="0"/>
      <x:c r="AJ190" s="0"/>
      <x:c r="AK190" s="0"/>
    </x:row>
    <x:row r="191">
      <x:c r="A191" t="str" s="2">
        <x:f>=HYPERLINK("https://rsms.futurehomex.com/lead/38433", "Marquis Wright")</x:f>
      </x:c>
      <x:c r="B191" t="n" s="2">
        <x:v>94</x:v>
      </x:c>
      <x:c r="C191" t="str" s="2">
        <x:v/>
      </x:c>
      <x:c r="D191" t="str" s="2">
        <x:f>=""</x:f>
      </x:c>
      <x:c r="E191" s="0"/>
      <x:c r="F191" t="str" s="2">
        <x:v>Website</x:v>
      </x:c>
      <x:c r="G191" t="str" s="2">
        <x:v>Heritage Housing of Athens</x:v>
      </x:c>
      <x:c r="H191" t="str" s="2">
        <x:v>Nathan Bishop</x:v>
      </x:c>
      <x:c r="I191" t="str" s="2">
        <x:v>Karol Romero</x:v>
      </x:c>
      <x:c r="J191" t="str" s="2">
        <x:v>Nathan Bishop</x:v>
      </x:c>
      <x:c r="K191" t="n" s="2">
        <x:v>5</x:v>
      </x:c>
      <x:c r="L191" t="str" s="2">
        <x:v>1.1</x:v>
      </x:c>
      <x:c r="M191" t="str" s="2">
        <x:v>Tentative</x:v>
      </x:c>
      <x:c r="N191" t="str" s="2">
        <x:v>Deal Created</x:v>
      </x:c>
      <x:c r="O191" s="0"/>
      <x:c r="P191" s="6">
        <x:v>46214</x:v>
      </x:c>
      <x:c r="Q191" s="6">
        <x:v>46214.82447364584</x:v>
      </x:c>
      <x:c r="R191" s="0"/>
      <x:c r="S191" s="0"/>
      <x:c r="T191" s="0"/>
      <x:c r="U191" s="0"/>
      <x:c r="V191" s="0"/>
      <x:c r="W191" s="0"/>
      <x:c r="X191" t="str" s="2">
        <x:v>4793967990</x:v>
      </x:c>
      <x:c r="Y191" t="str" s="2">
        <x:v>4793697990</x:v>
      </x:c>
      <x:c r="Z191" s="0"/>
      <x:c r="AA191" s="0"/>
      <x:c r="AB191" s="6">
        <x:v>46214.82447511574</x:v>
      </x:c>
      <x:c r="AC191" t="n" s="2">
        <x:v>38433</x:v>
      </x:c>
      <x:c r="AD191" s="0"/>
      <x:c r="AE191" s="0"/>
      <x:c r="AF191" s="0"/>
      <x:c r="AG191" s="0"/>
      <x:c r="AH191" s="0"/>
      <x:c r="AI191" s="0"/>
      <x:c r="AJ191" s="0"/>
      <x:c r="AK191" s="0"/>
    </x:row>
    <x:row r="192">
      <x:c r="A192" t="str" s="2">
        <x:f>=HYPERLINK("https://rsms.futurehomex.com/lead/38434", "Jerry Lachman")</x:f>
      </x:c>
      <x:c r="B192" t="n" s="2">
        <x:v>94</x:v>
      </x:c>
      <x:c r="C192" t="str" s="2">
        <x:v>0/1</x:v>
      </x:c>
      <x:c r="D192" t="str" s="2">
        <x:f>=""</x:f>
      </x:c>
      <x:c r="E192" t="str" s="2">
        <x:v>Wanda Lachman</x:v>
      </x:c>
      <x:c r="F192" t="str" s="2">
        <x:v>Walk-in</x:v>
      </x:c>
      <x:c r="G192" t="str" s="2">
        <x:v>Heritage Housing of Oklahoma City</x:v>
      </x:c>
      <x:c r="H192" t="str" s="2">
        <x:v>Eva Misheva</x:v>
      </x:c>
      <x:c r="I192" s="0"/>
      <x:c r="J192" s="0"/>
      <x:c r="K192" t="n" s="2">
        <x:v>38</x:v>
      </x:c>
      <x:c r="L192" t="str" s="2">
        <x:v>3.2</x:v>
      </x:c>
      <x:c r="M192" t="str" s="2">
        <x:v>Dead</x:v>
      </x:c>
      <x:c r="N192" t="str" s="2">
        <x:v>Application</x:v>
      </x:c>
      <x:c r="O192" s="0"/>
      <x:c r="P192" s="6">
        <x:v>46214</x:v>
      </x:c>
      <x:c r="Q192" s="6">
        <x:v>46230.730133020836</x:v>
      </x:c>
      <x:c r="R192" s="0"/>
      <x:c r="S192" s="6">
        <x:v>46214</x:v>
      </x:c>
      <x:c r="T192" s="6">
        <x:v>46230</x:v>
      </x:c>
      <x:c r="U192" s="0"/>
      <x:c r="V192" s="0"/>
      <x:c r="W192" s="0"/>
      <x:c r="X192" t="str" s="2">
        <x:v>4052403763</x:v>
      </x:c>
      <x:c r="Y192" t="str" s="2">
        <x:v>wandamarshall5115@gmail.com</x:v>
      </x:c>
      <x:c r="Z192" s="6">
        <x:v>46266.80831288194</x:v>
      </x:c>
      <x:c r="AA192" t="str" s="2">
        <x:v>Richard Bell</x:v>
      </x:c>
      <x:c r="AB192" s="6">
        <x:v>46214.82492774306</x:v>
      </x:c>
      <x:c r="AC192" t="n" s="2">
        <x:v>38434</x:v>
      </x:c>
      <x:c r="AD192" s="0"/>
      <x:c r="AE192" s="0"/>
      <x:c r="AF192" s="0"/>
      <x:c r="AG192" s="7">
        <x:v>10000</x:v>
      </x:c>
      <x:c r="AH192" s="0"/>
      <x:c r="AI192" t="str" s="2">
        <x:v>585</x:v>
      </x:c>
      <x:c r="AJ192" s="0"/>
      <x:c r="AK192" s="0"/>
    </x:row>
    <x:row r="193">
      <x:c r="A193" t="str" s="2">
        <x:f>=HYPERLINK("https://rsms.futurehomex.com/lead/38435", "Melvin Green")</x:f>
      </x:c>
      <x:c r="B193" t="n" s="2">
        <x:v>94</x:v>
      </x:c>
      <x:c r="C193" t="str" s="2">
        <x:v/>
      </x:c>
      <x:c r="D193" t="str" s="2">
        <x:f>=""</x:f>
      </x:c>
      <x:c r="E193" s="0"/>
      <x:c r="F193" t="str" s="2">
        <x:v>Walk-in</x:v>
      </x:c>
      <x:c r="G193" t="str" s="2">
        <x:v>Heritage Housing of Augusta</x:v>
      </x:c>
      <x:c r="H193" t="str" s="2">
        <x:v>Faye Lively</x:v>
      </x:c>
      <x:c r="I193" s="0"/>
      <x:c r="J193" t="str" s="2">
        <x:v>Faye Lively</x:v>
      </x:c>
      <x:c r="K193" t="n" s="2">
        <x:v>5</x:v>
      </x:c>
      <x:c r="L193" t="str" s="2">
        <x:v>1.1</x:v>
      </x:c>
      <x:c r="M193" t="str" s="2">
        <x:v>Tentative</x:v>
      </x:c>
      <x:c r="N193" t="str" s="2">
        <x:v>Deal Created</x:v>
      </x:c>
      <x:c r="O193" s="0"/>
      <x:c r="P193" s="6">
        <x:v>46214</x:v>
      </x:c>
      <x:c r="Q193" s="6">
        <x:v>46214.82874733796</x:v>
      </x:c>
      <x:c r="R193" s="0"/>
      <x:c r="S193" s="0"/>
      <x:c r="T193" s="0"/>
      <x:c r="U193" s="0"/>
      <x:c r="V193" s="0"/>
      <x:c r="W193" s="0"/>
      <x:c r="X193" t="str" s="2">
        <x:v>7062850586</x:v>
      </x:c>
      <x:c r="Y193" t="str" s="2">
        <x:v>feevag@gmail.com</x:v>
      </x:c>
      <x:c r="Z193" s="6">
        <x:v>46214.82939097222</x:v>
      </x:c>
      <x:c r="AA193" t="str" s="2">
        <x:v>Kyara Casanova</x:v>
      </x:c>
      <x:c r="AB193" s="6">
        <x:v>46214.82874892361</x:v>
      </x:c>
      <x:c r="AC193" t="n" s="2">
        <x:v>38435</x:v>
      </x:c>
      <x:c r="AD193" s="0"/>
      <x:c r="AE193" s="0"/>
      <x:c r="AF193" s="0"/>
      <x:c r="AG193" s="0"/>
      <x:c r="AH193" s="0"/>
      <x:c r="AI193" s="0"/>
      <x:c r="AJ193" s="0"/>
      <x:c r="AK193" s="0"/>
    </x:row>
    <x:row r="194">
      <x:c r="A194" t="str" s="2">
        <x:f>=HYPERLINK("https://rsms.futurehomex.com/lead/38436", "Amanda &amp; DS (Donald) Stewart")</x:f>
      </x:c>
      <x:c r="B194" t="n" s="2">
        <x:v>94</x:v>
      </x:c>
      <x:c r="C194" t="str" s="2">
        <x:v>1/1</x:v>
      </x:c>
      <x:c r="D194" t="str" s="2">
        <x:f>=""</x:f>
      </x:c>
      <x:c r="E194" s="0"/>
      <x:c r="F194" t="str" s="2">
        <x:v>Facebook Messenger</x:v>
      </x:c>
      <x:c r="G194" t="str" s="2">
        <x:v>Heritage Housing of Oklahoma City</x:v>
      </x:c>
      <x:c r="H194" t="str" s="2">
        <x:v>Eva Misheva</x:v>
      </x:c>
      <x:c r="I194" s="0"/>
      <x:c r="J194" s="0"/>
      <x:c r="K194" t="n" s="2">
        <x:v>5</x:v>
      </x:c>
      <x:c r="L194" t="str" s="2">
        <x:v>1.1</x:v>
      </x:c>
      <x:c r="M194" t="str" s="2">
        <x:v>Tentative</x:v>
      </x:c>
      <x:c r="N194" t="str" s="2">
        <x:v>Prospect</x:v>
      </x:c>
      <x:c r="O194" s="0"/>
      <x:c r="P194" s="6">
        <x:v>46214</x:v>
      </x:c>
      <x:c r="Q194" s="6">
        <x:v>46214.831015393516</x:v>
      </x:c>
      <x:c r="R194" s="0"/>
      <x:c r="S194" s="6">
        <x:v>46214</x:v>
      </x:c>
      <x:c r="T194" s="0"/>
      <x:c r="U194" s="0"/>
      <x:c r="V194" s="0"/>
      <x:c r="W194" s="0"/>
      <x:c r="X194" t="str" s="2">
        <x:v>4056552295</x:v>
      </x:c>
      <x:c r="Y194" t="str" s="2">
        <x:v>4056552295</x:v>
      </x:c>
      <x:c r="Z194" s="6">
        <x:v>46271.798732372685</x:v>
      </x:c>
      <x:c r="AA194" t="str" s="2">
        <x:v>Eva Misheva</x:v>
      </x:c>
      <x:c r="AB194" s="6">
        <x:v>46214.83101721065</x:v>
      </x:c>
      <x:c r="AC194" t="n" s="2">
        <x:v>38436</x:v>
      </x:c>
      <x:c r="AD194" s="0"/>
      <x:c r="AE194" s="0"/>
      <x:c r="AF194" s="0"/>
      <x:c r="AG194" s="0"/>
      <x:c r="AH194" s="0"/>
      <x:c r="AI194" s="0"/>
      <x:c r="AJ194" s="0"/>
      <x:c r="AK194" s="0"/>
    </x:row>
    <x:row r="195">
      <x:c r="A195" t="str" s="2">
        <x:f>=HYPERLINK("https://rsms.futurehomex.com/lead/38437", "Jasmine Young")</x:f>
      </x:c>
      <x:c r="B195" t="n" s="2">
        <x:v>94</x:v>
      </x:c>
      <x:c r="C195" t="str" s="2">
        <x:v/>
      </x:c>
      <x:c r="D195" t="str" s="2">
        <x:f>=""</x:f>
      </x:c>
      <x:c r="E195" s="0"/>
      <x:c r="F195" t="str" s="2">
        <x:v>Walk-in</x:v>
      </x:c>
      <x:c r="G195" t="str" s="2">
        <x:v>Heritage Housing of Augusta</x:v>
      </x:c>
      <x:c r="H195" t="str" s="2">
        <x:v>Faye Lively</x:v>
      </x:c>
      <x:c r="I195" s="0"/>
      <x:c r="J195" t="str" s="2">
        <x:v>Faye Lively</x:v>
      </x:c>
      <x:c r="K195" t="n" s="2">
        <x:v>5</x:v>
      </x:c>
      <x:c r="L195" t="str" s="2">
        <x:v>1.1</x:v>
      </x:c>
      <x:c r="M195" t="str" s="2">
        <x:v>Tentative</x:v>
      </x:c>
      <x:c r="N195" t="str" s="2">
        <x:v>Deal Created</x:v>
      </x:c>
      <x:c r="O195" s="0"/>
      <x:c r="P195" s="6">
        <x:v>46214</x:v>
      </x:c>
      <x:c r="Q195" s="6">
        <x:v>46214.83693255787</x:v>
      </x:c>
      <x:c r="R195" s="0"/>
      <x:c r="S195" s="0"/>
      <x:c r="T195" s="0"/>
      <x:c r="U195" s="0"/>
      <x:c r="V195" s="0"/>
      <x:c r="W195" s="0"/>
      <x:c r="X195" t="str" s="2">
        <x:v>7063942167</x:v>
      </x:c>
      <x:c r="Y195" t="str" s="2">
        <x:v>7063942167</x:v>
      </x:c>
      <x:c r="Z195" s="6">
        <x:v>46214.837918715275</x:v>
      </x:c>
      <x:c r="AA195" t="str" s="2">
        <x:v>Kyara Casanova</x:v>
      </x:c>
      <x:c r="AB195" s="6">
        <x:v>46214.83693387731</x:v>
      </x:c>
      <x:c r="AC195" t="n" s="2">
        <x:v>38437</x:v>
      </x:c>
      <x:c r="AD195" s="0"/>
      <x:c r="AE195" s="0"/>
      <x:c r="AF195" s="0"/>
      <x:c r="AG195" s="0"/>
      <x:c r="AH195" s="0"/>
      <x:c r="AI195" s="0"/>
      <x:c r="AJ195" s="0"/>
      <x:c r="AK195" s="0"/>
    </x:row>
    <x:row r="196">
      <x:c r="A196" t="str" s="2">
        <x:f>=HYPERLINK("https://rsms.futurehomex.com/lead/38438", "Lakinda Unknown")</x:f>
      </x:c>
      <x:c r="B196" t="n" s="2">
        <x:v>94</x:v>
      </x:c>
      <x:c r="C196" t="str" s="2">
        <x:v/>
      </x:c>
      <x:c r="D196" t="str" s="2">
        <x:f>=""</x:f>
      </x:c>
      <x:c r="E196" s="0"/>
      <x:c r="F196" t="str" s="2">
        <x:v>Walk-in</x:v>
      </x:c>
      <x:c r="G196" t="str" s="2">
        <x:v>Heritage Housing of Augusta</x:v>
      </x:c>
      <x:c r="H196" t="str" s="2">
        <x:v>Kyara Casanova</x:v>
      </x:c>
      <x:c r="I196" s="0"/>
      <x:c r="J196" t="str" s="2">
        <x:v>Kyara Casanova</x:v>
      </x:c>
      <x:c r="K196" t="n" s="2">
        <x:v>5</x:v>
      </x:c>
      <x:c r="L196" t="str" s="2">
        <x:v>1.1</x:v>
      </x:c>
      <x:c r="M196" t="str" s="2">
        <x:v>Dead</x:v>
      </x:c>
      <x:c r="N196" t="str" s="2">
        <x:v>Deal Created</x:v>
      </x:c>
      <x:c r="O196" s="0"/>
      <x:c r="P196" s="6">
        <x:v>46214</x:v>
      </x:c>
      <x:c r="Q196" s="6">
        <x:v>46214.839696296294</x:v>
      </x:c>
      <x:c r="R196" s="0"/>
      <x:c r="S196" s="0"/>
      <x:c r="T196" s="0"/>
      <x:c r="U196" s="0"/>
      <x:c r="V196" s="0"/>
      <x:c r="W196" s="0"/>
      <x:c r="X196" t="str" s="2">
        <x:v>8034390441</x:v>
      </x:c>
      <x:c r="Y196" t="str" s="2">
        <x:v>8034390441</x:v>
      </x:c>
      <x:c r="Z196" s="0"/>
      <x:c r="AA196" s="0"/>
      <x:c r="AB196" s="6">
        <x:v>46214.83969760417</x:v>
      </x:c>
      <x:c r="AC196" t="n" s="2">
        <x:v>38438</x:v>
      </x:c>
      <x:c r="AD196" s="0"/>
      <x:c r="AE196" s="0"/>
      <x:c r="AF196" s="0"/>
      <x:c r="AG196" s="0"/>
      <x:c r="AH196" s="0"/>
      <x:c r="AI196" s="0"/>
      <x:c r="AJ196" s="0"/>
      <x:c r="AK196" s="0"/>
    </x:row>
    <x:row r="197">
      <x:c r="A197" t="str" s="2">
        <x:f>=HYPERLINK("https://rsms.futurehomex.com/lead/38442", "Alicia Harring")</x:f>
      </x:c>
      <x:c r="B197" t="n" s="2">
        <x:v>94</x:v>
      </x:c>
      <x:c r="C197" t="str" s="2">
        <x:v/>
      </x:c>
      <x:c r="D197" t="str" s="2">
        <x:f>=""</x:f>
      </x:c>
      <x:c r="E197" s="0"/>
      <x:c r="F197" t="str" s="2">
        <x:v>Financing Form</x:v>
      </x:c>
      <x:c r="G197" t="str" s="2">
        <x:v>Heritage Housing of Tulsa</x:v>
      </x:c>
      <x:c r="H197" t="str" s="2">
        <x:v>Derek Searcy</x:v>
      </x:c>
      <x:c r="I197" s="0"/>
      <x:c r="J197" t="str" s="2">
        <x:v>Jenna Fransisco</x:v>
      </x:c>
      <x:c r="K197" t="n" s="2">
        <x:v>5</x:v>
      </x:c>
      <x:c r="L197" t="str" s="2">
        <x:v>1.1</x:v>
      </x:c>
      <x:c r="M197" t="str" s="2">
        <x:v>Inactive</x:v>
      </x:c>
      <x:c r="N197" t="str" s="2">
        <x:v>Prospect</x:v>
      </x:c>
      <x:c r="O197" s="0"/>
      <x:c r="P197" s="6">
        <x:v>46214</x:v>
      </x:c>
      <x:c r="Q197" s="6">
        <x:v>46214.89798584491</x:v>
      </x:c>
      <x:c r="R197" s="0"/>
      <x:c r="S197" s="0"/>
      <x:c r="T197" s="0"/>
      <x:c r="U197" s="0"/>
      <x:c r="V197" s="0"/>
      <x:c r="W197" s="0"/>
      <x:c r="X197" t="str" s="2">
        <x:v>5393079225</x:v>
      </x:c>
      <x:c r="Y197" t="str" s="2">
        <x:v>aliciaharring1999@gmail.com</x:v>
      </x:c>
      <x:c r="Z197" s="6">
        <x:v>46223.686802048614</x:v>
      </x:c>
      <x:c r="AA197" t="str" s="2">
        <x:v>Brittany Cobb</x:v>
      </x:c>
      <x:c r="AB197" s="6">
        <x:v>46214.89798622685</x:v>
      </x:c>
      <x:c r="AC197" t="n" s="2">
        <x:v>38442</x:v>
      </x:c>
      <x:c r="AD197" s="0"/>
      <x:c r="AE197" s="0"/>
      <x:c r="AF197" s="0"/>
      <x:c r="AG197" s="0"/>
      <x:c r="AH197" s="0"/>
      <x:c r="AI197" s="0"/>
      <x:c r="AJ197" s="0"/>
      <x:c r="AK197" s="0"/>
    </x:row>
    <x:row r="198">
      <x:c r="A198" t="str" s="2">
        <x:f>=HYPERLINK("https://rsms.futurehomex.com/lead/38443", "Manny Soto")</x:f>
      </x:c>
      <x:c r="B198" t="n" s="2">
        <x:v>94</x:v>
      </x:c>
      <x:c r="C198" t="str" s="2">
        <x:v>1/5</x:v>
      </x:c>
      <x:c r="D198" t="str" s="2">
        <x:f>=""</x:f>
      </x:c>
      <x:c r="E198" s="0"/>
      <x:c r="F198" t="str" s="2">
        <x:v>Walk-in</x:v>
      </x:c>
      <x:c r="G198" t="str" s="2">
        <x:v>Heritage Housing of Oklahoma City</x:v>
      </x:c>
      <x:c r="H198" t="str" s="2">
        <x:v>Alejandra Calderon</x:v>
      </x:c>
      <x:c r="I198" s="0"/>
      <x:c r="J198" t="str" s="2">
        <x:v>Steve Castell</x:v>
      </x:c>
      <x:c r="K198" t="n" s="2">
        <x:v>5</x:v>
      </x:c>
      <x:c r="L198" t="str" s="2">
        <x:v>1.1</x:v>
      </x:c>
      <x:c r="M198" t="str" s="2">
        <x:v>Tentative</x:v>
      </x:c>
      <x:c r="N198" t="str" s="2">
        <x:v>Deal Created</x:v>
      </x:c>
      <x:c r="O198" s="0"/>
      <x:c r="P198" s="6">
        <x:v>46214</x:v>
      </x:c>
      <x:c r="Q198" s="6">
        <x:v>46214.900474918984</x:v>
      </x:c>
      <x:c r="R198" s="0"/>
      <x:c r="S198" s="6">
        <x:v>46214</x:v>
      </x:c>
      <x:c r="T198" s="0"/>
      <x:c r="U198" s="0"/>
      <x:c r="V198" s="0"/>
      <x:c r="W198" s="0"/>
      <x:c r="X198" t="str" s="2">
        <x:v>4058864945</x:v>
      </x:c>
      <x:c r="Y198" t="str" s="2">
        <x:v>4058864945</x:v>
      </x:c>
      <x:c r="Z198" s="6">
        <x:v>46296.96298364583</x:v>
      </x:c>
      <x:c r="AA198" t="str" s="2">
        <x:v>Alejandra Calderon</x:v>
      </x:c>
      <x:c r="AB198" s="6">
        <x:v>46214.90047673611</x:v>
      </x:c>
      <x:c r="AC198" t="n" s="2">
        <x:v>38443</x:v>
      </x:c>
      <x:c r="AD198" s="0"/>
      <x:c r="AE198" s="0"/>
      <x:c r="AF198" s="0"/>
      <x:c r="AG198" s="0"/>
      <x:c r="AH198" s="0"/>
      <x:c r="AI198" s="0"/>
      <x:c r="AJ198" s="0"/>
      <x:c r="AK198" s="0"/>
    </x:row>
    <x:row r="199">
      <x:c r="A199" t="str" s="2">
        <x:f>=HYPERLINK("https://rsms.futurehomex.com/lead/38444", "Arturo Zermeno")</x:f>
      </x:c>
      <x:c r="B199" t="n" s="2">
        <x:v>94</x:v>
      </x:c>
      <x:c r="C199" t="str" s="2">
        <x:v>0/1</x:v>
      </x:c>
      <x:c r="D199" t="str" s="2">
        <x:f>=""</x:f>
      </x:c>
      <x:c r="E199" s="0"/>
      <x:c r="F199" t="str" s="2">
        <x:v>HH - Oklahoma City</x:v>
      </x:c>
      <x:c r="G199" t="str" s="2">
        <x:v>Heritage Housing of Oklahoma City</x:v>
      </x:c>
      <x:c r="H199" t="str" s="2">
        <x:v>Karla Brizuela</x:v>
      </x:c>
      <x:c r="I199" t="str" s="2">
        <x:v>Karol Romero</x:v>
      </x:c>
      <x:c r="J199" s="0"/>
      <x:c r="K199" t="n" s="2">
        <x:v>5</x:v>
      </x:c>
      <x:c r="L199" t="str" s="2">
        <x:v>1.1</x:v>
      </x:c>
      <x:c r="M199" t="str" s="2">
        <x:v>Dead</x:v>
      </x:c>
      <x:c r="N199" t="str" s="2">
        <x:v>Prospect</x:v>
      </x:c>
      <x:c r="O199" s="0"/>
      <x:c r="P199" s="6">
        <x:v>46214</x:v>
      </x:c>
      <x:c r="Q199" s="6">
        <x:v>46214.92410856482</x:v>
      </x:c>
      <x:c r="R199" s="0"/>
      <x:c r="S199" s="0"/>
      <x:c r="T199" s="0"/>
      <x:c r="U199" s="0"/>
      <x:c r="V199" s="0"/>
      <x:c r="W199" s="0"/>
      <x:c r="X199" t="str" s="2">
        <x:v>8062288747</x:v>
      </x:c>
      <x:c r="Y199" t="str" s="2">
        <x:v>zermenoarturo2211@gmail.com</x:v>
      </x:c>
      <x:c r="Z199" s="6">
        <x:v>46216.80109695602</x:v>
      </x:c>
      <x:c r="AA199" t="str" s="2">
        <x:v>Karla Brizuela</x:v>
      </x:c>
      <x:c r="AB199" s="6">
        <x:v>46214.92410960648</x:v>
      </x:c>
      <x:c r="AC199" t="n" s="2">
        <x:v>38444</x:v>
      </x:c>
      <x:c r="AD199" s="0"/>
      <x:c r="AE199" s="0"/>
      <x:c r="AF199" s="0"/>
      <x:c r="AG199" s="0"/>
      <x:c r="AH199" s="0"/>
      <x:c r="AI199" s="0"/>
      <x:c r="AJ199" s="0"/>
      <x:c r="AK199" s="0"/>
    </x:row>
    <x:row r="200">
      <x:c r="A200" t="str" s="2">
        <x:f>=HYPERLINK("https://rsms.futurehomex.com/lead/38445", "Kayla Soriano")</x:f>
      </x:c>
      <x:c r="B200" t="n" s="2">
        <x:v>93</x:v>
      </x:c>
      <x:c r="C200" t="str" s="2">
        <x:v/>
      </x:c>
      <x:c r="D200" t="str" s="2">
        <x:f>=""</x:f>
      </x:c>
      <x:c r="E200" s="0"/>
      <x:c r="F200" t="str" s="2">
        <x:v>META Marketplace</x:v>
      </x:c>
      <x:c r="G200" t="str" s="2">
        <x:v>Heritage Housing Mt Pleasant</x:v>
      </x:c>
      <x:c r="H200" t="str" s="2">
        <x:v>Yarelis Torres</x:v>
      </x:c>
      <x:c r="I200" s="0"/>
      <x:c r="J200" t="str" s="2">
        <x:v>Yarelis Torres</x:v>
      </x:c>
      <x:c r="K200" t="n" s="2">
        <x:v>5</x:v>
      </x:c>
      <x:c r="L200" t="str" s="2">
        <x:v>1.1</x:v>
      </x:c>
      <x:c r="M200" t="str" s="2">
        <x:v>Tentative</x:v>
      </x:c>
      <x:c r="N200" t="str" s="2">
        <x:v>Deal Created</x:v>
      </x:c>
      <x:c r="O200" s="0"/>
      <x:c r="P200" s="6">
        <x:v>46215</x:v>
      </x:c>
      <x:c r="Q200" s="6">
        <x:v>46215.012780289355</x:v>
      </x:c>
      <x:c r="R200" s="0"/>
      <x:c r="S200" s="0"/>
      <x:c r="T200" s="0"/>
      <x:c r="U200" s="0"/>
      <x:c r="V200" s="0"/>
      <x:c r="W200" s="0"/>
      <x:c r="X200" t="str" s="2">
        <x:v>7134192454</x:v>
      </x:c>
      <x:c r="Y200" t="str" s="2">
        <x:v>kaylasorianoross@gmail.com</x:v>
      </x:c>
      <x:c r="Z200" s="6">
        <x:v>46215.01848353009</x:v>
      </x:c>
      <x:c r="AA200" t="str" s="2">
        <x:v>Yarelis Torres</x:v>
      </x:c>
      <x:c r="AB200" s="6">
        <x:v>46215.012781909725</x:v>
      </x:c>
      <x:c r="AC200" t="n" s="2">
        <x:v>38445</x:v>
      </x:c>
      <x:c r="AD200" s="0"/>
      <x:c r="AE200" s="0"/>
      <x:c r="AF200" s="0"/>
      <x:c r="AG200" s="0"/>
      <x:c r="AH200" s="0"/>
      <x:c r="AI200" s="0"/>
      <x:c r="AJ200" s="0"/>
      <x:c r="AK200" s="0"/>
    </x:row>
    <x:row r="201">
      <x:c r="A201" t="str" s="2">
        <x:f>=HYPERLINK("https://rsms.futurehomex.com/lead/38447", "Billy Smith")</x:f>
      </x:c>
      <x:c r="B201" t="n" s="2">
        <x:v>93</x:v>
      </x:c>
      <x:c r="C201" t="str" s="2">
        <x:v>1/5</x:v>
      </x:c>
      <x:c r="D201" t="str" s="2">
        <x:f>=""</x:f>
      </x:c>
      <x:c r="E201" s="0"/>
      <x:c r="F201" t="str" s="2">
        <x:v>Walk-in</x:v>
      </x:c>
      <x:c r="G201" t="str" s="2">
        <x:v>Heritage Housing of Oklahoma City</x:v>
      </x:c>
      <x:c r="H201" t="str" s="2">
        <x:v>Eva Misheva</x:v>
      </x:c>
      <x:c r="I201" s="0"/>
      <x:c r="J201" s="0"/>
      <x:c r="K201" t="n" s="2">
        <x:v>59</x:v>
      </x:c>
      <x:c r="L201" t="str" s="2">
        <x:v>4.3</x:v>
      </x:c>
      <x:c r="M201" t="str" s="2">
        <x:v>Tentative</x:v>
      </x:c>
      <x:c r="N201" t="str" s="2">
        <x:v>Loan Approved</x:v>
      </x:c>
      <x:c r="O201" s="0"/>
      <x:c r="P201" s="6">
        <x:v>46215</x:v>
      </x:c>
      <x:c r="Q201" s="6">
        <x:v>46227.70642685185</x:v>
      </x:c>
      <x:c r="R201" s="0"/>
      <x:c r="S201" s="6">
        <x:v>46215</x:v>
      </x:c>
      <x:c r="T201" s="6">
        <x:v>46224</x:v>
      </x:c>
      <x:c r="U201" s="6">
        <x:v>46224</x:v>
      </x:c>
      <x:c r="V201" s="6">
        <x:v>46227</x:v>
      </x:c>
      <x:c r="W201" s="0"/>
      <x:c r="X201" t="str" s="2">
        <x:v>4056414757</x:v>
      </x:c>
      <x:c r="Y201" t="str" s="2">
        <x:v>bsmitty64@gmail.com</x:v>
      </x:c>
      <x:c r="Z201" s="6">
        <x:v>46226.91094050926</x:v>
      </x:c>
      <x:c r="AA201" t="str" s="2">
        <x:v>Richard Bell</x:v>
      </x:c>
      <x:c r="AB201" s="6">
        <x:v>46215.914006099534</x:v>
      </x:c>
      <x:c r="AC201" t="n" s="2">
        <x:v>38447</x:v>
      </x:c>
      <x:c r="AD201" t="str" s="2">
        <x:v>Singlewide</x:v>
      </x:c>
      <x:c r="AE201" t="str" s="2">
        <x:v>Legacy Housing Corporation</x:v>
      </x:c>
      <x:c r="AF201" s="7">
        <x:v>7250</x:v>
      </x:c>
      <x:c r="AG201" s="7">
        <x:v>7250</x:v>
      </x:c>
      <x:c r="AH201" s="0"/>
      <x:c r="AI201" s="0"/>
      <x:c r="AJ201" s="0"/>
      <x:c r="AK201" s="0"/>
    </x:row>
    <x:row r="202">
      <x:c r="A202" t="str" s="2">
        <x:f>=HYPERLINK("https://rsms.futurehomex.com/lead/38448", "Miroslava Gispert")</x:f>
      </x:c>
      <x:c r="B202" t="n" s="2">
        <x:v>93</x:v>
      </x:c>
      <x:c r="C202" t="str" s="2">
        <x:v>0/2</x:v>
      </x:c>
      <x:c r="D202" t="str" s="2">
        <x:f>=""</x:f>
      </x:c>
      <x:c r="E202" s="0"/>
      <x:c r="F202" t="str" s="2">
        <x:v>Meta Ads - Forms</x:v>
      </x:c>
      <x:c r="G202" t="str" s="2">
        <x:v>Legacy Housing Corp. DBA Americasa</x:v>
      </x:c>
      <x:c r="H202" t="str" s="2">
        <x:v>Joey Marquez</x:v>
      </x:c>
      <x:c r="I202" t="str" s="2">
        <x:v>Karol Romero</x:v>
      </x:c>
      <x:c r="J202" s="0"/>
      <x:c r="K202" t="n" s="2">
        <x:v>5</x:v>
      </x:c>
      <x:c r="L202" t="str" s="2">
        <x:v>1.1</x:v>
      </x:c>
      <x:c r="M202" t="str" s="2">
        <x:v>Tentative</x:v>
      </x:c>
      <x:c r="N202" t="str" s="2">
        <x:v>Prospect</x:v>
      </x:c>
      <x:c r="O202" s="0"/>
      <x:c r="P202" s="6">
        <x:v>46215</x:v>
      </x:c>
      <x:c r="Q202" s="6">
        <x:v>46269.82712962963</x:v>
      </x:c>
      <x:c r="R202" s="0"/>
      <x:c r="S202" s="0"/>
      <x:c r="T202" s="0"/>
      <x:c r="U202" s="0"/>
      <x:c r="V202" s="0"/>
      <x:c r="W202" s="0"/>
      <x:c r="X202" t="str" s="2">
        <x:v>2819189811</x:v>
      </x:c>
      <x:c r="Y202" t="str" s="2">
        <x:v>miroslava.gispert@gmail.com</x:v>
      </x:c>
      <x:c r="Z202" s="6">
        <x:v>46291.832973530094</x:v>
      </x:c>
      <x:c r="AA202" t="str" s="2">
        <x:v>Joey Marquez</x:v>
      </x:c>
      <x:c r="AB202" s="6">
        <x:v>46215.97425320602</x:v>
      </x:c>
      <x:c r="AC202" t="n" s="2">
        <x:v>38448</x:v>
      </x:c>
      <x:c r="AD202" s="0"/>
      <x:c r="AE202" s="0"/>
      <x:c r="AF202" s="0"/>
      <x:c r="AG202" s="0"/>
      <x:c r="AH202" s="0"/>
      <x:c r="AI202" s="0"/>
      <x:c r="AJ202" s="0"/>
      <x:c r="AK202" s="0"/>
    </x:row>
    <x:row r="203">
      <x:c r="A203" t="str" s="2">
        <x:f>=HYPERLINK("https://rsms.futurehomex.com/lead/38449", "Blanca Tahamara Escobedo Martinez")</x:f>
      </x:c>
      <x:c r="B203" t="n" s="2">
        <x:v>93</x:v>
      </x:c>
      <x:c r="C203" t="str" s="2">
        <x:v>2/3</x:v>
      </x:c>
      <x:c r="D203" t="str" s="2">
        <x:f>=""</x:f>
      </x:c>
      <x:c r="E203" s="0"/>
      <x:c r="F203" t="str" s="2">
        <x:v>Terrenos Houston</x:v>
      </x:c>
      <x:c r="G203" t="str" s="2">
        <x:v>Legacy Housing Corp. DBA Americasa</x:v>
      </x:c>
      <x:c r="H203" t="str" s="2">
        <x:v>Joey Marquez</x:v>
      </x:c>
      <x:c r="I203" t="str" s="2">
        <x:v>Karol Romero</x:v>
      </x:c>
      <x:c r="J203" s="0"/>
      <x:c r="K203" t="n" s="2">
        <x:v>5</x:v>
      </x:c>
      <x:c r="L203" t="str" s="2">
        <x:v>1.1</x:v>
      </x:c>
      <x:c r="M203" t="str" s="2">
        <x:v>Inactive</x:v>
      </x:c>
      <x:c r="N203" t="str" s="2">
        <x:v>Prospect</x:v>
      </x:c>
      <x:c r="O203" s="0"/>
      <x:c r="P203" s="6">
        <x:v>46215</x:v>
      </x:c>
      <x:c r="Q203" s="6">
        <x:v>46216.8492821412</x:v>
      </x:c>
      <x:c r="R203" s="0"/>
      <x:c r="S203" s="6">
        <x:v>46216</x:v>
      </x:c>
      <x:c r="T203" s="0"/>
      <x:c r="U203" s="0"/>
      <x:c r="V203" s="0"/>
      <x:c r="W203" s="0"/>
      <x:c r="X203" t="str" s="2">
        <x:v>8322831527</x:v>
      </x:c>
      <x:c r="Y203" t="str" s="2">
        <x:v>blancaescobedo136@gmail.com</x:v>
      </x:c>
      <x:c r="Z203" s="6">
        <x:v>46216.887430902774</x:v>
      </x:c>
      <x:c r="AA203" t="str" s="2">
        <x:v>Rodrigo Ramirez</x:v>
      </x:c>
      <x:c r="AB203" s="6">
        <x:v>46215.987906712966</x:v>
      </x:c>
      <x:c r="AC203" t="n" s="2">
        <x:v>38449</x:v>
      </x:c>
      <x:c r="AD203" s="0"/>
      <x:c r="AE203" s="0"/>
      <x:c r="AF203" s="0"/>
      <x:c r="AG203" s="0"/>
      <x:c r="AH203" s="0"/>
      <x:c r="AI203" s="0"/>
      <x:c r="AJ203" s="0"/>
      <x:c r="AK203" s="0"/>
    </x:row>
    <x:row r="204">
      <x:c r="A204" t="str" s="2">
        <x:f>=HYPERLINK("https://rsms.futurehomex.com/lead/38450", "Octavio Aguirre")</x:f>
      </x:c>
      <x:c r="B204" t="n" s="2">
        <x:v>93</x:v>
      </x:c>
      <x:c r="C204" t="str" s="2">
        <x:v>0/2</x:v>
      </x:c>
      <x:c r="D204" t="str" s="2">
        <x:f>=""</x:f>
      </x:c>
      <x:c r="E204" s="0"/>
      <x:c r="F204" t="str" s="2">
        <x:v>Walk-in</x:v>
      </x:c>
      <x:c r="G204" t="str" s="2">
        <x:v>Legacy Housing Corp. DBA Americasa</x:v>
      </x:c>
      <x:c r="H204" t="str" s="2">
        <x:v>Joey Marquez</x:v>
      </x:c>
      <x:c r="I204" t="str" s="2">
        <x:v>Karol Romero</x:v>
      </x:c>
      <x:c r="J204" s="0"/>
      <x:c r="K204" t="n" s="2">
        <x:v>5</x:v>
      </x:c>
      <x:c r="L204" t="str" s="2">
        <x:v>1.1</x:v>
      </x:c>
      <x:c r="M204" t="str" s="2">
        <x:v>Tentative</x:v>
      </x:c>
      <x:c r="N204" t="str" s="2">
        <x:v>Prospect</x:v>
      </x:c>
      <x:c r="O204" s="0"/>
      <x:c r="P204" s="6">
        <x:v>46215</x:v>
      </x:c>
      <x:c r="Q204" s="6">
        <x:v>46258.83604155092</x:v>
      </x:c>
      <x:c r="R204" s="0"/>
      <x:c r="S204" s="0"/>
      <x:c r="T204" s="0"/>
      <x:c r="U204" s="0"/>
      <x:c r="V204" s="0"/>
      <x:c r="W204" s="0"/>
      <x:c r="X204" t="str" s="2">
        <x:v>3463167441</x:v>
      </x:c>
      <x:c r="Y204" t="str" s="2">
        <x:v>3463167441</x:v>
      </x:c>
      <x:c r="Z204" s="6">
        <x:v>46294.686776967596</x:v>
      </x:c>
      <x:c r="AA204" t="str" s="2">
        <x:v>Joey Marquez</x:v>
      </x:c>
      <x:c r="AB204" s="6">
        <x:v>46215.98942820602</x:v>
      </x:c>
      <x:c r="AC204" t="n" s="2">
        <x:v>38450</x:v>
      </x:c>
      <x:c r="AD204" s="0"/>
      <x:c r="AE204" s="0"/>
      <x:c r="AF204" s="0"/>
      <x:c r="AG204" s="0"/>
      <x:c r="AH204" s="0"/>
      <x:c r="AI204" s="0"/>
      <x:c r="AJ204" s="0"/>
      <x:c r="AK204" s="0"/>
    </x:row>
    <x:row r="205">
      <x:c r="A205" t="str" s="2">
        <x:f>=HYPERLINK("https://rsms.futurehomex.com/lead/38451", "Eduardo Labrada Hernandez")</x:f>
      </x:c>
      <x:c r="B205" t="n" s="2">
        <x:v>93</x:v>
      </x:c>
      <x:c r="C205" t="str" s="2">
        <x:v>0/3</x:v>
      </x:c>
      <x:c r="D205" t="str" s="2">
        <x:f>=""</x:f>
      </x:c>
      <x:c r="E205" s="0"/>
      <x:c r="F205" t="str" s="2">
        <x:v>Terrenos Houston</x:v>
      </x:c>
      <x:c r="G205" t="str" s="2">
        <x:v>Legacy Housing Corp. DBA Americasa</x:v>
      </x:c>
      <x:c r="H205" t="str" s="2">
        <x:v>Rodrigo Ramirez</x:v>
      </x:c>
      <x:c r="I205" t="str" s="2">
        <x:v>Karol Romero</x:v>
      </x:c>
      <x:c r="J205" s="0"/>
      <x:c r="K205" t="n" s="2">
        <x:v>5</x:v>
      </x:c>
      <x:c r="L205" t="str" s="2">
        <x:v>1.1</x:v>
      </x:c>
      <x:c r="M205" t="str" s="2">
        <x:v>Dead</x:v>
      </x:c>
      <x:c r="N205" t="str" s="2">
        <x:v>Prospect</x:v>
      </x:c>
      <x:c r="O205" s="0"/>
      <x:c r="P205" s="6">
        <x:v>46215</x:v>
      </x:c>
      <x:c r="Q205" s="6">
        <x:v>46276.80678530093</x:v>
      </x:c>
      <x:c r="R205" s="0"/>
      <x:c r="S205" s="6">
        <x:v>46277</x:v>
      </x:c>
      <x:c r="T205" s="0"/>
      <x:c r="U205" s="0"/>
      <x:c r="V205" s="0"/>
      <x:c r="W205" s="0"/>
      <x:c r="X205" t="str" s="2">
        <x:v>7864287048</x:v>
      </x:c>
      <x:c r="Y205" t="str" s="2">
        <x:v>eduardolabrada@gmail.com</x:v>
      </x:c>
      <x:c r="Z205" s="6">
        <x:v>46286.900524537035</x:v>
      </x:c>
      <x:c r="AA205" t="str" s="2">
        <x:v>Angelica Mendoza </x:v>
      </x:c>
      <x:c r="AB205" s="6">
        <x:v>46215.99638402778</x:v>
      </x:c>
      <x:c r="AC205" t="n" s="2">
        <x:v>38451</x:v>
      </x:c>
      <x:c r="AD205" s="0"/>
      <x:c r="AE205" s="0"/>
      <x:c r="AF205" s="0"/>
      <x:c r="AG205" s="0"/>
      <x:c r="AH205" s="0"/>
      <x:c r="AI205" s="0"/>
      <x:c r="AJ205" s="0"/>
      <x:c r="AK205" s="0"/>
    </x:row>
    <x:row r="206">
      <x:c r="A206" t="str" s="2">
        <x:f>=HYPERLINK("https://rsms.futurehomex.com/lead/38453", "Diego Blanco Gomez")</x:f>
      </x:c>
      <x:c r="B206" t="n" s="2">
        <x:v>93</x:v>
      </x:c>
      <x:c r="C206" t="str" s="2">
        <x:v>0/2</x:v>
      </x:c>
      <x:c r="D206" t="str" s="2">
        <x:f>=""</x:f>
      </x:c>
      <x:c r="E206" s="0"/>
      <x:c r="F206" t="str" s="2">
        <x:v>Terrenos Houston</x:v>
      </x:c>
      <x:c r="G206" t="str" s="2">
        <x:v>Legacy Housing Corp. DBA Americasa</x:v>
      </x:c>
      <x:c r="H206" t="str" s="2">
        <x:v>Joey Marquez</x:v>
      </x:c>
      <x:c r="I206" t="str" s="2">
        <x:v>Karol Romero</x:v>
      </x:c>
      <x:c r="J206" s="0"/>
      <x:c r="K206" t="n" s="2">
        <x:v>5</x:v>
      </x:c>
      <x:c r="L206" t="str" s="2">
        <x:v>1.1</x:v>
      </x:c>
      <x:c r="M206" t="str" s="2">
        <x:v>Tentative</x:v>
      </x:c>
      <x:c r="N206" t="str" s="2">
        <x:v>Prospect</x:v>
      </x:c>
      <x:c r="O206" s="0"/>
      <x:c r="P206" s="6">
        <x:v>46215</x:v>
      </x:c>
      <x:c r="Q206" s="6">
        <x:v>46231.81180015046</x:v>
      </x:c>
      <x:c r="R206" s="0"/>
      <x:c r="S206" s="6">
        <x:v>46228</x:v>
      </x:c>
      <x:c r="T206" s="0"/>
      <x:c r="U206" s="0"/>
      <x:c r="V206" s="0"/>
      <x:c r="W206" s="0"/>
      <x:c r="X206" t="str" s="2">
        <x:v>5715651949</x:v>
      </x:c>
      <x:c r="Y206" t="str" s="2">
        <x:v>jorgeblanco1190@gmail.com</x:v>
      </x:c>
      <x:c r="Z206" s="6">
        <x:v>46231.813453587965</x:v>
      </x:c>
      <x:c r="AA206" t="str" s="2">
        <x:v>Victoria Sanchez</x:v>
      </x:c>
      <x:c r="AB206" s="6">
        <x:v>46215.998837349536</x:v>
      </x:c>
      <x:c r="AC206" t="n" s="2">
        <x:v>38453</x:v>
      </x:c>
      <x:c r="AD206" s="0"/>
      <x:c r="AE206" s="0"/>
      <x:c r="AF206" s="0"/>
      <x:c r="AG206" s="0"/>
      <x:c r="AH206" s="0"/>
      <x:c r="AI206" s="0"/>
      <x:c r="AJ206" s="0"/>
      <x:c r="AK206" s="0"/>
    </x:row>
    <x:row r="207">
      <x:c r="A207" t="str" s="2">
        <x:f>=HYPERLINK("https://rsms.futurehomex.com/lead/38454", "FRancisco Molina")</x:f>
      </x:c>
      <x:c r="B207" t="n" s="2">
        <x:v>93</x:v>
      </x:c>
      <x:c r="C207" t="str" s="2">
        <x:v>1/4</x:v>
      </x:c>
      <x:c r="D207" t="str" s="2">
        <x:f>=""</x:f>
      </x:c>
      <x:c r="E207" s="0"/>
      <x:c r="F207" t="str" s="2">
        <x:v>Website</x:v>
      </x:c>
      <x:c r="G207" t="str" s="2">
        <x:v>Legacy Housing Corp. DBA Americasa</x:v>
      </x:c>
      <x:c r="H207" t="str" s="2">
        <x:v>Joey Marquez</x:v>
      </x:c>
      <x:c r="I207" t="str" s="2">
        <x:v>Karol Romero</x:v>
      </x:c>
      <x:c r="J207" s="0"/>
      <x:c r="K207" t="n" s="2">
        <x:v>5</x:v>
      </x:c>
      <x:c r="L207" t="str" s="2">
        <x:v>1.1</x:v>
      </x:c>
      <x:c r="M207" t="str" s="2">
        <x:v>Tentative</x:v>
      </x:c>
      <x:c r="N207" t="str" s="2">
        <x:v>Prospect</x:v>
      </x:c>
      <x:c r="O207" s="0"/>
      <x:c r="P207" s="6">
        <x:v>46215</x:v>
      </x:c>
      <x:c r="Q207" s="6">
        <x:v>46281.06136458334</x:v>
      </x:c>
      <x:c r="R207" s="0"/>
      <x:c r="S207" s="0"/>
      <x:c r="T207" s="0"/>
      <x:c r="U207" s="0"/>
      <x:c r="V207" s="0"/>
      <x:c r="W207" s="0"/>
      <x:c r="X207" t="str" s="2">
        <x:v>5129035346</x:v>
      </x:c>
      <x:c r="Y207" t="str" s="2">
        <x:v>FranciscoMolina@gmail.com</x:v>
      </x:c>
      <x:c r="Z207" s="6">
        <x:v>46296.73189505787</x:v>
      </x:c>
      <x:c r="AA207" t="str" s="2">
        <x:v>Joey Marquez</x:v>
      </x:c>
      <x:c r="AB207" s="6">
        <x:v>46215.99989771991</x:v>
      </x:c>
      <x:c r="AC207" t="n" s="2">
        <x:v>38454</x:v>
      </x:c>
      <x:c r="AD207" s="0"/>
      <x:c r="AE207" s="0"/>
      <x:c r="AF207" s="0"/>
      <x:c r="AG207" s="0"/>
      <x:c r="AH207" s="0"/>
      <x:c r="AI207" s="0"/>
      <x:c r="AJ207" s="0"/>
      <x:c r="AK207" s="0"/>
    </x:row>
    <x:row r="208">
      <x:c r="A208" t="str" s="2">
        <x:f>=HYPERLINK("https://rsms.futurehomex.com/lead/38455", "Ginger Hill")</x:f>
      </x:c>
      <x:c r="B208" t="n" s="2">
        <x:v>92</x:v>
      </x:c>
      <x:c r="C208" t="str" s="2">
        <x:v>0/4</x:v>
      </x:c>
      <x:c r="D208" t="str" s="2">
        <x:f>=""</x:f>
      </x:c>
      <x:c r="E208" s="0"/>
      <x:c r="F208" t="str" s="2">
        <x:v>Facebook Messenger</x:v>
      </x:c>
      <x:c r="G208" t="str" s="2">
        <x:v>Heritage Housing of Greenville</x:v>
      </x:c>
      <x:c r="H208" t="str" s="2">
        <x:v>Greg Christman</x:v>
      </x:c>
      <x:c r="I208" s="0"/>
      <x:c r="J208" t="str" s="2">
        <x:v>Greg Christman</x:v>
      </x:c>
      <x:c r="K208" t="n" s="2">
        <x:v>5</x:v>
      </x:c>
      <x:c r="L208" t="str" s="2">
        <x:v>1.1</x:v>
      </x:c>
      <x:c r="M208" t="str" s="2">
        <x:v>Dead</x:v>
      </x:c>
      <x:c r="N208" t="str" s="2">
        <x:v>Prospect</x:v>
      </x:c>
      <x:c r="O208" s="0"/>
      <x:c r="P208" s="6">
        <x:v>46216</x:v>
      </x:c>
      <x:c r="Q208" s="6">
        <x:v>46216.573258715274</x:v>
      </x:c>
      <x:c r="R208" s="0"/>
      <x:c r="S208" s="6">
        <x:v>46214</x:v>
      </x:c>
      <x:c r="T208" s="0"/>
      <x:c r="U208" s="0"/>
      <x:c r="V208" s="0"/>
      <x:c r="W208" s="0"/>
      <x:c r="X208" t="str" s="2">
        <x:v>8178766116</x:v>
      </x:c>
      <x:c r="Y208" t="str" s="2">
        <x:v>ginger.m.hill@gmail.com</x:v>
      </x:c>
      <x:c r="Z208" s="6">
        <x:v>46287.89521898148</x:v>
      </x:c>
      <x:c r="AA208" t="str" s="2">
        <x:v>Greg Christman</x:v>
      </x:c>
      <x:c r="AB208" s="6">
        <x:v>46216.573260613426</x:v>
      </x:c>
      <x:c r="AC208" t="n" s="2">
        <x:v>38455</x:v>
      </x:c>
      <x:c r="AD208" s="0"/>
      <x:c r="AE208" s="0"/>
      <x:c r="AF208" s="0"/>
      <x:c r="AG208" s="0"/>
      <x:c r="AH208" s="0"/>
      <x:c r="AI208" s="0"/>
      <x:c r="AJ208" s="0"/>
      <x:c r="AK208" s="0"/>
    </x:row>
    <x:row r="209">
      <x:c r="A209" t="str" s="2">
        <x:f>=HYPERLINK("https://rsms.futurehomex.com/lead/38457", "Carlton Moss")</x:f>
      </x:c>
      <x:c r="B209" t="n" s="2">
        <x:v>92</x:v>
      </x:c>
      <x:c r="C209" t="str" s="2">
        <x:v>0/2</x:v>
      </x:c>
      <x:c r="D209" t="str" s="2">
        <x:f>=""</x:f>
      </x:c>
      <x:c r="E209" t="str" s="2">
        <x:v>Racheal Moss</x:v>
      </x:c>
      <x:c r="F209" t="str" s="2">
        <x:v>META Marketplace</x:v>
      </x:c>
      <x:c r="G209" t="str" s="2">
        <x:v>Heritage Housing Mt Pleasant</x:v>
      </x:c>
      <x:c r="H209" t="str" s="2">
        <x:v>Elias Gallardo</x:v>
      </x:c>
      <x:c r="I209" s="0"/>
      <x:c r="J209" t="str" s="2">
        <x:v>Elias Gallardo</x:v>
      </x:c>
      <x:c r="K209" t="n" s="2">
        <x:v>53</x:v>
      </x:c>
      <x:c r="L209" t="str" s="2">
        <x:v>4.1</x:v>
      </x:c>
      <x:c r="M209" t="str" s="2">
        <x:v>Dead</x:v>
      </x:c>
      <x:c r="N209" t="str" s="2">
        <x:v>Loan Approved</x:v>
      </x:c>
      <x:c r="O209" s="6">
        <x:v>46234</x:v>
      </x:c>
      <x:c r="P209" s="6">
        <x:v>46216</x:v>
      </x:c>
      <x:c r="Q209" s="6">
        <x:v>46217.789241053244</x:v>
      </x:c>
      <x:c r="R209" s="0"/>
      <x:c r="S209" s="6">
        <x:v>46214</x:v>
      </x:c>
      <x:c r="T209" s="6">
        <x:v>46214</x:v>
      </x:c>
      <x:c r="U209" s="6">
        <x:v>46216</x:v>
      </x:c>
      <x:c r="V209" s="0"/>
      <x:c r="W209" s="0"/>
      <x:c r="X209" t="str" s="2">
        <x:v>9038530071</x:v>
      </x:c>
      <x:c r="Y209" t="str" s="2">
        <x:v>Cnc.woodworking@gmail.com</x:v>
      </x:c>
      <x:c r="Z209" s="6">
        <x:v>46224.682457256946</x:v>
      </x:c>
      <x:c r="AA209" t="str" s="2">
        <x:v>Schell Liles</x:v>
      </x:c>
      <x:c r="AB209" s="6">
        <x:v>46216.59016357639</x:v>
      </x:c>
      <x:c r="AC209" t="n" s="2">
        <x:v>38457</x:v>
      </x:c>
      <x:c r="AD209" t="str" s="2">
        <x:v>Doublewide</x:v>
      </x:c>
      <x:c r="AE209" t="str" s="2">
        <x:v>Legacy Housing Corporation</x:v>
      </x:c>
      <x:c r="AF209" s="7">
        <x:v>50000</x:v>
      </x:c>
      <x:c r="AG209" s="7">
        <x:v>50000</x:v>
      </x:c>
      <x:c r="AH209" s="7">
        <x:v>500</x:v>
      </x:c>
      <x:c r="AI209" s="0"/>
      <x:c r="AJ209" s="0"/>
      <x:c r="AK209" s="0"/>
    </x:row>
    <x:row r="210">
      <x:c r="A210" t="str" s="2">
        <x:f>=HYPERLINK("https://rsms.futurehomex.com/lead/38458", "Peggy Pool")</x:f>
      </x:c>
      <x:c r="B210" t="n" s="2">
        <x:v>92</x:v>
      </x:c>
      <x:c r="C210" t="str" s="2">
        <x:v>0/2</x:v>
      </x:c>
      <x:c r="D210" t="str" s="2">
        <x:f>=""</x:f>
      </x:c>
      <x:c r="E210" s="0"/>
      <x:c r="F210" t="str" s="2">
        <x:v>Walk-in</x:v>
      </x:c>
      <x:c r="G210" t="str" s="2">
        <x:v>Heritage Housing of Oklahoma City</x:v>
      </x:c>
      <x:c r="H210" t="str" s="2">
        <x:v>Trey Rixleben</x:v>
      </x:c>
      <x:c r="I210" t="str" s="2">
        <x:v>Karol Romero</x:v>
      </x:c>
      <x:c r="J210" t="str" s="2">
        <x:v>Trey Rixleben</x:v>
      </x:c>
      <x:c r="K210" t="n" s="2">
        <x:v>5</x:v>
      </x:c>
      <x:c r="L210" t="str" s="2">
        <x:v>1.1</x:v>
      </x:c>
      <x:c r="M210" t="str" s="2">
        <x:v>Dead</x:v>
      </x:c>
      <x:c r="N210" t="str" s="2">
        <x:v>Deal Created</x:v>
      </x:c>
      <x:c r="O210" s="0"/>
      <x:c r="P210" s="6">
        <x:v>46216</x:v>
      </x:c>
      <x:c r="Q210" s="6">
        <x:v>46267.937245601854</x:v>
      </x:c>
      <x:c r="R210" s="0"/>
      <x:c r="S210" s="6">
        <x:v>46216</x:v>
      </x:c>
      <x:c r="T210" s="0"/>
      <x:c r="U210" s="0"/>
      <x:c r="V210" s="0"/>
      <x:c r="W210" s="0"/>
      <x:c r="X210" t="str" s="2">
        <x:v>7854218048</x:v>
      </x:c>
      <x:c r="Y210" t="str" s="2">
        <x:v>peggy522pool@gmail.com</x:v>
      </x:c>
      <x:c r="Z210" s="6">
        <x:v>46268.563655868056</x:v>
      </x:c>
      <x:c r="AA210" t="str" s="2">
        <x:v>Richard Bell</x:v>
      </x:c>
      <x:c r="AB210" s="6">
        <x:v>46216.62748321759</x:v>
      </x:c>
      <x:c r="AC210" t="n" s="2">
        <x:v>38458</x:v>
      </x:c>
      <x:c r="AD210" s="0"/>
      <x:c r="AE210" s="0"/>
      <x:c r="AF210" s="0"/>
      <x:c r="AG210" s="0"/>
      <x:c r="AH210" s="0"/>
      <x:c r="AI210" s="0"/>
      <x:c r="AJ210" s="0"/>
      <x:c r="AK210" s="0"/>
    </x:row>
    <x:row r="211">
      <x:c r="A211" t="str" s="2">
        <x:f>=HYPERLINK("https://rsms.futurehomex.com/lead/38459", "Latosia Blakely")</x:f>
      </x:c>
      <x:c r="B211" t="n" s="2">
        <x:v>92</x:v>
      </x:c>
      <x:c r="C211" t="str" s="2">
        <x:v>1/6</x:v>
      </x:c>
      <x:c r="D211" t="str" s="2">
        <x:f>=""</x:f>
      </x:c>
      <x:c r="E211" s="0"/>
      <x:c r="F211" t="str" s="2">
        <x:v>Financing Form</x:v>
      </x:c>
      <x:c r="G211" t="str" s="2">
        <x:v>Heritage Housing of Oklahoma City</x:v>
      </x:c>
      <x:c r="H211" t="str" s="2">
        <x:v>Alejandra Calderon</x:v>
      </x:c>
      <x:c r="I211" s="0"/>
      <x:c r="J211" t="str" s="2">
        <x:v>Steve Castell</x:v>
      </x:c>
      <x:c r="K211" t="n" s="2">
        <x:v>5</x:v>
      </x:c>
      <x:c r="L211" t="str" s="2">
        <x:v>1.1</x:v>
      </x:c>
      <x:c r="M211" t="str" s="2">
        <x:v>Tentative</x:v>
      </x:c>
      <x:c r="N211" t="str" s="2">
        <x:v>Deal Created</x:v>
      </x:c>
      <x:c r="O211" s="0"/>
      <x:c r="P211" s="6">
        <x:v>46216</x:v>
      </x:c>
      <x:c r="Q211" s="6">
        <x:v>46244.92548758102</x:v>
      </x:c>
      <x:c r="R211" s="0"/>
      <x:c r="S211" s="0"/>
      <x:c r="T211" s="0"/>
      <x:c r="U211" s="0"/>
      <x:c r="V211" s="0"/>
      <x:c r="W211" s="0"/>
      <x:c r="X211" t="str" s="2">
        <x:v>4058811870</x:v>
      </x:c>
      <x:c r="Y211" t="str" s="2">
        <x:v>latosiablakely@yahoo.com</x:v>
      </x:c>
      <x:c r="Z211" s="6">
        <x:v>46296.95399390046</x:v>
      </x:c>
      <x:c r="AA211" t="str" s="2">
        <x:v>Alejandra Calderon</x:v>
      </x:c>
      <x:c r="AB211" s="6">
        <x:v>46216.639651770834</x:v>
      </x:c>
      <x:c r="AC211" t="n" s="2">
        <x:v>38459</x:v>
      </x:c>
      <x:c r="AD211" s="0"/>
      <x:c r="AE211" s="0"/>
      <x:c r="AF211" s="0"/>
      <x:c r="AG211" s="0"/>
      <x:c r="AH211" s="0"/>
      <x:c r="AI211" s="0"/>
      <x:c r="AJ211" s="0"/>
      <x:c r="AK211" s="0"/>
    </x:row>
    <x:row r="212">
      <x:c r="A212" t="str" s="2">
        <x:f>=HYPERLINK("https://rsms.futurehomex.com/lead/38461", "Pamela Cathen")</x:f>
      </x:c>
      <x:c r="B212" t="n" s="2">
        <x:v>92</x:v>
      </x:c>
      <x:c r="C212" t="str" s="2">
        <x:v/>
      </x:c>
      <x:c r="D212" t="str" s="2">
        <x:f>=""</x:f>
      </x:c>
      <x:c r="E212" s="0"/>
      <x:c r="F212" t="str" s="2">
        <x:v>Meta Marketplace</x:v>
      </x:c>
      <x:c r="G212" t="str" s="2">
        <x:v>Heritage Housing of Athens</x:v>
      </x:c>
      <x:c r="H212" t="str" s="2">
        <x:v>Nathan Bishop</x:v>
      </x:c>
      <x:c r="I212" s="0"/>
      <x:c r="J212" t="str" s="2">
        <x:v>Nathan Bishop</x:v>
      </x:c>
      <x:c r="K212" t="n" s="2">
        <x:v>5</x:v>
      </x:c>
      <x:c r="L212" t="str" s="2">
        <x:v>1.1</x:v>
      </x:c>
      <x:c r="M212" t="str" s="2">
        <x:v>Tentative</x:v>
      </x:c>
      <x:c r="N212" t="str" s="2">
        <x:v>Deal Created</x:v>
      </x:c>
      <x:c r="O212" s="0"/>
      <x:c r="P212" s="6">
        <x:v>46216</x:v>
      </x:c>
      <x:c r="Q212" s="6">
        <x:v>46217.65544293982</x:v>
      </x:c>
      <x:c r="R212" s="0"/>
      <x:c r="S212" s="0"/>
      <x:c r="T212" s="0"/>
      <x:c r="U212" s="0"/>
      <x:c r="V212" s="0"/>
      <x:c r="W212" s="0"/>
      <x:c r="X212" t="str" s="2">
        <x:v>7064610535</x:v>
      </x:c>
      <x:c r="Y212" t="str" s="2">
        <x:v>pampressley60@gmail.com</x:v>
      </x:c>
      <x:c r="Z212" s="0"/>
      <x:c r="AA212" s="0"/>
      <x:c r="AB212" s="6">
        <x:v>46216.65936643518</x:v>
      </x:c>
      <x:c r="AC212" t="n" s="2">
        <x:v>38461</x:v>
      </x:c>
      <x:c r="AD212" s="0"/>
      <x:c r="AE212" s="0"/>
      <x:c r="AF212" s="0"/>
      <x:c r="AG212" s="7">
        <x:v>1000</x:v>
      </x:c>
      <x:c r="AH212" s="0"/>
      <x:c r="AI212" s="0"/>
      <x:c r="AJ212" s="0"/>
      <x:c r="AK212" s="0"/>
    </x:row>
    <x:row r="213">
      <x:c r="A213" t="str" s="2">
        <x:f>=HYPERLINK("https://rsms.futurehomex.com/lead/38462", "Mari Jackson")</x:f>
      </x:c>
      <x:c r="B213" t="n" s="2">
        <x:v>92</x:v>
      </x:c>
      <x:c r="C213" t="str" s="2">
        <x:v>0/1</x:v>
      </x:c>
      <x:c r="D213" t="str" s="2">
        <x:f>=""</x:f>
      </x:c>
      <x:c r="E213" s="0"/>
      <x:c r="F213" t="str" s="2">
        <x:v>Walk-in</x:v>
      </x:c>
      <x:c r="G213" t="str" s="2">
        <x:v>Heritage Housing of Oklahoma City</x:v>
      </x:c>
      <x:c r="H213" t="str" s="2">
        <x:v>Karla Brizuela</x:v>
      </x:c>
      <x:c r="I213" s="0"/>
      <x:c r="J213" t="str" s="2">
        <x:v>Karla Brizuela</x:v>
      </x:c>
      <x:c r="K213" t="n" s="2">
        <x:v>5</x:v>
      </x:c>
      <x:c r="L213" t="str" s="2">
        <x:v>1.1</x:v>
      </x:c>
      <x:c r="M213" t="str" s="2">
        <x:v>Dead</x:v>
      </x:c>
      <x:c r="N213" t="str" s="2">
        <x:v>Deal Created</x:v>
      </x:c>
      <x:c r="O213" s="0"/>
      <x:c r="P213" s="6">
        <x:v>46216</x:v>
      </x:c>
      <x:c r="Q213" s="6">
        <x:v>46216.66513267361</x:v>
      </x:c>
      <x:c r="R213" s="0"/>
      <x:c r="S213" s="6">
        <x:v>46216</x:v>
      </x:c>
      <x:c r="T213" s="0"/>
      <x:c r="U213" s="0"/>
      <x:c r="V213" s="0"/>
      <x:c r="W213" s="0"/>
      <x:c r="X213" t="str" s="2">
        <x:v>5803669344</x:v>
      </x:c>
      <x:c r="Y213" t="str" s="2">
        <x:v>5803669344</x:v>
      </x:c>
      <x:c r="Z213" s="6">
        <x:v>46232.84265274306</x:v>
      </x:c>
      <x:c r="AA213" t="str" s="2">
        <x:v>Karla Brizuela</x:v>
      </x:c>
      <x:c r="AB213" s="6">
        <x:v>46216.6651346412</x:v>
      </x:c>
      <x:c r="AC213" t="n" s="2">
        <x:v>38462</x:v>
      </x:c>
      <x:c r="AD213" s="0"/>
      <x:c r="AE213" s="0"/>
      <x:c r="AF213" s="0"/>
      <x:c r="AG213" s="0"/>
      <x:c r="AH213" s="0"/>
      <x:c r="AI213" s="0"/>
      <x:c r="AJ213" s="0"/>
      <x:c r="AK213" s="0"/>
    </x:row>
    <x:row r="214">
      <x:c r="A214" t="str" s="2">
        <x:f>=HYPERLINK("https://rsms.futurehomex.com/lead/38463", "Tyson Shields")</x:f>
      </x:c>
      <x:c r="B214" t="n" s="2">
        <x:v>92</x:v>
      </x:c>
      <x:c r="C214" t="str" s="2">
        <x:v>0/2</x:v>
      </x:c>
      <x:c r="D214" t="str" s="2">
        <x:f>=""</x:f>
      </x:c>
      <x:c r="E214" s="0"/>
      <x:c r="F214" t="str" s="2">
        <x:v>Facebook Messenger</x:v>
      </x:c>
      <x:c r="G214" t="str" s="2">
        <x:v>Heritage Housing of Oklahoma City</x:v>
      </x:c>
      <x:c r="H214" t="str" s="2">
        <x:v>Steve Castell</x:v>
      </x:c>
      <x:c r="I214" s="0"/>
      <x:c r="J214" t="str" s="2">
        <x:v>Steve Castell</x:v>
      </x:c>
      <x:c r="K214" t="n" s="2">
        <x:v>5</x:v>
      </x:c>
      <x:c r="L214" t="str" s="2">
        <x:v>1.1</x:v>
      </x:c>
      <x:c r="M214" t="str" s="2">
        <x:v>Dead</x:v>
      </x:c>
      <x:c r="N214" t="str" s="2">
        <x:v>Deal Created</x:v>
      </x:c>
      <x:c r="O214" s="0"/>
      <x:c r="P214" s="6">
        <x:v>46216</x:v>
      </x:c>
      <x:c r="Q214" s="6">
        <x:v>46223.68524082176</x:v>
      </x:c>
      <x:c r="R214" s="0"/>
      <x:c r="S214" s="6">
        <x:v>46223</x:v>
      </x:c>
      <x:c r="T214" s="0"/>
      <x:c r="U214" s="0"/>
      <x:c r="V214" s="0"/>
      <x:c r="W214" s="0"/>
      <x:c r="X214" t="str" s="2">
        <x:v>5803638618</x:v>
      </x:c>
      <x:c r="Y214" t="str" s="2">
        <x:v>mizecolton@gmail.com</x:v>
      </x:c>
      <x:c r="Z214" s="6">
        <x:v>46236.008516435184</x:v>
      </x:c>
      <x:c r="AA214" t="str" s="2">
        <x:v>Steve Castell</x:v>
      </x:c>
      <x:c r="AB214" s="6">
        <x:v>46216.66654097222</x:v>
      </x:c>
      <x:c r="AC214" t="n" s="2">
        <x:v>38463</x:v>
      </x:c>
      <x:c r="AD214" s="0"/>
      <x:c r="AE214" s="0"/>
      <x:c r="AF214" s="0"/>
      <x:c r="AG214" s="0"/>
      <x:c r="AH214" s="0"/>
      <x:c r="AI214" s="0"/>
      <x:c r="AJ214" s="0"/>
      <x:c r="AK214" s="0"/>
    </x:row>
    <x:row r="215">
      <x:c r="A215" t="str" s="2">
        <x:f>=HYPERLINK("https://rsms.futurehomex.com/lead/38464", "Greicy Nuñez Velasquez")</x:f>
      </x:c>
      <x:c r="B215" t="n" s="2">
        <x:v>92</x:v>
      </x:c>
      <x:c r="C215" t="str" s="2">
        <x:v>2/5</x:v>
      </x:c>
      <x:c r="D215" t="str" s="2">
        <x:f>=""</x:f>
      </x:c>
      <x:c r="E215" t="str" s="2">
        <x:v>Gerson R. Nuñez</x:v>
      </x:c>
      <x:c r="F215" t="str" s="2">
        <x:v>META Marketplace</x:v>
      </x:c>
      <x:c r="G215" t="str" s="2">
        <x:v>Heritage Housing Mt Pleasant</x:v>
      </x:c>
      <x:c r="H215" t="str" s="2">
        <x:v>Sandra Saldana</x:v>
      </x:c>
      <x:c r="I215" s="0"/>
      <x:c r="J215" t="str" s="2">
        <x:v>Sandra Saldana</x:v>
      </x:c>
      <x:c r="K215" t="n" s="2">
        <x:v>100</x:v>
      </x:c>
      <x:c r="L215" t="str" s="2">
        <x:v>6.2</x:v>
      </x:c>
      <x:c r="M215" t="str" s="2">
        <x:v>Closed</x:v>
      </x:c>
      <x:c r="N215" t="str" s="2">
        <x:v>Delivered</x:v>
      </x:c>
      <x:c r="O215" s="6">
        <x:v>46297</x:v>
      </x:c>
      <x:c r="P215" s="6">
        <x:v>46216</x:v>
      </x:c>
      <x:c r="Q215" s="6">
        <x:v>46303.79944297454</x:v>
      </x:c>
      <x:c r="R215" t="str" s="2">
        <x:v>Yarelis Torres</x:v>
      </x:c>
      <x:c r="S215" s="6">
        <x:v>46264</x:v>
      </x:c>
      <x:c r="T215" s="6">
        <x:v>46274</x:v>
      </x:c>
      <x:c r="U215" s="6">
        <x:v>46295</x:v>
      </x:c>
      <x:c r="V215" s="6">
        <x:v>46295</x:v>
      </x:c>
      <x:c r="W215" s="6">
        <x:v>46303</x:v>
      </x:c>
      <x:c r="X215" t="str" s="2">
        <x:v>4695287993</x:v>
      </x:c>
      <x:c r="Y215" t="str" s="2">
        <x:v>greicynunez85@gmail.com</x:v>
      </x:c>
      <x:c r="Z215" s="6">
        <x:v>46296.89043487269</x:v>
      </x:c>
      <x:c r="AA215" t="str" s="2">
        <x:v>Kristin Breedlove</x:v>
      </x:c>
      <x:c r="AB215" s="6">
        <x:v>46216.67799780093</x:v>
      </x:c>
      <x:c r="AC215" t="n" s="2">
        <x:v>38464</x:v>
      </x:c>
      <x:c r="AD215" t="str" s="2">
        <x:v>Singlewide</x:v>
      </x:c>
      <x:c r="AE215" t="str" s="2">
        <x:v>Legacy Housing Corporation</x:v>
      </x:c>
      <x:c r="AF215" s="7">
        <x:v>9125.5</x:v>
      </x:c>
      <x:c r="AG215" s="7">
        <x:v>9348.5</x:v>
      </x:c>
      <x:c r="AH215" s="0"/>
      <x:c r="AI215" t="str" s="2">
        <x:v>665</x:v>
      </x:c>
      <x:c r="AJ215" s="0"/>
      <x:c r="AK215" s="0"/>
    </x:row>
    <x:row r="216">
      <x:c r="A216" t="str" s="2">
        <x:f>=HYPERLINK("https://rsms.futurehomex.com/lead/38465", "James Dulnuan")</x:f>
      </x:c>
      <x:c r="B216" t="n" s="2">
        <x:v>92</x:v>
      </x:c>
      <x:c r="C216" t="str" s="2">
        <x:v>1/1</x:v>
      </x:c>
      <x:c r="D216" t="str" s="2">
        <x:f>=""</x:f>
      </x:c>
      <x:c r="E216" s="0"/>
      <x:c r="F216" t="str" s="2">
        <x:v>Walk-in</x:v>
      </x:c>
      <x:c r="G216" t="str" s="2">
        <x:v>Heritage Housing of Oklahoma City</x:v>
      </x:c>
      <x:c r="H216" t="str" s="2">
        <x:v>Alejandra Calderon</x:v>
      </x:c>
      <x:c r="I216" t="str" s="2">
        <x:v>Karol Romero</x:v>
      </x:c>
      <x:c r="J216" t="str" s="2">
        <x:v>Steve Castell</x:v>
      </x:c>
      <x:c r="K216" t="n" s="2">
        <x:v>5</x:v>
      </x:c>
      <x:c r="L216" t="str" s="2">
        <x:v>1.1</x:v>
      </x:c>
      <x:c r="M216" t="str" s="2">
        <x:v>Tentative</x:v>
      </x:c>
      <x:c r="N216" t="str" s="2">
        <x:v>Deal Created</x:v>
      </x:c>
      <x:c r="O216" s="0"/>
      <x:c r="P216" s="6">
        <x:v>46216</x:v>
      </x:c>
      <x:c r="Q216" s="6">
        <x:v>46216.68248318287</x:v>
      </x:c>
      <x:c r="R216" t="str" s="2">
        <x:v>Trey Rixleben</x:v>
      </x:c>
      <x:c r="S216" s="6">
        <x:v>46216</x:v>
      </x:c>
      <x:c r="T216" s="0"/>
      <x:c r="U216" s="0"/>
      <x:c r="V216" s="0"/>
      <x:c r="W216" s="0"/>
      <x:c r="X216" t="str" s="2">
        <x:v>4056551696</x:v>
      </x:c>
      <x:c r="Y216" t="str" s="2">
        <x:v>kdoodle51@gmail.com</x:v>
      </x:c>
      <x:c r="Z216" s="0"/>
      <x:c r="AA216" s="0"/>
      <x:c r="AB216" s="6">
        <x:v>46216.6824849537</x:v>
      </x:c>
      <x:c r="AC216" t="n" s="2">
        <x:v>38465</x:v>
      </x:c>
      <x:c r="AD216" s="0"/>
      <x:c r="AE216" s="0"/>
      <x:c r="AF216" s="0"/>
      <x:c r="AG216" s="0"/>
      <x:c r="AH216" s="0"/>
      <x:c r="AI216" s="0"/>
      <x:c r="AJ216" s="0"/>
      <x:c r="AK216" s="0"/>
    </x:row>
    <x:row r="217">
      <x:c r="A217" t="str" s="2">
        <x:f>=HYPERLINK("https://rsms.futurehomex.com/lead/38466", "Shanelda LaShay")</x:f>
      </x:c>
      <x:c r="B217" t="n" s="2">
        <x:v>92</x:v>
      </x:c>
      <x:c r="C217" t="str" s="2">
        <x:v/>
      </x:c>
      <x:c r="D217" t="str" s="2">
        <x:f>=""</x:f>
      </x:c>
      <x:c r="E217" s="0"/>
      <x:c r="F217" t="str" s="2">
        <x:v>Meta Marketplace</x:v>
      </x:c>
      <x:c r="G217" t="str" s="2">
        <x:v>Heritage Housing of Athens</x:v>
      </x:c>
      <x:c r="H217" t="str" s="2">
        <x:v>Nathan Bishop</x:v>
      </x:c>
      <x:c r="I217" t="str" s="2">
        <x:v>Karol Romero</x:v>
      </x:c>
      <x:c r="J217" t="str" s="2">
        <x:v>Nathan Bishop</x:v>
      </x:c>
      <x:c r="K217" t="n" s="2">
        <x:v>5</x:v>
      </x:c>
      <x:c r="L217" t="str" s="2">
        <x:v>1.1</x:v>
      </x:c>
      <x:c r="M217" t="str" s="2">
        <x:v>Tentative</x:v>
      </x:c>
      <x:c r="N217" t="str" s="2">
        <x:v>Deal Created</x:v>
      </x:c>
      <x:c r="O217" s="0"/>
      <x:c r="P217" s="6">
        <x:v>46216</x:v>
      </x:c>
      <x:c r="Q217" s="6">
        <x:v>46216.69087341435</x:v>
      </x:c>
      <x:c r="R217" s="0"/>
      <x:c r="S217" s="0"/>
      <x:c r="T217" s="0"/>
      <x:c r="U217" s="0"/>
      <x:c r="V217" s="0"/>
      <x:c r="W217" s="0"/>
      <x:c r="X217" t="str" s="2">
        <x:v>8645486556</x:v>
      </x:c>
      <x:c r="Y217" t="str" s="2">
        <x:v>8645486556</x:v>
      </x:c>
      <x:c r="Z217" s="6">
        <x:v>46216.69298059028</x:v>
      </x:c>
      <x:c r="AA217" t="str" s="2">
        <x:v>Nathan Bishop</x:v>
      </x:c>
      <x:c r="AB217" s="6">
        <x:v>46216.69087515046</x:v>
      </x:c>
      <x:c r="AC217" t="n" s="2">
        <x:v>38466</x:v>
      </x:c>
      <x:c r="AD217" s="0"/>
      <x:c r="AE217" s="0"/>
      <x:c r="AF217" s="0"/>
      <x:c r="AG217" s="0"/>
      <x:c r="AH217" s="0"/>
      <x:c r="AI217" s="0"/>
      <x:c r="AJ217" s="0"/>
      <x:c r="AK217" s="0"/>
    </x:row>
    <x:row r="218">
      <x:c r="A218" t="str" s="2">
        <x:f>=HYPERLINK("https://rsms.futurehomex.com/lead/38468", "Alexis Pettey")</x:f>
      </x:c>
      <x:c r="B218" t="n" s="2">
        <x:v>92</x:v>
      </x:c>
      <x:c r="C218" t="str" s="2">
        <x:v>0/3</x:v>
      </x:c>
      <x:c r="D218" t="str" s="2">
        <x:f>=""</x:f>
      </x:c>
      <x:c r="E218" t="str" s="2">
        <x:v>Brayden PriceWiestner</x:v>
      </x:c>
      <x:c r="F218" t="str" s="2">
        <x:v>Facebook Messenger</x:v>
      </x:c>
      <x:c r="G218" t="str" s="2">
        <x:v>Heritage Housing of Oklahoma City</x:v>
      </x:c>
      <x:c r="H218" t="str" s="2">
        <x:v>Karla Brizuela</x:v>
      </x:c>
      <x:c r="I218" s="0"/>
      <x:c r="J218" t="str" s="2">
        <x:v>Karla Brizuela</x:v>
      </x:c>
      <x:c r="K218" t="n" s="2">
        <x:v>5</x:v>
      </x:c>
      <x:c r="L218" t="str" s="2">
        <x:v>1.1</x:v>
      </x:c>
      <x:c r="M218" t="str" s="2">
        <x:v>Dead</x:v>
      </x:c>
      <x:c r="N218" t="str" s="2">
        <x:v>Deal Created</x:v>
      </x:c>
      <x:c r="O218" s="0"/>
      <x:c r="P218" s="6">
        <x:v>46216</x:v>
      </x:c>
      <x:c r="Q218" s="6">
        <x:v>46216.93318017361</x:v>
      </x:c>
      <x:c r="R218" s="0"/>
      <x:c r="S218" s="6">
        <x:v>46216</x:v>
      </x:c>
      <x:c r="T218" s="0"/>
      <x:c r="U218" s="0"/>
      <x:c r="V218" s="0"/>
      <x:c r="W218" s="0"/>
      <x:c r="X218" t="str" s="2">
        <x:v>5803779903</x:v>
      </x:c>
      <x:c r="Y218" t="str" s="2">
        <x:v>tazpebbles1234@gmail.com</x:v>
      </x:c>
      <x:c r="Z218" s="6">
        <x:v>46228.69152804398</x:v>
      </x:c>
      <x:c r="AA218" t="str" s="2">
        <x:v>Karla Brizuela</x:v>
      </x:c>
      <x:c r="AB218" s="6">
        <x:v>46216.71707403935</x:v>
      </x:c>
      <x:c r="AC218" t="n" s="2">
        <x:v>38468</x:v>
      </x:c>
      <x:c r="AD218" s="0"/>
      <x:c r="AE218" s="0"/>
      <x:c r="AF218" s="0"/>
      <x:c r="AG218" s="0"/>
      <x:c r="AH218" s="0"/>
      <x:c r="AI218" s="0"/>
      <x:c r="AJ218" s="0"/>
      <x:c r="AK218" s="0"/>
    </x:row>
    <x:row r="219">
      <x:c r="A219" t="str" s="2">
        <x:f>=HYPERLINK("https://rsms.futurehomex.com/lead/38469", "Rebecca Standridge")</x:f>
      </x:c>
      <x:c r="B219" t="n" s="2">
        <x:v>92</x:v>
      </x:c>
      <x:c r="C219" t="str" s="2">
        <x:v>0/1</x:v>
      </x:c>
      <x:c r="D219" t="str" s="2">
        <x:f>=""</x:f>
      </x:c>
      <x:c r="E219" s="0"/>
      <x:c r="F219" t="str" s="2">
        <x:v>Walk-in</x:v>
      </x:c>
      <x:c r="G219" t="str" s="2">
        <x:v>Heritage Housing of Athens</x:v>
      </x:c>
      <x:c r="H219" t="str" s="2">
        <x:v>Iris McKinley</x:v>
      </x:c>
      <x:c r="I219" s="0"/>
      <x:c r="J219" s="0"/>
      <x:c r="K219" t="n" s="2">
        <x:v>38</x:v>
      </x:c>
      <x:c r="L219" t="str" s="2">
        <x:v>3.2</x:v>
      </x:c>
      <x:c r="M219" t="str" s="2">
        <x:v>Tentative</x:v>
      </x:c>
      <x:c r="N219" t="str" s="2">
        <x:v>Application</x:v>
      </x:c>
      <x:c r="O219" s="0"/>
      <x:c r="P219" s="6">
        <x:v>46216</x:v>
      </x:c>
      <x:c r="Q219" s="6">
        <x:v>46216.81168113426</x:v>
      </x:c>
      <x:c r="R219" s="0"/>
      <x:c r="S219" s="0"/>
      <x:c r="T219" s="0"/>
      <x:c r="U219" s="0"/>
      <x:c r="V219" s="0"/>
      <x:c r="W219" s="0"/>
      <x:c r="X219" t="str" s="2">
        <x:v>7705393899</x:v>
      </x:c>
      <x:c r="Y219" t="str" s="2">
        <x:v>standridge24@yahoo.com</x:v>
      </x:c>
      <x:c r="Z219" s="6">
        <x:v>46218.64602005787</x:v>
      </x:c>
      <x:c r="AA219" t="str" s="2">
        <x:v>Sarahi Vazquez</x:v>
      </x:c>
      <x:c r="AB219" s="6">
        <x:v>46216.76032329861</x:v>
      </x:c>
      <x:c r="AC219" t="n" s="2">
        <x:v>38469</x:v>
      </x:c>
      <x:c r="AD219" s="0"/>
      <x:c r="AE219" s="0"/>
      <x:c r="AF219" s="0"/>
      <x:c r="AG219" s="7">
        <x:v>10000</x:v>
      </x:c>
      <x:c r="AH219" s="0"/>
      <x:c r="AI219" s="0"/>
      <x:c r="AJ219" s="0"/>
      <x:c r="AK219" s="0"/>
    </x:row>
    <x:row r="220">
      <x:c r="A220" t="str" s="2">
        <x:f>=HYPERLINK("https://rsms.futurehomex.com/lead/38470", "Brittany Evette")</x:f>
      </x:c>
      <x:c r="B220" t="n" s="2">
        <x:v>92</x:v>
      </x:c>
      <x:c r="C220" t="str" s="2">
        <x:v>1/1</x:v>
      </x:c>
      <x:c r="D220" t="str" s="2">
        <x:f>=""</x:f>
      </x:c>
      <x:c r="E220" s="0"/>
      <x:c r="F220" t="str" s="2">
        <x:v>Walk-in</x:v>
      </x:c>
      <x:c r="G220" t="str" s="2">
        <x:v>Legacy Housing Corp. DBA Americasa</x:v>
      </x:c>
      <x:c r="H220" t="str" s="2">
        <x:v>House</x:v>
      </x:c>
      <x:c r="I220" t="str" s="2">
        <x:v>Karol Romero</x:v>
      </x:c>
      <x:c r="J220" s="0"/>
      <x:c r="K220" t="n" s="2">
        <x:v>5</x:v>
      </x:c>
      <x:c r="L220" t="str" s="2">
        <x:v>1.1</x:v>
      </x:c>
      <x:c r="M220" t="str" s="2">
        <x:v>Tentative</x:v>
      </x:c>
      <x:c r="N220" t="str" s="2">
        <x:v>Prospect</x:v>
      </x:c>
      <x:c r="O220" s="0"/>
      <x:c r="P220" s="6">
        <x:v>46216</x:v>
      </x:c>
      <x:c r="Q220" s="6">
        <x:v>46216.761750150465</x:v>
      </x:c>
      <x:c r="R220" s="0"/>
      <x:c r="S220" s="0"/>
      <x:c r="T220" s="0"/>
      <x:c r="U220" s="0"/>
      <x:c r="V220" s="0"/>
      <x:c r="W220" s="0"/>
      <x:c r="X220" t="str" s="2">
        <x:v>3465519743</x:v>
      </x:c>
      <x:c r="Y220" t="str" s="2">
        <x:v>3465519743</x:v>
      </x:c>
      <x:c r="Z220" s="6">
        <x:v>46216.78536380787</x:v>
      </x:c>
      <x:c r="AA220" t="str" s="2">
        <x:v>Angelica Mendoza </x:v>
      </x:c>
      <x:c r="AB220" s="6">
        <x:v>46216.761751701386</x:v>
      </x:c>
      <x:c r="AC220" t="n" s="2">
        <x:v>38470</x:v>
      </x:c>
      <x:c r="AD220" s="0"/>
      <x:c r="AE220" s="0"/>
      <x:c r="AF220" s="0"/>
      <x:c r="AG220" s="0"/>
      <x:c r="AH220" s="0"/>
      <x:c r="AI220" s="0"/>
      <x:c r="AJ220" s="0"/>
      <x:c r="AK220" s="0"/>
    </x:row>
    <x:row r="221">
      <x:c r="A221" t="str" s="2">
        <x:f>=HYPERLINK("https://rsms.futurehomex.com/lead/38471", "Rick Milton")</x:f>
      </x:c>
      <x:c r="B221" t="n" s="2">
        <x:v>92</x:v>
      </x:c>
      <x:c r="C221" t="str" s="2">
        <x:v>0/2</x:v>
      </x:c>
      <x:c r="D221" t="str" s="2">
        <x:f>=""</x:f>
      </x:c>
      <x:c r="E221" s="0"/>
      <x:c r="F221" t="str" s="2">
        <x:v>Meta Marketplace</x:v>
      </x:c>
      <x:c r="G221" t="str" s="2">
        <x:v>Heritage Housing of Minden</x:v>
      </x:c>
      <x:c r="H221" t="str" s="2">
        <x:v>Patrick Schuchart</x:v>
      </x:c>
      <x:c r="I221" t="str" s="2">
        <x:v>Karol Romero</x:v>
      </x:c>
      <x:c r="J221" t="str" s="2">
        <x:v>Patrick Schuchart</x:v>
      </x:c>
      <x:c r="K221" t="n" s="2">
        <x:v>5</x:v>
      </x:c>
      <x:c r="L221" t="str" s="2">
        <x:v>1.1</x:v>
      </x:c>
      <x:c r="M221" t="str" s="2">
        <x:v>Active</x:v>
      </x:c>
      <x:c r="N221" t="str" s="2">
        <x:v>Deal Created</x:v>
      </x:c>
      <x:c r="O221" s="0"/>
      <x:c r="P221" s="6">
        <x:v>46216</x:v>
      </x:c>
      <x:c r="Q221" s="6">
        <x:v>46216.78546331019</x:v>
      </x:c>
      <x:c r="R221" s="0"/>
      <x:c r="S221" s="0"/>
      <x:c r="T221" s="0"/>
      <x:c r="U221" s="0"/>
      <x:c r="V221" s="0"/>
      <x:c r="W221" s="0"/>
      <x:c r="X221" t="str" s="2">
        <x:v>5802311209</x:v>
      </x:c>
      <x:c r="Y221" t="str" s="2">
        <x:v>5802311209</x:v>
      </x:c>
      <x:c r="Z221" s="6">
        <x:v>46295.87732572917</x:v>
      </x:c>
      <x:c r="AA221" t="str" s="2">
        <x:v>Kyla Brown</x:v>
      </x:c>
      <x:c r="AB221" s="6">
        <x:v>46216.78546501158</x:v>
      </x:c>
      <x:c r="AC221" t="n" s="2">
        <x:v>38471</x:v>
      </x:c>
      <x:c r="AD221" s="0"/>
      <x:c r="AE221" s="0"/>
      <x:c r="AF221" s="0"/>
      <x:c r="AG221" s="0"/>
      <x:c r="AH221" s="0"/>
      <x:c r="AI221" s="0"/>
      <x:c r="AJ221" s="0"/>
      <x:c r="AK221" s="0"/>
    </x:row>
    <x:row r="222">
      <x:c r="A222" t="str" s="2">
        <x:f>=HYPERLINK("https://rsms.futurehomex.com/lead/38472", "Dale Clift")</x:f>
      </x:c>
      <x:c r="B222" t="n" s="2">
        <x:v>92</x:v>
      </x:c>
      <x:c r="C222" t="str" s="2">
        <x:v>1/1</x:v>
      </x:c>
      <x:c r="D222" t="str" s="2">
        <x:f>=""</x:f>
      </x:c>
      <x:c r="E222" s="0"/>
      <x:c r="F222" t="str" s="2">
        <x:v>Walk-in</x:v>
      </x:c>
      <x:c r="G222" t="str" s="2">
        <x:v>Heritage Housing of Oklahoma City</x:v>
      </x:c>
      <x:c r="H222" t="str" s="2">
        <x:v>Trey Rixleben</x:v>
      </x:c>
      <x:c r="I222" t="str" s="2">
        <x:v>Karol Romero</x:v>
      </x:c>
      <x:c r="J222" t="str" s="2">
        <x:v>Trey Rixleben</x:v>
      </x:c>
      <x:c r="K222" t="n" s="2">
        <x:v>5</x:v>
      </x:c>
      <x:c r="L222" t="str" s="2">
        <x:v>1.1</x:v>
      </x:c>
      <x:c r="M222" t="str" s="2">
        <x:v>Tentative</x:v>
      </x:c>
      <x:c r="N222" t="str" s="2">
        <x:v>Deal Created</x:v>
      </x:c>
      <x:c r="O222" s="0"/>
      <x:c r="P222" s="6">
        <x:v>46216</x:v>
      </x:c>
      <x:c r="Q222" s="6">
        <x:v>46216.79538263889</x:v>
      </x:c>
      <x:c r="R222" s="0"/>
      <x:c r="S222" s="0"/>
      <x:c r="T222" s="0"/>
      <x:c r="U222" s="0"/>
      <x:c r="V222" s="0"/>
      <x:c r="W222" s="0"/>
      <x:c r="X222" t="str" s="2">
        <x:v>4054033967</x:v>
      </x:c>
      <x:c r="Y222" t="str" s="2">
        <x:v>4054033967</x:v>
      </x:c>
      <x:c r="Z222" s="6">
        <x:v>46290.73326461806</x:v>
      </x:c>
      <x:c r="AA222" t="str" s="2">
        <x:v>Trey Rixleben</x:v>
      </x:c>
      <x:c r="AB222" s="6">
        <x:v>46216.795384143516</x:v>
      </x:c>
      <x:c r="AC222" t="n" s="2">
        <x:v>38472</x:v>
      </x:c>
      <x:c r="AD222" s="0"/>
      <x:c r="AE222" s="0"/>
      <x:c r="AF222" s="0"/>
      <x:c r="AG222" s="0"/>
      <x:c r="AH222" s="0"/>
      <x:c r="AI222" s="0"/>
      <x:c r="AJ222" s="0"/>
      <x:c r="AK222" s="0"/>
    </x:row>
    <x:row r="223">
      <x:c r="A223" t="str" s="2">
        <x:f>=HYPERLINK("https://rsms.futurehomex.com/lead/38473", "Rafa Estrada")</x:f>
      </x:c>
      <x:c r="B223" t="n" s="2">
        <x:v>92</x:v>
      </x:c>
      <x:c r="C223" t="str" s="2">
        <x:v/>
      </x:c>
      <x:c r="D223" t="str" s="2">
        <x:f>=""</x:f>
      </x:c>
      <x:c r="E223" s="0"/>
      <x:c r="F223" t="str" s="2">
        <x:v>Meta Marketplace</x:v>
      </x:c>
      <x:c r="G223" t="str" s="2">
        <x:v>Heritage Housing of Athens</x:v>
      </x:c>
      <x:c r="H223" t="str" s="2">
        <x:v>Nathan Bishop</x:v>
      </x:c>
      <x:c r="I223" t="str" s="2">
        <x:v>Karol Romero</x:v>
      </x:c>
      <x:c r="J223" t="str" s="2">
        <x:v>Nathan Bishop</x:v>
      </x:c>
      <x:c r="K223" t="n" s="2">
        <x:v>5</x:v>
      </x:c>
      <x:c r="L223" t="str" s="2">
        <x:v>1.1</x:v>
      </x:c>
      <x:c r="M223" t="str" s="2">
        <x:v>Tentative</x:v>
      </x:c>
      <x:c r="N223" t="str" s="2">
        <x:v>Deal Created</x:v>
      </x:c>
      <x:c r="O223" s="0"/>
      <x:c r="P223" s="6">
        <x:v>46216</x:v>
      </x:c>
      <x:c r="Q223" s="6">
        <x:v>46216.82818885417</x:v>
      </x:c>
      <x:c r="R223" s="0"/>
      <x:c r="S223" s="0"/>
      <x:c r="T223" s="0"/>
      <x:c r="U223" s="0"/>
      <x:c r="V223" s="0"/>
      <x:c r="W223" s="0"/>
      <x:c r="X223" t="str" s="2">
        <x:v>6786898435</x:v>
      </x:c>
      <x:c r="Y223" t="str" s="2">
        <x:v>6786898435</x:v>
      </x:c>
      <x:c r="Z223" s="6">
        <x:v>46216.83041944444</x:v>
      </x:c>
      <x:c r="AA223" t="str" s="2">
        <x:v>Nathan Bishop</x:v>
      </x:c>
      <x:c r="AB223" s="6">
        <x:v>46216.82819050926</x:v>
      </x:c>
      <x:c r="AC223" t="n" s="2">
        <x:v>38473</x:v>
      </x:c>
      <x:c r="AD223" s="0"/>
      <x:c r="AE223" s="0"/>
      <x:c r="AF223" s="0"/>
      <x:c r="AG223" s="0"/>
      <x:c r="AH223" s="0"/>
      <x:c r="AI223" s="0"/>
      <x:c r="AJ223" s="0"/>
      <x:c r="AK223" s="0"/>
    </x:row>
    <x:row r="224">
      <x:c r="A224" t="str" s="2">
        <x:f>=HYPERLINK("https://rsms.futurehomex.com/lead/38474", "Yulieth Castillo")</x:f>
      </x:c>
      <x:c r="B224" t="n" s="2">
        <x:v>92</x:v>
      </x:c>
      <x:c r="C224" t="str" s="2">
        <x:v/>
      </x:c>
      <x:c r="D224" t="str" s="2">
        <x:f>=""</x:f>
      </x:c>
      <x:c r="E224" s="0"/>
      <x:c r="F224" t="str" s="2">
        <x:v>Flyers</x:v>
      </x:c>
      <x:c r="G224" t="str" s="2">
        <x:v>Heritage Housing Mt Pleasant</x:v>
      </x:c>
      <x:c r="H224" t="str" s="2">
        <x:v>Sandra Saldana</x:v>
      </x:c>
      <x:c r="I224" s="0"/>
      <x:c r="J224" t="str" s="2">
        <x:v>Sandra Saldana</x:v>
      </x:c>
      <x:c r="K224" t="n" s="2">
        <x:v>5</x:v>
      </x:c>
      <x:c r="L224" t="str" s="2">
        <x:v>1.1</x:v>
      </x:c>
      <x:c r="M224" t="str" s="2">
        <x:v>Tentative</x:v>
      </x:c>
      <x:c r="N224" t="str" s="2">
        <x:v>Prospect</x:v>
      </x:c>
      <x:c r="O224" s="0"/>
      <x:c r="P224" s="6">
        <x:v>46216</x:v>
      </x:c>
      <x:c r="Q224" s="6">
        <x:v>46216.87312577546</x:v>
      </x:c>
      <x:c r="R224" s="0"/>
      <x:c r="S224" s="0"/>
      <x:c r="T224" s="0"/>
      <x:c r="U224" s="0"/>
      <x:c r="V224" s="0"/>
      <x:c r="W224" s="0"/>
      <x:c r="X224" t="str" s="2">
        <x:v>9032049388</x:v>
      </x:c>
      <x:c r="Y224" t="str" s="2">
        <x:v>9032049388</x:v>
      </x:c>
      <x:c r="Z224" s="6">
        <x:v>46228.94153329861</x:v>
      </x:c>
      <x:c r="AA224" t="str" s="2">
        <x:v>Sandra Saldana</x:v>
      </x:c>
      <x:c r="AB224" s="6">
        <x:v>46216.87312665509</x:v>
      </x:c>
      <x:c r="AC224" t="n" s="2">
        <x:v>38474</x:v>
      </x:c>
      <x:c r="AD224" s="0"/>
      <x:c r="AE224" s="0"/>
      <x:c r="AF224" s="0"/>
      <x:c r="AG224" s="0"/>
      <x:c r="AH224" s="0"/>
      <x:c r="AI224" s="0"/>
      <x:c r="AJ224" s="0"/>
      <x:c r="AK224" s="0"/>
    </x:row>
    <x:row r="225">
      <x:c r="A225" t="str" s="2">
        <x:f>=HYPERLINK("https://rsms.futurehomex.com/lead/38475", "Marjorie Corley Corley")</x:f>
      </x:c>
      <x:c r="B225" t="n" s="2">
        <x:v>92</x:v>
      </x:c>
      <x:c r="C225" t="str" s="2">
        <x:v/>
      </x:c>
      <x:c r="D225" t="str" s="2">
        <x:f>=""</x:f>
      </x:c>
      <x:c r="E225" s="0"/>
      <x:c r="F225" t="str" s="2">
        <x:v>META Marketplace</x:v>
      </x:c>
      <x:c r="G225" t="str" s="2">
        <x:v>Heritage Housing Mt Pleasant</x:v>
      </x:c>
      <x:c r="H225" t="str" s="2">
        <x:v>Yarelis Torres</x:v>
      </x:c>
      <x:c r="I225" s="0"/>
      <x:c r="J225" t="str" s="2">
        <x:v>Yarelis Torres</x:v>
      </x:c>
      <x:c r="K225" t="n" s="2">
        <x:v>5</x:v>
      </x:c>
      <x:c r="L225" t="str" s="2">
        <x:v>1.1</x:v>
      </x:c>
      <x:c r="M225" t="str" s="2">
        <x:v>Tentative</x:v>
      </x:c>
      <x:c r="N225" t="str" s="2">
        <x:v>Prospect</x:v>
      </x:c>
      <x:c r="O225" s="0"/>
      <x:c r="P225" s="6">
        <x:v>46216</x:v>
      </x:c>
      <x:c r="Q225" s="6">
        <x:v>46216.97809456019</x:v>
      </x:c>
      <x:c r="R225" s="0"/>
      <x:c r="S225" s="0"/>
      <x:c r="T225" s="0"/>
      <x:c r="U225" s="0"/>
      <x:c r="V225" s="0"/>
      <x:c r="W225" s="0"/>
      <x:c r="X225" t="str" s="2">
        <x:v>9183852204</x:v>
      </x:c>
      <x:c r="Y225" t="str" s="2">
        <x:v>corleymarjorie949@gmail.com</x:v>
      </x:c>
      <x:c r="Z225" s="6">
        <x:v>46216.97935540509</x:v>
      </x:c>
      <x:c r="AA225" t="str" s="2">
        <x:v>Yarelis Torres</x:v>
      </x:c>
      <x:c r="AB225" s="6">
        <x:v>46216.87512318287</x:v>
      </x:c>
      <x:c r="AC225" t="n" s="2">
        <x:v>38475</x:v>
      </x:c>
      <x:c r="AD225" s="0"/>
      <x:c r="AE225" s="0"/>
      <x:c r="AF225" s="0"/>
      <x:c r="AG225" s="0"/>
      <x:c r="AH225" s="0"/>
      <x:c r="AI225" s="0"/>
      <x:c r="AJ225" s="0"/>
      <x:c r="AK225" s="0"/>
    </x:row>
    <x:row r="226">
      <x:c r="A226" t="str" s="2">
        <x:f>=HYPERLINK("https://rsms.futurehomex.com/lead/38476", "Sandy Esparza")</x:f>
      </x:c>
      <x:c r="B226" t="n" s="2">
        <x:v>92</x:v>
      </x:c>
      <x:c r="C226" t="str" s="2">
        <x:v/>
      </x:c>
      <x:c r="D226" t="str" s="2">
        <x:f>=""</x:f>
      </x:c>
      <x:c r="E226" s="0"/>
      <x:c r="F226" t="str" s="2">
        <x:v>Meta Marketplace</x:v>
      </x:c>
      <x:c r="G226" t="str" s="2">
        <x:v>Heritage Housing of Asheboro</x:v>
      </x:c>
      <x:c r="H226" t="str" s="2">
        <x:v>Maria Lopez</x:v>
      </x:c>
      <x:c r="I226" s="0"/>
      <x:c r="J226" s="0"/>
      <x:c r="K226" t="n" s="2">
        <x:v>21</x:v>
      </x:c>
      <x:c r="L226" t="str" s="2">
        <x:v>2.1</x:v>
      </x:c>
      <x:c r="M226" t="str" s="2">
        <x:v>Tentative</x:v>
      </x:c>
      <x:c r="N226" t="str" s="2">
        <x:v>Qualified</x:v>
      </x:c>
      <x:c r="O226" s="0"/>
      <x:c r="P226" s="6">
        <x:v>46216</x:v>
      </x:c>
      <x:c r="Q226" s="6">
        <x:v>46216.90038387731</x:v>
      </x:c>
      <x:c r="R226" s="0"/>
      <x:c r="S226" s="6">
        <x:v>46216</x:v>
      </x:c>
      <x:c r="T226" s="0"/>
      <x:c r="U226" s="0"/>
      <x:c r="V226" s="0"/>
      <x:c r="W226" s="0"/>
      <x:c r="X226" t="str" s="2">
        <x:v>7432673268</x:v>
      </x:c>
      <x:c r="Y226" t="str" s="2">
        <x:v>sandy.espa866@gmail.com</x:v>
      </x:c>
      <x:c r="Z226" s="6">
        <x:v>46216.90036704861</x:v>
      </x:c>
      <x:c r="AA226" t="str" s="2">
        <x:v>Jeremy Jacques</x:v>
      </x:c>
      <x:c r="AB226" s="6">
        <x:v>46216.88498009259</x:v>
      </x:c>
      <x:c r="AC226" t="n" s="2">
        <x:v>38476</x:v>
      </x:c>
      <x:c r="AD226" s="0"/>
      <x:c r="AE226" s="0"/>
      <x:c r="AF226" s="0"/>
      <x:c r="AG226" s="0"/>
      <x:c r="AH226" s="0"/>
      <x:c r="AI226" s="0"/>
      <x:c r="AJ226" s="0"/>
      <x:c r="AK226" s="0"/>
    </x:row>
    <x:row r="227">
      <x:c r="A227" t="str" s="2">
        <x:f>=HYPERLINK("https://rsms.futurehomex.com/lead/38477", "Manuel Flores")</x:f>
      </x:c>
      <x:c r="B227" t="n" s="2">
        <x:v>92</x:v>
      </x:c>
      <x:c r="C227" t="str" s="2">
        <x:v/>
      </x:c>
      <x:c r="D227" t="str" s="2">
        <x:f>=""</x:f>
      </x:c>
      <x:c r="E227" s="0"/>
      <x:c r="F227" t="str" s="2">
        <x:v>META Marketplace</x:v>
      </x:c>
      <x:c r="G227" t="str" s="2">
        <x:v>Heritage Housing Mt Pleasant</x:v>
      </x:c>
      <x:c r="H227" t="str" s="2">
        <x:v>Yarelis Torres</x:v>
      </x:c>
      <x:c r="I227" s="0"/>
      <x:c r="J227" t="str" s="2">
        <x:v>Yarelis Torres</x:v>
      </x:c>
      <x:c r="K227" t="n" s="2">
        <x:v>5</x:v>
      </x:c>
      <x:c r="L227" t="str" s="2">
        <x:v>1.1</x:v>
      </x:c>
      <x:c r="M227" t="str" s="2">
        <x:v>Tentative</x:v>
      </x:c>
      <x:c r="N227" t="str" s="2">
        <x:v>Deal Created</x:v>
      </x:c>
      <x:c r="O227" s="0"/>
      <x:c r="P227" s="6">
        <x:v>46216</x:v>
      </x:c>
      <x:c r="Q227" s="6">
        <x:v>46216.89087704861</x:v>
      </x:c>
      <x:c r="R227" s="0"/>
      <x:c r="S227" s="0"/>
      <x:c r="T227" s="0"/>
      <x:c r="U227" s="0"/>
      <x:c r="V227" s="0"/>
      <x:c r="W227" s="0"/>
      <x:c r="X227" t="str" s="2">
        <x:v>5053926188</x:v>
      </x:c>
      <x:c r="Y227" t="str" s="2">
        <x:v>5053926188</x:v>
      </x:c>
      <x:c r="Z227" s="6">
        <x:v>46216.91356825231</x:v>
      </x:c>
      <x:c r="AA227" t="str" s="2">
        <x:v>Yarelis Torres</x:v>
      </x:c>
      <x:c r="AB227" s="6">
        <x:v>46216.89026921296</x:v>
      </x:c>
      <x:c r="AC227" t="n" s="2">
        <x:v>38477</x:v>
      </x:c>
      <x:c r="AD227" s="0"/>
      <x:c r="AE227" s="0"/>
      <x:c r="AF227" s="0"/>
      <x:c r="AG227" s="0"/>
      <x:c r="AH227" s="0"/>
      <x:c r="AI227" s="0"/>
      <x:c r="AJ227" s="0"/>
      <x:c r="AK227" s="0"/>
    </x:row>
    <x:row r="228">
      <x:c r="A228" t="str" s="2">
        <x:f>=HYPERLINK("https://rsms.futurehomex.com/lead/38478", "Arley Arley")</x:f>
      </x:c>
      <x:c r="B228" t="n" s="2">
        <x:v>92</x:v>
      </x:c>
      <x:c r="C228" t="str" s="2">
        <x:v/>
      </x:c>
      <x:c r="D228" t="str" s="2">
        <x:f>=""</x:f>
      </x:c>
      <x:c r="E228" s="0"/>
      <x:c r="F228" t="str" s="2">
        <x:v>Meta Marketplace</x:v>
      </x:c>
      <x:c r="G228" t="str" s="2">
        <x:v>Legacy Housing Corp. DBA Americasa</x:v>
      </x:c>
      <x:c r="H228" t="str" s="2">
        <x:v>Joey Marquez</x:v>
      </x:c>
      <x:c r="I228" t="str" s="2">
        <x:v>Karol Romero</x:v>
      </x:c>
      <x:c r="J228" t="str" s="2">
        <x:v>Rodrigo Ramirez</x:v>
      </x:c>
      <x:c r="K228" t="n" s="2">
        <x:v>5</x:v>
      </x:c>
      <x:c r="L228" t="str" s="2">
        <x:v>1.1</x:v>
      </x:c>
      <x:c r="M228" t="str" s="2">
        <x:v>Tentative</x:v>
      </x:c>
      <x:c r="N228" t="str" s="2">
        <x:v>Deal Created</x:v>
      </x:c>
      <x:c r="O228" s="0"/>
      <x:c r="P228" s="6">
        <x:v>46216</x:v>
      </x:c>
      <x:c r="Q228" s="6">
        <x:v>46216.89954135416</x:v>
      </x:c>
      <x:c r="R228" s="0"/>
      <x:c r="S228" s="0"/>
      <x:c r="T228" s="0"/>
      <x:c r="U228" s="0"/>
      <x:c r="V228" s="0"/>
      <x:c r="W228" s="0"/>
      <x:c r="X228" t="str" s="2">
        <x:v>4642443468</x:v>
      </x:c>
      <x:c r="Y228" t="str" s="2">
        <x:v>4642443468</x:v>
      </x:c>
      <x:c r="Z228" s="6">
        <x:v>46216.90009181713</x:v>
      </x:c>
      <x:c r="AA228" t="str" s="2">
        <x:v>Rodrigo Ramirez</x:v>
      </x:c>
      <x:c r="AB228" s="6">
        <x:v>46216.89954320602</x:v>
      </x:c>
      <x:c r="AC228" t="n" s="2">
        <x:v>38478</x:v>
      </x:c>
      <x:c r="AD228" s="0"/>
      <x:c r="AE228" s="0"/>
      <x:c r="AF228" s="0"/>
      <x:c r="AG228" s="0"/>
      <x:c r="AH228" s="0"/>
      <x:c r="AI228" s="0"/>
      <x:c r="AJ228" s="0"/>
      <x:c r="AK228" s="0"/>
    </x:row>
    <x:row r="229">
      <x:c r="A229" t="str" s="2">
        <x:f>=HYPERLINK("https://rsms.futurehomex.com/lead/38481", "Barbara Wegley")</x:f>
      </x:c>
      <x:c r="B229" t="n" s="2">
        <x:v>92</x:v>
      </x:c>
      <x:c r="C229" t="str" s="2">
        <x:v/>
      </x:c>
      <x:c r="D229" t="str" s="2">
        <x:f>=""</x:f>
      </x:c>
      <x:c r="E229" t="str" s="2">
        <x:v>Robert Wegley</x:v>
      </x:c>
      <x:c r="F229" t="str" s="2">
        <x:v>Walk-in</x:v>
      </x:c>
      <x:c r="G229" t="str" s="2">
        <x:v>Heritage Housing of Tulsa</x:v>
      </x:c>
      <x:c r="H229" t="str" s="2">
        <x:v>Brittany Cobb</x:v>
      </x:c>
      <x:c r="I229" t="str" s="2">
        <x:v>Karol Romero</x:v>
      </x:c>
      <x:c r="J229" t="str" s="2">
        <x:v>Brittany Cobb</x:v>
      </x:c>
      <x:c r="K229" t="n" s="2">
        <x:v>38</x:v>
      </x:c>
      <x:c r="L229" t="str" s="2">
        <x:v>3.2</x:v>
      </x:c>
      <x:c r="M229" t="str" s="2">
        <x:v>Dead</x:v>
      </x:c>
      <x:c r="N229" t="str" s="2">
        <x:v>Application</x:v>
      </x:c>
      <x:c r="O229" s="0"/>
      <x:c r="P229" s="6">
        <x:v>46216</x:v>
      </x:c>
      <x:c r="Q229" s="6">
        <x:v>46217.77058819444</x:v>
      </x:c>
      <x:c r="R229" s="0"/>
      <x:c r="S229" s="6">
        <x:v>46216</x:v>
      </x:c>
      <x:c r="T229" s="6">
        <x:v>46216</x:v>
      </x:c>
      <x:c r="U229" s="0"/>
      <x:c r="V229" s="0"/>
      <x:c r="W229" s="0"/>
      <x:c r="X229" t="str" s="2">
        <x:v>9187590533</x:v>
      </x:c>
      <x:c r="Y229" t="str" s="2">
        <x:v>bwegley10@yahoo.com</x:v>
      </x:c>
      <x:c r="Z229" s="6">
        <x:v>46223.686158599536</x:v>
      </x:c>
      <x:c r="AA229" t="str" s="2">
        <x:v>Brittany Cobb</x:v>
      </x:c>
      <x:c r="AB229" s="6">
        <x:v>46216.961151585645</x:v>
      </x:c>
      <x:c r="AC229" t="n" s="2">
        <x:v>38481</x:v>
      </x:c>
      <x:c r="AD229" t="str" s="2">
        <x:v>Doublewide</x:v>
      </x:c>
      <x:c r="AE229" s="0"/>
      <x:c r="AF229" s="0"/>
      <x:c r="AG229" s="7">
        <x:v>20000</x:v>
      </x:c>
      <x:c r="AH229" s="0"/>
      <x:c r="AI229" s="0"/>
      <x:c r="AJ229" s="0"/>
      <x:c r="AK229" s="0"/>
    </x:row>
    <x:row r="230">
      <x:c r="A230" t="str" s="2">
        <x:f>=HYPERLINK("https://rsms.futurehomex.com/lead/38483", "Gabriela Hudson")</x:f>
      </x:c>
      <x:c r="B230" t="n" s="2">
        <x:v>92</x:v>
      </x:c>
      <x:c r="C230" t="str" s="2">
        <x:v/>
      </x:c>
      <x:c r="D230" t="str" s="2">
        <x:f>=""</x:f>
      </x:c>
      <x:c r="E230" s="0"/>
      <x:c r="F230" t="str" s="2">
        <x:v>Self Employed Campaign</x:v>
      </x:c>
      <x:c r="G230" t="str" s="2">
        <x:v>Heritage Housing Mt Pleasant</x:v>
      </x:c>
      <x:c r="H230" t="str" s="2">
        <x:v>Elias Gallardo</x:v>
      </x:c>
      <x:c r="I230" s="0"/>
      <x:c r="J230" t="str" s="2">
        <x:v>Elias Gallardo</x:v>
      </x:c>
      <x:c r="K230" t="n" s="2">
        <x:v>5</x:v>
      </x:c>
      <x:c r="L230" t="str" s="2">
        <x:v>1.1</x:v>
      </x:c>
      <x:c r="M230" t="str" s="2">
        <x:v>Tentative</x:v>
      </x:c>
      <x:c r="N230" t="str" s="2">
        <x:v>Deal Created</x:v>
      </x:c>
      <x:c r="O230" s="0"/>
      <x:c r="P230" s="6">
        <x:v>46216</x:v>
      </x:c>
      <x:c r="Q230" s="6">
        <x:v>46216.98744895833</x:v>
      </x:c>
      <x:c r="R230" s="0"/>
      <x:c r="S230" s="0"/>
      <x:c r="T230" s="0"/>
      <x:c r="U230" s="0"/>
      <x:c r="V230" s="0"/>
      <x:c r="W230" s="0"/>
      <x:c r="X230" t="str" s="2">
        <x:v>2147721608</x:v>
      </x:c>
      <x:c r="Y230" t="str" s="2">
        <x:v>gsbriela.medina@gmail.com</x:v>
      </x:c>
      <x:c r="Z230" s="0"/>
      <x:c r="AA230" s="0"/>
      <x:c r="AB230" s="6">
        <x:v>46216.987451388886</x:v>
      </x:c>
      <x:c r="AC230" t="n" s="2">
        <x:v>38483</x:v>
      </x:c>
      <x:c r="AD230" s="0"/>
      <x:c r="AE230" s="0"/>
      <x:c r="AF230" s="0"/>
      <x:c r="AG230" s="0"/>
      <x:c r="AH230" s="0"/>
      <x:c r="AI230" s="0"/>
      <x:c r="AJ230" s="0"/>
      <x:c r="AK230" s="0"/>
    </x:row>
    <x:row r="231">
      <x:c r="A231" t="str" s="2">
        <x:f>=HYPERLINK("https://rsms.futurehomex.com/lead/38484", "Cornelio Curz Fort")</x:f>
      </x:c>
      <x:c r="B231" t="n" s="2">
        <x:v>91</x:v>
      </x:c>
      <x:c r="C231" t="str" s="2">
        <x:v>0/3</x:v>
      </x:c>
      <x:c r="D231" t="str" s="2">
        <x:f>=""</x:f>
      </x:c>
      <x:c r="E231" s="0"/>
      <x:c r="F231" t="str" s="2">
        <x:v>Referrals</x:v>
      </x:c>
      <x:c r="G231" t="str" s="2">
        <x:v>Legacy Housing Corp. DBA Americasa</x:v>
      </x:c>
      <x:c r="H231" t="str" s="2">
        <x:v>Joey Marquez</x:v>
      </x:c>
      <x:c r="I231" t="str" s="2">
        <x:v>Karol Romero</x:v>
      </x:c>
      <x:c r="J231" s="0"/>
      <x:c r="K231" t="n" s="2">
        <x:v>5</x:v>
      </x:c>
      <x:c r="L231" t="str" s="2">
        <x:v>1.1</x:v>
      </x:c>
      <x:c r="M231" t="str" s="2">
        <x:v>Tentative</x:v>
      </x:c>
      <x:c r="N231" t="str" s="2">
        <x:v>Prospect</x:v>
      </x:c>
      <x:c r="O231" s="0"/>
      <x:c r="P231" s="6">
        <x:v>46217</x:v>
      </x:c>
      <x:c r="Q231" s="6">
        <x:v>46251.6920496875</x:v>
      </x:c>
      <x:c r="R231" s="0"/>
      <x:c r="S231" s="0"/>
      <x:c r="T231" s="0"/>
      <x:c r="U231" s="0"/>
      <x:c r="V231" s="0"/>
      <x:c r="W231" s="0"/>
      <x:c r="X231" t="str" s="2">
        <x:v>7866553261</x:v>
      </x:c>
      <x:c r="Y231" t="str" s="2">
        <x:v>corneliox1960@gmail.com</x:v>
      </x:c>
      <x:c r="Z231" s="6">
        <x:v>46293.665343252316</x:v>
      </x:c>
      <x:c r="AA231" t="str" s="2">
        <x:v>Joey Marquez</x:v>
      </x:c>
      <x:c r="AB231" s="6">
        <x:v>46217.0074446412</x:v>
      </x:c>
      <x:c r="AC231" t="n" s="2">
        <x:v>38484</x:v>
      </x:c>
      <x:c r="AD231" s="0"/>
      <x:c r="AE231" s="0"/>
      <x:c r="AF231" s="0"/>
      <x:c r="AG231" s="0"/>
      <x:c r="AH231" s="0"/>
      <x:c r="AI231" s="0"/>
      <x:c r="AJ231" s="0"/>
      <x:c r="AK231" s="0"/>
    </x:row>
    <x:row r="232">
      <x:c r="A232" t="str" s="2">
        <x:f>=HYPERLINK("https://rsms.futurehomex.com/lead/38486", "Albert King")</x:f>
      </x:c>
      <x:c r="B232" t="n" s="2">
        <x:v>91</x:v>
      </x:c>
      <x:c r="C232" t="str" s="2">
        <x:v>0/4</x:v>
      </x:c>
      <x:c r="D232" t="str" s="2">
        <x:f>="Single"</x:f>
      </x:c>
      <x:c r="E232" t="str" s="2">
        <x:v>Chantel Black-King</x:v>
      </x:c>
      <x:c r="F232" t="str" s="2">
        <x:v>META Marketplace</x:v>
      </x:c>
      <x:c r="G232" t="str" s="2">
        <x:v>Heritage Housing Gainesville</x:v>
      </x:c>
      <x:c r="H232" t="str" s="2">
        <x:v>Kelly Ford</x:v>
      </x:c>
      <x:c r="I232" s="0"/>
      <x:c r="J232" t="str" s="2">
        <x:v>Kelly Ford</x:v>
      </x:c>
      <x:c r="K232" t="n" s="2">
        <x:v>38</x:v>
      </x:c>
      <x:c r="L232" t="str" s="2">
        <x:v>3.2</x:v>
      </x:c>
      <x:c r="M232" t="str" s="2">
        <x:v>Active</x:v>
      </x:c>
      <x:c r="N232" t="str" s="2">
        <x:v>Application</x:v>
      </x:c>
      <x:c r="O232" s="6">
        <x:v>46341</x:v>
      </x:c>
      <x:c r="P232" s="6">
        <x:v>46217</x:v>
      </x:c>
      <x:c r="Q232" s="6">
        <x:v>46247.844218252314</x:v>
      </x:c>
      <x:c r="R232" s="0"/>
      <x:c r="S232" s="6">
        <x:v>46216</x:v>
      </x:c>
      <x:c r="T232" s="6">
        <x:v>46247</x:v>
      </x:c>
      <x:c r="U232" s="0"/>
      <x:c r="V232" s="6">
        <x:v>46247</x:v>
      </x:c>
      <x:c r="W232" s="0"/>
      <x:c r="X232" t="str" s="2">
        <x:v>5042028633</x:v>
      </x:c>
      <x:c r="Y232" t="str" s="2">
        <x:v>kingcrab76@yahoo.com</x:v>
      </x:c>
      <x:c r="Z232" s="6">
        <x:v>46304.74371033565</x:v>
      </x:c>
      <x:c r="AA232" t="str" s="2">
        <x:v>John Schwichtenberg</x:v>
      </x:c>
      <x:c r="AB232" s="6">
        <x:v>46217.53940324074</x:v>
      </x:c>
      <x:c r="AC232" t="n" s="2">
        <x:v>38486</x:v>
      </x:c>
      <x:c r="AD232" t="str" s="2">
        <x:v>Singlewide</x:v>
      </x:c>
      <x:c r="AE232" t="str" s="2">
        <x:v>Legacy Housing Corporation</x:v>
      </x:c>
      <x:c r="AF232" s="7">
        <x:v>10000</x:v>
      </x:c>
      <x:c r="AG232" s="7">
        <x:v>10000</x:v>
      </x:c>
      <x:c r="AH232" s="0"/>
      <x:c r="AI232" s="0"/>
      <x:c r="AJ232" s="0"/>
      <x:c r="AK232" s="0"/>
    </x:row>
    <x:row r="233">
      <x:c r="A233" t="str" s="2">
        <x:f>=HYPERLINK("https://rsms.futurehomex.com/lead/38487", "Wanda Wheeler")</x:f>
      </x:c>
      <x:c r="B233" t="n" s="2">
        <x:v>91</x:v>
      </x:c>
      <x:c r="C233" t="str" s="2">
        <x:v/>
      </x:c>
      <x:c r="D233" t="str" s="2">
        <x:f>=""</x:f>
      </x:c>
      <x:c r="E233" s="0"/>
      <x:c r="F233" t="str" s="2">
        <x:v>Other</x:v>
      </x:c>
      <x:c r="G233" t="str" s="2">
        <x:v>Heritage Housing of Augusta</x:v>
      </x:c>
      <x:c r="H233" t="str" s="2">
        <x:v>Faye Lively</x:v>
      </x:c>
      <x:c r="I233" s="0"/>
      <x:c r="J233" t="str" s="2">
        <x:v>Faye Lively</x:v>
      </x:c>
      <x:c r="K233" t="n" s="2">
        <x:v>5</x:v>
      </x:c>
      <x:c r="L233" t="str" s="2">
        <x:v>1.1</x:v>
      </x:c>
      <x:c r="M233" t="str" s="2">
        <x:v>Tentative</x:v>
      </x:c>
      <x:c r="N233" t="str" s="2">
        <x:v>Deal Created</x:v>
      </x:c>
      <x:c r="O233" s="0"/>
      <x:c r="P233" s="6">
        <x:v>46217</x:v>
      </x:c>
      <x:c r="Q233" s="6">
        <x:v>46217.559710381945</x:v>
      </x:c>
      <x:c r="R233" s="0"/>
      <x:c r="S233" s="0"/>
      <x:c r="T233" s="0"/>
      <x:c r="U233" s="0"/>
      <x:c r="V233" s="0"/>
      <x:c r="W233" s="0"/>
      <x:c r="X233" t="str" s="2">
        <x:v>7064668588</x:v>
      </x:c>
      <x:c r="Y233" t="str" s="2">
        <x:v>7064668588</x:v>
      </x:c>
      <x:c r="Z233" s="0"/>
      <x:c r="AA233" s="0"/>
      <x:c r="AB233" s="6">
        <x:v>46217.55971203704</x:v>
      </x:c>
      <x:c r="AC233" t="n" s="2">
        <x:v>38487</x:v>
      </x:c>
      <x:c r="AD233" s="0"/>
      <x:c r="AE233" s="0"/>
      <x:c r="AF233" s="0"/>
      <x:c r="AG233" s="0"/>
      <x:c r="AH233" s="0"/>
      <x:c r="AI233" s="0"/>
      <x:c r="AJ233" s="0"/>
      <x:c r="AK233" s="0"/>
    </x:row>
    <x:row r="234">
      <x:c r="A234" t="str" s="2">
        <x:f>=HYPERLINK("https://rsms.futurehomex.com/lead/38488", "Donald Taylor")</x:f>
      </x:c>
      <x:c r="B234" t="n" s="2">
        <x:v>91</x:v>
      </x:c>
      <x:c r="C234" t="str" s="2">
        <x:v/>
      </x:c>
      <x:c r="D234" t="str" s="2">
        <x:f>=""</x:f>
      </x:c>
      <x:c r="E234" s="0"/>
      <x:c r="F234" t="str" s="2">
        <x:v>Other</x:v>
      </x:c>
      <x:c r="G234" t="str" s="2">
        <x:v>Heritage Housing of Augusta</x:v>
      </x:c>
      <x:c r="H234" t="str" s="2">
        <x:v>Kyara Casanova</x:v>
      </x:c>
      <x:c r="I234" s="0"/>
      <x:c r="J234" t="str" s="2">
        <x:v>Kyara Casanova</x:v>
      </x:c>
      <x:c r="K234" t="n" s="2">
        <x:v>5</x:v>
      </x:c>
      <x:c r="L234" t="str" s="2">
        <x:v>1.1</x:v>
      </x:c>
      <x:c r="M234" t="str" s="2">
        <x:v>Dead</x:v>
      </x:c>
      <x:c r="N234" t="str" s="2">
        <x:v>Deal Created</x:v>
      </x:c>
      <x:c r="O234" s="0"/>
      <x:c r="P234" s="6">
        <x:v>46217</x:v>
      </x:c>
      <x:c r="Q234" s="6">
        <x:v>46217.56378399306</x:v>
      </x:c>
      <x:c r="R234" s="0"/>
      <x:c r="S234" s="0"/>
      <x:c r="T234" s="0"/>
      <x:c r="U234" s="0"/>
      <x:c r="V234" s="0"/>
      <x:c r="W234" s="0"/>
      <x:c r="X234" t="str" s="2">
        <x:v>8036343995</x:v>
      </x:c>
      <x:c r="Y234" t="str" s="2">
        <x:v>8036343995</x:v>
      </x:c>
      <x:c r="Z234" s="6">
        <x:v>46221.56931153935</x:v>
      </x:c>
      <x:c r="AA234" t="str" s="2">
        <x:v>Kyara Casanova</x:v>
      </x:c>
      <x:c r="AB234" s="6">
        <x:v>46217.563785266204</x:v>
      </x:c>
      <x:c r="AC234" t="n" s="2">
        <x:v>38488</x:v>
      </x:c>
      <x:c r="AD234" s="0"/>
      <x:c r="AE234" s="0"/>
      <x:c r="AF234" s="0"/>
      <x:c r="AG234" s="0"/>
      <x:c r="AH234" s="0"/>
      <x:c r="AI234" s="0"/>
      <x:c r="AJ234" s="0"/>
      <x:c r="AK234" s="0"/>
    </x:row>
    <x:row r="235">
      <x:c r="A235" t="str" s="2">
        <x:f>=HYPERLINK("https://rsms.futurehomex.com/lead/38489", "Angelica Dorn")</x:f>
      </x:c>
      <x:c r="B235" t="n" s="2">
        <x:v>91</x:v>
      </x:c>
      <x:c r="C235" t="str" s="2">
        <x:v/>
      </x:c>
      <x:c r="D235" t="str" s="2">
        <x:f>=""</x:f>
      </x:c>
      <x:c r="E235" s="0"/>
      <x:c r="F235" t="str" s="2">
        <x:v>Other</x:v>
      </x:c>
      <x:c r="G235" t="str" s="2">
        <x:v>Heritage Housing of Augusta</x:v>
      </x:c>
      <x:c r="H235" t="str" s="2">
        <x:v>Faye Lively</x:v>
      </x:c>
      <x:c r="I235" s="0"/>
      <x:c r="J235" t="str" s="2">
        <x:v>Faye Lively</x:v>
      </x:c>
      <x:c r="K235" t="n" s="2">
        <x:v>5</x:v>
      </x:c>
      <x:c r="L235" t="str" s="2">
        <x:v>1.1</x:v>
      </x:c>
      <x:c r="M235" t="str" s="2">
        <x:v>Tentative</x:v>
      </x:c>
      <x:c r="N235" t="str" s="2">
        <x:v>Deal Created</x:v>
      </x:c>
      <x:c r="O235" s="0"/>
      <x:c r="P235" s="6">
        <x:v>46217</x:v>
      </x:c>
      <x:c r="Q235" s="6">
        <x:v>46217.57537334491</x:v>
      </x:c>
      <x:c r="R235" s="0"/>
      <x:c r="S235" s="0"/>
      <x:c r="T235" s="0"/>
      <x:c r="U235" s="0"/>
      <x:c r="V235" s="0"/>
      <x:c r="W235" s="0"/>
      <x:c r="X235" t="str" s="2">
        <x:v>8644504709</x:v>
      </x:c>
      <x:c r="Y235" t="str" s="2">
        <x:v>8644504709</x:v>
      </x:c>
      <x:c r="Z235" s="0"/>
      <x:c r="AA235" s="0"/>
      <x:c r="AB235" s="6">
        <x:v>46217.57537484953</x:v>
      </x:c>
      <x:c r="AC235" t="n" s="2">
        <x:v>38489</x:v>
      </x:c>
      <x:c r="AD235" s="0"/>
      <x:c r="AE235" s="0"/>
      <x:c r="AF235" s="0"/>
      <x:c r="AG235" s="0"/>
      <x:c r="AH235" s="0"/>
      <x:c r="AI235" s="0"/>
      <x:c r="AJ235" s="0"/>
      <x:c r="AK235" s="0"/>
    </x:row>
    <x:row r="236">
      <x:c r="A236" t="str" s="2">
        <x:f>=HYPERLINK("https://rsms.futurehomex.com/lead/38490", "Ebony Golden")</x:f>
      </x:c>
      <x:c r="B236" t="n" s="2">
        <x:v>91</x:v>
      </x:c>
      <x:c r="C236" t="str" s="2">
        <x:v/>
      </x:c>
      <x:c r="D236" t="str" s="2">
        <x:f>=""</x:f>
      </x:c>
      <x:c r="E236" s="0"/>
      <x:c r="F236" t="str" s="2">
        <x:v>Other</x:v>
      </x:c>
      <x:c r="G236" t="str" s="2">
        <x:v>Heritage Housing of Augusta</x:v>
      </x:c>
      <x:c r="H236" t="str" s="2">
        <x:v>Kyara Casanova</x:v>
      </x:c>
      <x:c r="I236" s="0"/>
      <x:c r="J236" t="str" s="2">
        <x:v>Kyara Casanova</x:v>
      </x:c>
      <x:c r="K236" t="n" s="2">
        <x:v>5</x:v>
      </x:c>
      <x:c r="L236" t="str" s="2">
        <x:v>1.1</x:v>
      </x:c>
      <x:c r="M236" t="str" s="2">
        <x:v>Dead</x:v>
      </x:c>
      <x:c r="N236" t="str" s="2">
        <x:v>Deal Created</x:v>
      </x:c>
      <x:c r="O236" s="0"/>
      <x:c r="P236" s="6">
        <x:v>46217</x:v>
      </x:c>
      <x:c r="Q236" s="6">
        <x:v>46217.5787253125</x:v>
      </x:c>
      <x:c r="R236" s="0"/>
      <x:c r="S236" s="0"/>
      <x:c r="T236" s="0"/>
      <x:c r="U236" s="0"/>
      <x:c r="V236" s="0"/>
      <x:c r="W236" s="0"/>
      <x:c r="X236" t="str" s="2">
        <x:v>7062008882</x:v>
      </x:c>
      <x:c r="Y236" t="str" s="2">
        <x:v>7062008882</x:v>
      </x:c>
      <x:c r="Z236" s="6">
        <x:v>46217.58410760417</x:v>
      </x:c>
      <x:c r="AA236" t="str" s="2">
        <x:v>Kyara Casanova</x:v>
      </x:c>
      <x:c r="AB236" s="6">
        <x:v>46217.57872673611</x:v>
      </x:c>
      <x:c r="AC236" t="n" s="2">
        <x:v>38490</x:v>
      </x:c>
      <x:c r="AD236" s="0"/>
      <x:c r="AE236" s="0"/>
      <x:c r="AF236" s="0"/>
      <x:c r="AG236" s="0"/>
      <x:c r="AH236" s="0"/>
      <x:c r="AI236" s="0"/>
      <x:c r="AJ236" s="0"/>
      <x:c r="AK236" s="0"/>
    </x:row>
    <x:row r="237">
      <x:c r="A237" t="str" s="2">
        <x:f>=HYPERLINK("https://rsms.futurehomex.com/lead/38491", "Javiea Hudson")</x:f>
      </x:c>
      <x:c r="B237" t="n" s="2">
        <x:v>91</x:v>
      </x:c>
      <x:c r="C237" t="str" s="2">
        <x:v/>
      </x:c>
      <x:c r="D237" t="str" s="2">
        <x:f>=""</x:f>
      </x:c>
      <x:c r="E237" s="0"/>
      <x:c r="F237" t="str" s="2">
        <x:v>Other</x:v>
      </x:c>
      <x:c r="G237" t="str" s="2">
        <x:v>Heritage Housing of Augusta</x:v>
      </x:c>
      <x:c r="H237" t="str" s="2">
        <x:v>Faye Lively</x:v>
      </x:c>
      <x:c r="I237" s="0"/>
      <x:c r="J237" t="str" s="2">
        <x:v>Faye Lively</x:v>
      </x:c>
      <x:c r="K237" t="n" s="2">
        <x:v>5</x:v>
      </x:c>
      <x:c r="L237" t="str" s="2">
        <x:v>1.1</x:v>
      </x:c>
      <x:c r="M237" t="str" s="2">
        <x:v>Tentative</x:v>
      </x:c>
      <x:c r="N237" t="str" s="2">
        <x:v>Deal Created</x:v>
      </x:c>
      <x:c r="O237" s="0"/>
      <x:c r="P237" s="6">
        <x:v>46217</x:v>
      </x:c>
      <x:c r="Q237" s="6">
        <x:v>46217.58562989583</x:v>
      </x:c>
      <x:c r="R237" s="0"/>
      <x:c r="S237" s="0"/>
      <x:c r="T237" s="0"/>
      <x:c r="U237" s="0"/>
      <x:c r="V237" s="0"/>
      <x:c r="W237" s="0"/>
      <x:c r="X237" t="str" s="2">
        <x:v>8035222567</x:v>
      </x:c>
      <x:c r="Y237" t="str" s="2">
        <x:v>8035222567</x:v>
      </x:c>
      <x:c r="Z237" s="6">
        <x:v>46217.585745752316</x:v>
      </x:c>
      <x:c r="AA237" t="str" s="2">
        <x:v>Kyara Casanova</x:v>
      </x:c>
      <x:c r="AB237" s="6">
        <x:v>46217.58563116898</x:v>
      </x:c>
      <x:c r="AC237" t="n" s="2">
        <x:v>38491</x:v>
      </x:c>
      <x:c r="AD237" s="0"/>
      <x:c r="AE237" s="0"/>
      <x:c r="AF237" s="0"/>
      <x:c r="AG237" s="0"/>
      <x:c r="AH237" s="0"/>
      <x:c r="AI237" s="0"/>
      <x:c r="AJ237" s="0"/>
      <x:c r="AK237" s="0"/>
    </x:row>
    <x:row r="238">
      <x:c r="A238" t="str" s="2">
        <x:f>=HYPERLINK("https://rsms.futurehomex.com/lead/38492", "Andrea Rodriguez")</x:f>
      </x:c>
      <x:c r="B238" t="n" s="2">
        <x:v>91</x:v>
      </x:c>
      <x:c r="C238" t="str" s="2">
        <x:v/>
      </x:c>
      <x:c r="D238" t="str" s="2">
        <x:f>=""</x:f>
      </x:c>
      <x:c r="E238" s="0"/>
      <x:c r="F238" t="str" s="2">
        <x:v>Other</x:v>
      </x:c>
      <x:c r="G238" t="str" s="2">
        <x:v>Heritage Housing of Augusta</x:v>
      </x:c>
      <x:c r="H238" t="str" s="2">
        <x:v>Faye Lively</x:v>
      </x:c>
      <x:c r="I238" s="0"/>
      <x:c r="J238" t="str" s="2">
        <x:v>Faye Lively</x:v>
      </x:c>
      <x:c r="K238" t="n" s="2">
        <x:v>5</x:v>
      </x:c>
      <x:c r="L238" t="str" s="2">
        <x:v>1.1</x:v>
      </x:c>
      <x:c r="M238" t="str" s="2">
        <x:v>Tentative</x:v>
      </x:c>
      <x:c r="N238" t="str" s="2">
        <x:v>Deal Created</x:v>
      </x:c>
      <x:c r="O238" s="0"/>
      <x:c r="P238" s="6">
        <x:v>46217</x:v>
      </x:c>
      <x:c r="Q238" s="6">
        <x:v>46217.60163788195</x:v>
      </x:c>
      <x:c r="R238" s="0"/>
      <x:c r="S238" s="0"/>
      <x:c r="T238" s="0"/>
      <x:c r="U238" s="0"/>
      <x:c r="V238" s="0"/>
      <x:c r="W238" s="0"/>
      <x:c r="X238" t="str" s="2">
        <x:v>7068361356</x:v>
      </x:c>
      <x:c r="Y238" t="str" s="2">
        <x:v>7068361356</x:v>
      </x:c>
      <x:c r="Z238" s="6">
        <x:v>46217.602924189814</x:v>
      </x:c>
      <x:c r="AA238" t="str" s="2">
        <x:v>Kyara Casanova</x:v>
      </x:c>
      <x:c r="AB238" s="6">
        <x:v>46217.601639583336</x:v>
      </x:c>
      <x:c r="AC238" t="n" s="2">
        <x:v>38492</x:v>
      </x:c>
      <x:c r="AD238" s="0"/>
      <x:c r="AE238" s="0"/>
      <x:c r="AF238" s="0"/>
      <x:c r="AG238" s="0"/>
      <x:c r="AH238" s="0"/>
      <x:c r="AI238" s="0"/>
      <x:c r="AJ238" s="0"/>
      <x:c r="AK238" s="0"/>
    </x:row>
    <x:row r="239">
      <x:c r="A239" t="str" s="2">
        <x:f>=HYPERLINK("https://rsms.futurehomex.com/lead/38493", "Johnny Davis")</x:f>
      </x:c>
      <x:c r="B239" t="n" s="2">
        <x:v>91</x:v>
      </x:c>
      <x:c r="C239" t="str" s="2">
        <x:v/>
      </x:c>
      <x:c r="D239" t="str" s="2">
        <x:f>=""</x:f>
      </x:c>
      <x:c r="E239" s="0"/>
      <x:c r="F239" t="str" s="2">
        <x:v>Facebook Messenger</x:v>
      </x:c>
      <x:c r="G239" t="str" s="2">
        <x:v>Heritage Housing of Oklahoma City</x:v>
      </x:c>
      <x:c r="H239" t="str" s="2">
        <x:v>Steve Castell</x:v>
      </x:c>
      <x:c r="I239" s="0"/>
      <x:c r="J239" t="str" s="2">
        <x:v>Steve Castell</x:v>
      </x:c>
      <x:c r="K239" t="n" s="2">
        <x:v>5</x:v>
      </x:c>
      <x:c r="L239" t="str" s="2">
        <x:v>1.1</x:v>
      </x:c>
      <x:c r="M239" t="str" s="2">
        <x:v>Dead</x:v>
      </x:c>
      <x:c r="N239" t="str" s="2">
        <x:v>Deal Created</x:v>
      </x:c>
      <x:c r="O239" s="0"/>
      <x:c r="P239" s="6">
        <x:v>46217</x:v>
      </x:c>
      <x:c r="Q239" s="6">
        <x:v>46217.62408491898</x:v>
      </x:c>
      <x:c r="R239" s="0"/>
      <x:c r="S239" s="0"/>
      <x:c r="T239" s="0"/>
      <x:c r="U239" s="0"/>
      <x:c r="V239" s="0"/>
      <x:c r="W239" s="0"/>
      <x:c r="X239" t="str" s="2">
        <x:v>5809901983</x:v>
      </x:c>
      <x:c r="Y239" t="str" s="2">
        <x:v>5809901983</x:v>
      </x:c>
      <x:c r="Z239" s="6">
        <x:v>46219.86873954861</x:v>
      </x:c>
      <x:c r="AA239" t="str" s="2">
        <x:v>Steve Castell</x:v>
      </x:c>
      <x:c r="AB239" s="6">
        <x:v>46217.62408637731</x:v>
      </x:c>
      <x:c r="AC239" t="n" s="2">
        <x:v>38493</x:v>
      </x:c>
      <x:c r="AD239" s="0"/>
      <x:c r="AE239" s="0"/>
      <x:c r="AF239" s="0"/>
      <x:c r="AG239" s="0"/>
      <x:c r="AH239" s="0"/>
      <x:c r="AI239" s="0"/>
      <x:c r="AJ239" s="0"/>
      <x:c r="AK239" s="0"/>
    </x:row>
    <x:row r="240">
      <x:c r="A240" t="str" s="2">
        <x:f>=HYPERLINK("https://rsms.futurehomex.com/lead/38494", "Wanda Hutto")</x:f>
      </x:c>
      <x:c r="B240" t="n" s="2">
        <x:v>91</x:v>
      </x:c>
      <x:c r="C240" t="str" s="2">
        <x:v/>
      </x:c>
      <x:c r="D240" t="str" s="2">
        <x:f>=""</x:f>
      </x:c>
      <x:c r="E240" s="0"/>
      <x:c r="F240" t="str" s="2">
        <x:v>Other</x:v>
      </x:c>
      <x:c r="G240" t="str" s="2">
        <x:v>Heritage Housing of Augusta</x:v>
      </x:c>
      <x:c r="H240" t="str" s="2">
        <x:v>Faye Lively</x:v>
      </x:c>
      <x:c r="I240" s="0"/>
      <x:c r="J240" t="str" s="2">
        <x:v>Faye Lively</x:v>
      </x:c>
      <x:c r="K240" t="n" s="2">
        <x:v>5</x:v>
      </x:c>
      <x:c r="L240" t="str" s="2">
        <x:v>1.1</x:v>
      </x:c>
      <x:c r="M240" t="str" s="2">
        <x:v>Tentative</x:v>
      </x:c>
      <x:c r="N240" t="str" s="2">
        <x:v>Deal Created</x:v>
      </x:c>
      <x:c r="O240" s="0"/>
      <x:c r="P240" s="6">
        <x:v>46217</x:v>
      </x:c>
      <x:c r="Q240" s="6">
        <x:v>46217.63533711805</x:v>
      </x:c>
      <x:c r="R240" s="0"/>
      <x:c r="S240" s="0"/>
      <x:c r="T240" s="0"/>
      <x:c r="U240" s="0"/>
      <x:c r="V240" s="0"/>
      <x:c r="W240" s="0"/>
      <x:c r="X240" t="str" s="2">
        <x:v>7067556507</x:v>
      </x:c>
      <x:c r="Y240" t="str" s="2">
        <x:v>7067556507</x:v>
      </x:c>
      <x:c r="Z240" s="6">
        <x:v>46217.635914004626</x:v>
      </x:c>
      <x:c r="AA240" t="str" s="2">
        <x:v>Kyara Casanova</x:v>
      </x:c>
      <x:c r="AB240" s="6">
        <x:v>46217.63533885417</x:v>
      </x:c>
      <x:c r="AC240" t="n" s="2">
        <x:v>38494</x:v>
      </x:c>
      <x:c r="AD240" s="0"/>
      <x:c r="AE240" s="0"/>
      <x:c r="AF240" s="0"/>
      <x:c r="AG240" s="0"/>
      <x:c r="AH240" s="0"/>
      <x:c r="AI240" s="0"/>
      <x:c r="AJ240" s="0"/>
      <x:c r="AK240" s="0"/>
    </x:row>
    <x:row r="241">
      <x:c r="A241" t="str" s="2">
        <x:f>=HYPERLINK("https://rsms.futurehomex.com/lead/38495", "Jose Brett")</x:f>
      </x:c>
      <x:c r="B241" t="n" s="2">
        <x:v>91</x:v>
      </x:c>
      <x:c r="C241" t="str" s="2">
        <x:v/>
      </x:c>
      <x:c r="D241" t="str" s="2">
        <x:f>=""</x:f>
      </x:c>
      <x:c r="E241" s="0"/>
      <x:c r="F241" t="str" s="2">
        <x:v>Other</x:v>
      </x:c>
      <x:c r="G241" t="str" s="2">
        <x:v>Heritage Housing of Augusta</x:v>
      </x:c>
      <x:c r="H241" t="str" s="2">
        <x:v>Faye Lively</x:v>
      </x:c>
      <x:c r="I241" s="0"/>
      <x:c r="J241" t="str" s="2">
        <x:v>Faye Lively</x:v>
      </x:c>
      <x:c r="K241" t="n" s="2">
        <x:v>5</x:v>
      </x:c>
      <x:c r="L241" t="str" s="2">
        <x:v>1.1</x:v>
      </x:c>
      <x:c r="M241" t="str" s="2">
        <x:v>Tentative</x:v>
      </x:c>
      <x:c r="N241" t="str" s="2">
        <x:v>Deal Created</x:v>
      </x:c>
      <x:c r="O241" s="0"/>
      <x:c r="P241" s="6">
        <x:v>46217</x:v>
      </x:c>
      <x:c r="Q241" s="6">
        <x:v>46217.640192743056</x:v>
      </x:c>
      <x:c r="R241" s="0"/>
      <x:c r="S241" s="0"/>
      <x:c r="T241" s="0"/>
      <x:c r="U241" s="0"/>
      <x:c r="V241" s="0"/>
      <x:c r="W241" s="0"/>
      <x:c r="X241" t="str" s="2">
        <x:v>4704068003</x:v>
      </x:c>
      <x:c r="Y241" t="str" s="2">
        <x:v>4704068003</x:v>
      </x:c>
      <x:c r="Z241" s="6">
        <x:v>46217.640943900464</x:v>
      </x:c>
      <x:c r="AA241" t="str" s="2">
        <x:v>Kyara Casanova</x:v>
      </x:c>
      <x:c r="AB241" s="6">
        <x:v>46217.64019421296</x:v>
      </x:c>
      <x:c r="AC241" t="n" s="2">
        <x:v>38495</x:v>
      </x:c>
      <x:c r="AD241" s="0"/>
      <x:c r="AE241" s="0"/>
      <x:c r="AF241" s="0"/>
      <x:c r="AG241" s="0"/>
      <x:c r="AH241" s="0"/>
      <x:c r="AI241" s="0"/>
      <x:c r="AJ241" s="0"/>
      <x:c r="AK241" s="0"/>
    </x:row>
    <x:row r="242">
      <x:c r="A242" t="str" s="2">
        <x:f>=HYPERLINK("https://rsms.futurehomex.com/lead/38496", "Susan Travis")</x:f>
      </x:c>
      <x:c r="B242" t="n" s="2">
        <x:v>91</x:v>
      </x:c>
      <x:c r="C242" t="str" s="2">
        <x:v/>
      </x:c>
      <x:c r="D242" t="str" s="2">
        <x:f>=""</x:f>
      </x:c>
      <x:c r="E242" s="0"/>
      <x:c r="F242" t="str" s="2">
        <x:v>Walk-in</x:v>
      </x:c>
      <x:c r="G242" t="str" s="2">
        <x:v>Heritage Housing of Tulsa</x:v>
      </x:c>
      <x:c r="H242" t="str" s="2">
        <x:v>Derek Searcy</x:v>
      </x:c>
      <x:c r="I242" t="str" s="2">
        <x:v>Karol Romero</x:v>
      </x:c>
      <x:c r="J242" t="str" s="2">
        <x:v>Jenna Fransisco</x:v>
      </x:c>
      <x:c r="K242" t="n" s="2">
        <x:v>5</x:v>
      </x:c>
      <x:c r="L242" t="str" s="2">
        <x:v>1.1</x:v>
      </x:c>
      <x:c r="M242" t="str" s="2">
        <x:v>Inactive</x:v>
      </x:c>
      <x:c r="N242" t="str" s="2">
        <x:v>Deal Created</x:v>
      </x:c>
      <x:c r="O242" s="0"/>
      <x:c r="P242" s="6">
        <x:v>46217</x:v>
      </x:c>
      <x:c r="Q242" s="6">
        <x:v>46217.64582021991</x:v>
      </x:c>
      <x:c r="R242" s="0"/>
      <x:c r="S242" s="0"/>
      <x:c r="T242" s="0"/>
      <x:c r="U242" s="0"/>
      <x:c r="V242" s="0"/>
      <x:c r="W242" s="0"/>
      <x:c r="X242" t="str" s="2">
        <x:v>5393146534</x:v>
      </x:c>
      <x:c r="Y242" t="str" s="2">
        <x:v>5393146534</x:v>
      </x:c>
      <x:c r="Z242" s="0"/>
      <x:c r="AA242" s="0"/>
      <x:c r="AB242" s="6">
        <x:v>46217.6458215625</x:v>
      </x:c>
      <x:c r="AC242" t="n" s="2">
        <x:v>38496</x:v>
      </x:c>
      <x:c r="AD242" s="0"/>
      <x:c r="AE242" s="0"/>
      <x:c r="AF242" s="0"/>
      <x:c r="AG242" s="0"/>
      <x:c r="AH242" s="0"/>
      <x:c r="AI242" s="0"/>
      <x:c r="AJ242" s="0"/>
      <x:c r="AK242" s="0"/>
    </x:row>
    <x:row r="243">
      <x:c r="A243" t="str" s="2">
        <x:f>=HYPERLINK("https://rsms.futurehomex.com/lead/38497", "Donald Alnip")</x:f>
      </x:c>
      <x:c r="B243" t="n" s="2">
        <x:v>91</x:v>
      </x:c>
      <x:c r="C243" t="str" s="2">
        <x:v/>
      </x:c>
      <x:c r="D243" t="str" s="2">
        <x:f>=""</x:f>
      </x:c>
      <x:c r="E243" s="0"/>
      <x:c r="F243" t="str" s="2">
        <x:v>Facebook Messenger</x:v>
      </x:c>
      <x:c r="G243" t="str" s="2">
        <x:v>Heritage Housing of Tulsa</x:v>
      </x:c>
      <x:c r="H243" t="str" s="2">
        <x:v>Brittany Cobb</x:v>
      </x:c>
      <x:c r="I243" t="str" s="2">
        <x:v>Karol Romero</x:v>
      </x:c>
      <x:c r="J243" t="str" s="2">
        <x:v>Brittany Cobb</x:v>
      </x:c>
      <x:c r="K243" t="n" s="2">
        <x:v>5</x:v>
      </x:c>
      <x:c r="L243" t="str" s="2">
        <x:v>1.1</x:v>
      </x:c>
      <x:c r="M243" t="str" s="2">
        <x:v>Dead</x:v>
      </x:c>
      <x:c r="N243" t="str" s="2">
        <x:v>Deal Created</x:v>
      </x:c>
      <x:c r="O243" s="0"/>
      <x:c r="P243" s="6">
        <x:v>46217</x:v>
      </x:c>
      <x:c r="Q243" s="6">
        <x:v>46217.6472378125</x:v>
      </x:c>
      <x:c r="R243" s="0"/>
      <x:c r="S243" s="0"/>
      <x:c r="T243" s="0"/>
      <x:c r="U243" s="0"/>
      <x:c r="V243" s="0"/>
      <x:c r="W243" s="0"/>
      <x:c r="X243" t="str" s="2">
        <x:v>9188636525</x:v>
      </x:c>
      <x:c r="Y243" t="str" s="2">
        <x:v>9188636525</x:v>
      </x:c>
      <x:c r="Z243" s="0"/>
      <x:c r="AA243" s="0"/>
      <x:c r="AB243" s="6">
        <x:v>46217.64723915509</x:v>
      </x:c>
      <x:c r="AC243" t="n" s="2">
        <x:v>38497</x:v>
      </x:c>
      <x:c r="AD243" s="0"/>
      <x:c r="AE243" s="0"/>
      <x:c r="AF243" s="0"/>
      <x:c r="AG243" s="0"/>
      <x:c r="AH243" s="0"/>
      <x:c r="AI243" s="0"/>
      <x:c r="AJ243" s="0"/>
      <x:c r="AK243" s="0"/>
    </x:row>
    <x:row r="244">
      <x:c r="A244" t="str" s="2">
        <x:f>=HYPERLINK("https://rsms.futurehomex.com/lead/38498", "Venessa Brown")</x:f>
      </x:c>
      <x:c r="B244" t="n" s="2">
        <x:v>91</x:v>
      </x:c>
      <x:c r="C244" t="str" s="2">
        <x:v/>
      </x:c>
      <x:c r="D244" t="str" s="2">
        <x:f>=""</x:f>
      </x:c>
      <x:c r="E244" s="0"/>
      <x:c r="F244" t="str" s="2">
        <x:v>Other</x:v>
      </x:c>
      <x:c r="G244" t="str" s="2">
        <x:v>Heritage Housing of Augusta</x:v>
      </x:c>
      <x:c r="H244" t="str" s="2">
        <x:v>Kyara Casanova</x:v>
      </x:c>
      <x:c r="I244" s="0"/>
      <x:c r="J244" t="str" s="2">
        <x:v>Kyara Casanova</x:v>
      </x:c>
      <x:c r="K244" t="n" s="2">
        <x:v>5</x:v>
      </x:c>
      <x:c r="L244" t="str" s="2">
        <x:v>1.1</x:v>
      </x:c>
      <x:c r="M244" t="str" s="2">
        <x:v>Dead</x:v>
      </x:c>
      <x:c r="N244" t="str" s="2">
        <x:v>Deal Created</x:v>
      </x:c>
      <x:c r="O244" s="0"/>
      <x:c r="P244" s="6">
        <x:v>46217</x:v>
      </x:c>
      <x:c r="Q244" s="6">
        <x:v>46217.649002164355</x:v>
      </x:c>
      <x:c r="R244" s="0"/>
      <x:c r="S244" s="0"/>
      <x:c r="T244" s="0"/>
      <x:c r="U244" s="0"/>
      <x:c r="V244" s="0"/>
      <x:c r="W244" s="0"/>
      <x:c r="X244" t="str" s="2">
        <x:v>8039899864</x:v>
      </x:c>
      <x:c r="Y244" t="str" s="2">
        <x:v>8039899864</x:v>
      </x:c>
      <x:c r="Z244" s="6">
        <x:v>46217.64911450232</x:v>
      </x:c>
      <x:c r="AA244" t="str" s="2">
        <x:v>Kyara Casanova</x:v>
      </x:c>
      <x:c r="AB244" s="6">
        <x:v>46217.64900358796</x:v>
      </x:c>
      <x:c r="AC244" t="n" s="2">
        <x:v>38498</x:v>
      </x:c>
      <x:c r="AD244" s="0"/>
      <x:c r="AE244" s="0"/>
      <x:c r="AF244" s="0"/>
      <x:c r="AG244" s="0"/>
      <x:c r="AH244" s="0"/>
      <x:c r="AI244" s="0"/>
      <x:c r="AJ244" s="0"/>
      <x:c r="AK244" s="0"/>
    </x:row>
    <x:row r="245">
      <x:c r="A245" t="str" s="2">
        <x:f>=HYPERLINK("https://rsms.futurehomex.com/lead/38499", "Kim Cooper")</x:f>
      </x:c>
      <x:c r="B245" t="n" s="2">
        <x:v>91</x:v>
      </x:c>
      <x:c r="C245" t="str" s="2">
        <x:v/>
      </x:c>
      <x:c r="D245" t="str" s="2">
        <x:f>=""</x:f>
      </x:c>
      <x:c r="E245" s="0"/>
      <x:c r="F245" t="str" s="2">
        <x:v>Other</x:v>
      </x:c>
      <x:c r="G245" t="str" s="2">
        <x:v>Heritage Housing of Augusta</x:v>
      </x:c>
      <x:c r="H245" t="str" s="2">
        <x:v>Kyara Casanova</x:v>
      </x:c>
      <x:c r="I245" s="0"/>
      <x:c r="J245" t="str" s="2">
        <x:v>Kyara Casanova</x:v>
      </x:c>
      <x:c r="K245" t="n" s="2">
        <x:v>5</x:v>
      </x:c>
      <x:c r="L245" t="str" s="2">
        <x:v>1.1</x:v>
      </x:c>
      <x:c r="M245" t="str" s="2">
        <x:v>Dead</x:v>
      </x:c>
      <x:c r="N245" t="str" s="2">
        <x:v>Deal Created</x:v>
      </x:c>
      <x:c r="O245" s="0"/>
      <x:c r="P245" s="6">
        <x:v>46217</x:v>
      </x:c>
      <x:c r="Q245" s="6">
        <x:v>46217.65018052083</x:v>
      </x:c>
      <x:c r="R245" s="0"/>
      <x:c r="S245" s="0"/>
      <x:c r="T245" s="0"/>
      <x:c r="U245" s="0"/>
      <x:c r="V245" s="0"/>
      <x:c r="W245" s="0"/>
      <x:c r="X245" t="str" s="2">
        <x:v>7065649447</x:v>
      </x:c>
      <x:c r="Y245" t="str" s="2">
        <x:v>7065649447</x:v>
      </x:c>
      <x:c r="Z245" s="6">
        <x:v>46217.65128391204</x:v>
      </x:c>
      <x:c r="AA245" t="str" s="2">
        <x:v>Kyara Casanova</x:v>
      </x:c>
      <x:c r="AB245" s="6">
        <x:v>46217.65018171296</x:v>
      </x:c>
      <x:c r="AC245" t="n" s="2">
        <x:v>38499</x:v>
      </x:c>
      <x:c r="AD245" s="0"/>
      <x:c r="AE245" s="0"/>
      <x:c r="AF245" s="0"/>
      <x:c r="AG245" s="0"/>
      <x:c r="AH245" s="0"/>
      <x:c r="AI245" s="0"/>
      <x:c r="AJ245" s="0"/>
      <x:c r="AK245" s="0"/>
    </x:row>
    <x:row r="246">
      <x:c r="A246" t="str" s="2">
        <x:f>=HYPERLINK("https://rsms.futurehomex.com/lead/38500", "Leona Smith")</x:f>
      </x:c>
      <x:c r="B246" t="n" s="2">
        <x:v>91</x:v>
      </x:c>
      <x:c r="C246" t="str" s="2">
        <x:v/>
      </x:c>
      <x:c r="D246" t="str" s="2">
        <x:f>=""</x:f>
      </x:c>
      <x:c r="E246" t="str" s="2">
        <x:v>Jay Smith</x:v>
      </x:c>
      <x:c r="F246" t="str" s="2">
        <x:v>Walk-in</x:v>
      </x:c>
      <x:c r="G246" t="str" s="2">
        <x:v>Heritage Housing of Augusta</x:v>
      </x:c>
      <x:c r="H246" t="str" s="2">
        <x:v>Jennifer Johnson</x:v>
      </x:c>
      <x:c r="I246" s="0"/>
      <x:c r="J246" t="str" s="2">
        <x:v>Jennifer Johnson</x:v>
      </x:c>
      <x:c r="K246" t="n" s="2">
        <x:v>5</x:v>
      </x:c>
      <x:c r="L246" t="str" s="2">
        <x:v>1.1</x:v>
      </x:c>
      <x:c r="M246" t="str" s="2">
        <x:v>Tentative</x:v>
      </x:c>
      <x:c r="N246" t="str" s="2">
        <x:v>Deal Created</x:v>
      </x:c>
      <x:c r="O246" s="0"/>
      <x:c r="P246" s="6">
        <x:v>46217</x:v>
      </x:c>
      <x:c r="Q246" s="6">
        <x:v>46294.91620702546</x:v>
      </x:c>
      <x:c r="R246" s="0"/>
      <x:c r="S246" s="0"/>
      <x:c r="T246" s="0"/>
      <x:c r="U246" s="0"/>
      <x:c r="V246" s="0"/>
      <x:c r="W246" s="0"/>
      <x:c r="X246" t="str" s="2">
        <x:v>8036347092</x:v>
      </x:c>
      <x:c r="Y246" t="str" s="2">
        <x:v>leonahmailton32@gmail.com</x:v>
      </x:c>
      <x:c r="Z246" s="6">
        <x:v>46259.576922025466</x:v>
      </x:c>
      <x:c r="AA246" t="str" s="2">
        <x:v>Alex Jones</x:v>
      </x:c>
      <x:c r="AB246" s="6">
        <x:v>46217.65072068287</x:v>
      </x:c>
      <x:c r="AC246" t="n" s="2">
        <x:v>38500</x:v>
      </x:c>
      <x:c r="AD246" s="0"/>
      <x:c r="AE246" s="0"/>
      <x:c r="AF246" s="0"/>
      <x:c r="AG246" s="0"/>
      <x:c r="AH246" s="0"/>
      <x:c r="AI246" s="0"/>
      <x:c r="AJ246" s="0"/>
      <x:c r="AK246" s="0"/>
    </x:row>
    <x:row r="247">
      <x:c r="A247" t="str" s="2">
        <x:f>=HYPERLINK("https://rsms.futurehomex.com/lead/38501", "Tony Jones")</x:f>
      </x:c>
      <x:c r="B247" t="n" s="2">
        <x:v>91</x:v>
      </x:c>
      <x:c r="C247" t="str" s="2">
        <x:v/>
      </x:c>
      <x:c r="D247" t="str" s="2">
        <x:f>=""</x:f>
      </x:c>
      <x:c r="E247" s="0"/>
      <x:c r="F247" t="str" s="2">
        <x:v>Website</x:v>
      </x:c>
      <x:c r="G247" t="str" s="2">
        <x:v>Heritage Housing Mt Pleasant</x:v>
      </x:c>
      <x:c r="H247" t="str" s="2">
        <x:v>Yarelis Torres</x:v>
      </x:c>
      <x:c r="I247" s="0"/>
      <x:c r="J247" t="str" s="2">
        <x:v>Yarelis Torres</x:v>
      </x:c>
      <x:c r="K247" t="n" s="2">
        <x:v>5</x:v>
      </x:c>
      <x:c r="L247" t="str" s="2">
        <x:v>1.1</x:v>
      </x:c>
      <x:c r="M247" t="str" s="2">
        <x:v>Tentative</x:v>
      </x:c>
      <x:c r="N247" t="str" s="2">
        <x:v>Deal Created</x:v>
      </x:c>
      <x:c r="O247" s="0"/>
      <x:c r="P247" s="6">
        <x:v>46217</x:v>
      </x:c>
      <x:c r="Q247" s="6">
        <x:v>46217.66490038195</x:v>
      </x:c>
      <x:c r="R247" s="0"/>
      <x:c r="S247" s="0"/>
      <x:c r="T247" s="0"/>
      <x:c r="U247" s="0"/>
      <x:c r="V247" s="0"/>
      <x:c r="W247" s="0"/>
      <x:c r="X247" t="str" s="2">
        <x:v>4698315955</x:v>
      </x:c>
      <x:c r="Y247" t="str" s="2">
        <x:v>twaynej60@gmail.com</x:v>
      </x:c>
      <x:c r="Z247" s="6">
        <x:v>46217.69198834491</x:v>
      </x:c>
      <x:c r="AA247" t="str" s="2">
        <x:v>Yarelis Torres</x:v>
      </x:c>
      <x:c r="AB247" s="6">
        <x:v>46217.66490243056</x:v>
      </x:c>
      <x:c r="AC247" t="n" s="2">
        <x:v>38501</x:v>
      </x:c>
      <x:c r="AD247" s="0"/>
      <x:c r="AE247" s="0"/>
      <x:c r="AF247" s="0"/>
      <x:c r="AG247" s="0"/>
      <x:c r="AH247" s="0"/>
      <x:c r="AI247" s="0"/>
      <x:c r="AJ247" s="0"/>
      <x:c r="AK247" s="0"/>
    </x:row>
    <x:row r="248">
      <x:c r="A248" t="str" s="2">
        <x:f>=HYPERLINK("https://rsms.futurehomex.com/lead/38503", "cheyanne richards")</x:f>
      </x:c>
      <x:c r="B248" t="n" s="2">
        <x:v>91</x:v>
      </x:c>
      <x:c r="C248" t="str" s="2">
        <x:v>0/3</x:v>
      </x:c>
      <x:c r="D248" t="str" s="2">
        <x:f>=""</x:f>
      </x:c>
      <x:c r="E248" s="0"/>
      <x:c r="F248" t="str" s="2">
        <x:v>Financing Form</x:v>
      </x:c>
      <x:c r="G248" t="str" s="2">
        <x:v>Heritage Housing of Oklahoma City</x:v>
      </x:c>
      <x:c r="H248" t="str" s="2">
        <x:v>Karla Brizuela</x:v>
      </x:c>
      <x:c r="I248" s="0"/>
      <x:c r="J248" s="0"/>
      <x:c r="K248" t="n" s="2">
        <x:v>5</x:v>
      </x:c>
      <x:c r="L248" t="str" s="2">
        <x:v>1.1</x:v>
      </x:c>
      <x:c r="M248" t="str" s="2">
        <x:v>Dead</x:v>
      </x:c>
      <x:c r="N248" t="str" s="2">
        <x:v>Prospect</x:v>
      </x:c>
      <x:c r="O248" s="0"/>
      <x:c r="P248" s="6">
        <x:v>46217</x:v>
      </x:c>
      <x:c r="Q248" s="6">
        <x:v>46221.66733429398</x:v>
      </x:c>
      <x:c r="R248" t="str" s="2">
        <x:v>Trey Rixleben</x:v>
      </x:c>
      <x:c r="S248" s="6">
        <x:v>46217</x:v>
      </x:c>
      <x:c r="T248" s="0"/>
      <x:c r="U248" s="0"/>
      <x:c r="V248" s="0"/>
      <x:c r="W248" s="0"/>
      <x:c r="X248" t="str" s="2">
        <x:v>4054646679</x:v>
      </x:c>
      <x:c r="Y248" t="str" s="2">
        <x:v>cheyrichards915@gmail.com</x:v>
      </x:c>
      <x:c r="Z248" s="6">
        <x:v>46234.72080636574</x:v>
      </x:c>
      <x:c r="AA248" t="str" s="2">
        <x:v>Karla Brizuela</x:v>
      </x:c>
      <x:c r="AB248" s="6">
        <x:v>46217.69334583334</x:v>
      </x:c>
      <x:c r="AC248" t="n" s="2">
        <x:v>38503</x:v>
      </x:c>
      <x:c r="AD248" s="0"/>
      <x:c r="AE248" s="0"/>
      <x:c r="AF248" s="0"/>
      <x:c r="AG248" s="7">
        <x:v>0</x:v>
      </x:c>
      <x:c r="AH248" s="0"/>
      <x:c r="AI248" t="str" s="2" xml:space="preserve">
        <x:v>650 </x:v>
      </x:c>
      <x:c r="AJ248" s="0"/>
      <x:c r="AK248" s="0"/>
    </x:row>
    <x:row r="249">
      <x:c r="A249" t="str" s="2">
        <x:f>=HYPERLINK("https://rsms.futurehomex.com/lead/38505", "Donna Willard")</x:f>
      </x:c>
      <x:c r="B249" t="n" s="2">
        <x:v>91</x:v>
      </x:c>
      <x:c r="C249" t="str" s="2">
        <x:v/>
      </x:c>
      <x:c r="D249" t="str" s="2">
        <x:f>=""</x:f>
      </x:c>
      <x:c r="E249" s="0"/>
      <x:c r="F249" t="str" s="2">
        <x:v>Other</x:v>
      </x:c>
      <x:c r="G249" t="str" s="2">
        <x:v>Heritage Housing of Augusta</x:v>
      </x:c>
      <x:c r="H249" t="str" s="2">
        <x:v>Faye Lively</x:v>
      </x:c>
      <x:c r="I249" s="0"/>
      <x:c r="J249" t="str" s="2">
        <x:v>Faye Lively</x:v>
      </x:c>
      <x:c r="K249" t="n" s="2">
        <x:v>5</x:v>
      </x:c>
      <x:c r="L249" t="str" s="2">
        <x:v>1.1</x:v>
      </x:c>
      <x:c r="M249" t="str" s="2">
        <x:v>Tentative</x:v>
      </x:c>
      <x:c r="N249" t="str" s="2">
        <x:v>Deal Created</x:v>
      </x:c>
      <x:c r="O249" s="0"/>
      <x:c r="P249" s="6">
        <x:v>46217</x:v>
      </x:c>
      <x:c r="Q249" s="6">
        <x:v>46217.71273530093</x:v>
      </x:c>
      <x:c r="R249" s="0"/>
      <x:c r="S249" s="0"/>
      <x:c r="T249" s="0"/>
      <x:c r="U249" s="0"/>
      <x:c r="V249" s="0"/>
      <x:c r="W249" s="0"/>
      <x:c r="X249" t="str" s="2">
        <x:v>7066688756</x:v>
      </x:c>
      <x:c r="Y249" t="str" s="2">
        <x:v>7066688756</x:v>
      </x:c>
      <x:c r="Z249" s="0"/>
      <x:c r="AA249" s="0"/>
      <x:c r="AB249" s="6">
        <x:v>46217.7127369213</x:v>
      </x:c>
      <x:c r="AC249" t="n" s="2">
        <x:v>38505</x:v>
      </x:c>
      <x:c r="AD249" s="0"/>
      <x:c r="AE249" s="0"/>
      <x:c r="AF249" s="0"/>
      <x:c r="AG249" s="0"/>
      <x:c r="AH249" s="0"/>
      <x:c r="AI249" s="0"/>
      <x:c r="AJ249" s="0"/>
      <x:c r="AK249" s="0"/>
    </x:row>
    <x:row r="250">
      <x:c r="A250" t="str" s="2">
        <x:f>=HYPERLINK("https://rsms.futurehomex.com/lead/38506", "Jason Reed")</x:f>
      </x:c>
      <x:c r="B250" t="n" s="2">
        <x:v>91</x:v>
      </x:c>
      <x:c r="C250" t="str" s="2">
        <x:v/>
      </x:c>
      <x:c r="D250" t="str" s="2">
        <x:f>=""</x:f>
      </x:c>
      <x:c r="E250" s="0"/>
      <x:c r="F250" t="str" s="2">
        <x:v>Other</x:v>
      </x:c>
      <x:c r="G250" t="str" s="2">
        <x:v>Heritage Housing of Augusta</x:v>
      </x:c>
      <x:c r="H250" t="str" s="2">
        <x:v>Faye Lively</x:v>
      </x:c>
      <x:c r="I250" s="0"/>
      <x:c r="J250" t="str" s="2">
        <x:v>Faye Lively</x:v>
      </x:c>
      <x:c r="K250" t="n" s="2">
        <x:v>5</x:v>
      </x:c>
      <x:c r="L250" t="str" s="2">
        <x:v>1.1</x:v>
      </x:c>
      <x:c r="M250" t="str" s="2">
        <x:v>Tentative</x:v>
      </x:c>
      <x:c r="N250" t="str" s="2">
        <x:v>Deal Created</x:v>
      </x:c>
      <x:c r="O250" s="0"/>
      <x:c r="P250" s="6">
        <x:v>46217</x:v>
      </x:c>
      <x:c r="Q250" s="6">
        <x:v>46217.727907141205</x:v>
      </x:c>
      <x:c r="R250" s="0"/>
      <x:c r="S250" s="0"/>
      <x:c r="T250" s="0"/>
      <x:c r="U250" s="0"/>
      <x:c r="V250" s="0"/>
      <x:c r="W250" s="0"/>
      <x:c r="X250" t="str" s="2">
        <x:v>8324913750</x:v>
      </x:c>
      <x:c r="Y250" t="str" s="2">
        <x:v>jasonmreed13189@gmail.com</x:v>
      </x:c>
      <x:c r="Z250" s="6">
        <x:v>46217.726534409725</x:v>
      </x:c>
      <x:c r="AA250" t="str" s="2">
        <x:v>Kyara Casanova</x:v>
      </x:c>
      <x:c r="AB250" s="6">
        <x:v>46217.72532399306</x:v>
      </x:c>
      <x:c r="AC250" t="n" s="2">
        <x:v>38506</x:v>
      </x:c>
      <x:c r="AD250" s="0"/>
      <x:c r="AE250" s="0"/>
      <x:c r="AF250" s="0"/>
      <x:c r="AG250" s="0"/>
      <x:c r="AH250" s="0"/>
      <x:c r="AI250" s="0"/>
      <x:c r="AJ250" s="0"/>
      <x:c r="AK250" s="0"/>
    </x:row>
    <x:row r="251">
      <x:c r="A251" t="str" s="2">
        <x:f>=HYPERLINK("https://rsms.futurehomex.com/lead/38507", "Jesus Hazael Becerra Lopez")</x:f>
      </x:c>
      <x:c r="B251" t="n" s="2">
        <x:v>91</x:v>
      </x:c>
      <x:c r="C251" t="str" s="2">
        <x:v>1/4</x:v>
      </x:c>
      <x:c r="D251" t="str" s="2">
        <x:f>=""</x:f>
      </x:c>
      <x:c r="E251" t="str" s="2">
        <x:v>Ruth Flores</x:v>
      </x:c>
      <x:c r="F251" t="str" s="2">
        <x:v>Meta Marketplace</x:v>
      </x:c>
      <x:c r="G251" t="str" s="2">
        <x:v>Legacy Housing Corp. DBA Americasa</x:v>
      </x:c>
      <x:c r="H251" t="str" s="2">
        <x:v>Joey Marquez</x:v>
      </x:c>
      <x:c r="I251" t="str" s="2">
        <x:v>Karol Romero</x:v>
      </x:c>
      <x:c r="J251" t="str" s="2">
        <x:v>Rodrigo Ramirez</x:v>
      </x:c>
      <x:c r="K251" t="n" s="2">
        <x:v>5</x:v>
      </x:c>
      <x:c r="L251" t="str" s="2">
        <x:v>1.1</x:v>
      </x:c>
      <x:c r="M251" t="str" s="2">
        <x:v>Tentative</x:v>
      </x:c>
      <x:c r="N251" t="str" s="2">
        <x:v>Deal Created</x:v>
      </x:c>
      <x:c r="O251" s="0"/>
      <x:c r="P251" s="6">
        <x:v>46217</x:v>
      </x:c>
      <x:c r="Q251" s="6">
        <x:v>46217.72566898148</x:v>
      </x:c>
      <x:c r="R251" s="0"/>
      <x:c r="S251" s="0"/>
      <x:c r="T251" s="0"/>
      <x:c r="U251" s="0"/>
      <x:c r="V251" s="0"/>
      <x:c r="W251" s="0"/>
      <x:c r="X251" t="str" s="2">
        <x:v>8327013069</x:v>
      </x:c>
      <x:c r="Y251" t="str" s="2">
        <x:v>8327013069</x:v>
      </x:c>
      <x:c r="Z251" s="6">
        <x:v>46287.848829166665</x:v>
      </x:c>
      <x:c r="AA251" t="str" s="2">
        <x:v>Joey Marquez</x:v>
      </x:c>
      <x:c r="AB251" s="6">
        <x:v>46217.725333333336</x:v>
      </x:c>
      <x:c r="AC251" t="n" s="2">
        <x:v>38507</x:v>
      </x:c>
      <x:c r="AD251" s="0"/>
      <x:c r="AE251" s="0"/>
      <x:c r="AF251" s="0"/>
      <x:c r="AG251" s="0"/>
      <x:c r="AH251" s="0"/>
      <x:c r="AI251" s="0"/>
      <x:c r="AJ251" s="0"/>
      <x:c r="AK251" s="0"/>
    </x:row>
    <x:row r="252">
      <x:c r="A252" t="str" s="2">
        <x:f>=HYPERLINK("https://rsms.futurehomex.com/lead/38508", "Carvell Tattum")</x:f>
      </x:c>
      <x:c r="B252" t="n" s="2">
        <x:v>91</x:v>
      </x:c>
      <x:c r="C252" t="str" s="2">
        <x:v/>
      </x:c>
      <x:c r="D252" t="str" s="2">
        <x:f>=""</x:f>
      </x:c>
      <x:c r="E252" s="0"/>
      <x:c r="F252" t="str" s="2">
        <x:v>Other</x:v>
      </x:c>
      <x:c r="G252" t="str" s="2">
        <x:v>Heritage Housing of Augusta</x:v>
      </x:c>
      <x:c r="H252" t="str" s="2">
        <x:v>Kyara Casanova</x:v>
      </x:c>
      <x:c r="I252" s="0"/>
      <x:c r="J252" t="str" s="2">
        <x:v>Kyara Casanova</x:v>
      </x:c>
      <x:c r="K252" t="n" s="2">
        <x:v>5</x:v>
      </x:c>
      <x:c r="L252" t="str" s="2">
        <x:v>1.1</x:v>
      </x:c>
      <x:c r="M252" t="str" s="2">
        <x:v>Dead</x:v>
      </x:c>
      <x:c r="N252" t="str" s="2">
        <x:v>Deal Created</x:v>
      </x:c>
      <x:c r="O252" s="0"/>
      <x:c r="P252" s="6">
        <x:v>46217</x:v>
      </x:c>
      <x:c r="Q252" s="6">
        <x:v>46217.732042476855</x:v>
      </x:c>
      <x:c r="R252" s="0"/>
      <x:c r="S252" s="0"/>
      <x:c r="T252" s="0"/>
      <x:c r="U252" s="0"/>
      <x:c r="V252" s="0"/>
      <x:c r="W252" s="0"/>
      <x:c r="X252" t="str" s="2">
        <x:v>7703101188</x:v>
      </x:c>
      <x:c r="Y252" t="str" s="2">
        <x:v>vellcar32@yahoo.com</x:v>
      </x:c>
      <x:c r="Z252" s="6">
        <x:v>46217.734134872684</x:v>
      </x:c>
      <x:c r="AA252" t="str" s="2">
        <x:v>Kyara Casanova</x:v>
      </x:c>
      <x:c r="AB252" s="6">
        <x:v>46217.73204398148</x:v>
      </x:c>
      <x:c r="AC252" t="n" s="2">
        <x:v>38508</x:v>
      </x:c>
      <x:c r="AD252" s="0"/>
      <x:c r="AE252" s="0"/>
      <x:c r="AF252" s="0"/>
      <x:c r="AG252" s="0"/>
      <x:c r="AH252" s="0"/>
      <x:c r="AI252" s="0"/>
      <x:c r="AJ252" s="0"/>
      <x:c r="AK252" s="0"/>
    </x:row>
    <x:row r="253">
      <x:c r="A253" t="str" s="2">
        <x:f>=HYPERLINK("https://rsms.futurehomex.com/lead/38510", "James Dunn")</x:f>
      </x:c>
      <x:c r="B253" t="n" s="2">
        <x:v>91</x:v>
      </x:c>
      <x:c r="C253" t="str" s="2">
        <x:v/>
      </x:c>
      <x:c r="D253" t="str" s="2">
        <x:f>=""</x:f>
      </x:c>
      <x:c r="E253" s="0"/>
      <x:c r="F253" t="str" s="2">
        <x:v>Other</x:v>
      </x:c>
      <x:c r="G253" t="str" s="2">
        <x:v>Heritage Housing of Augusta</x:v>
      </x:c>
      <x:c r="H253" t="str" s="2">
        <x:v>Kyara Casanova</x:v>
      </x:c>
      <x:c r="I253" s="0"/>
      <x:c r="J253" t="str" s="2">
        <x:v>Kyara Casanova</x:v>
      </x:c>
      <x:c r="K253" t="n" s="2">
        <x:v>5</x:v>
      </x:c>
      <x:c r="L253" t="str" s="2">
        <x:v>1.1</x:v>
      </x:c>
      <x:c r="M253" t="str" s="2">
        <x:v>Dead</x:v>
      </x:c>
      <x:c r="N253" t="str" s="2">
        <x:v>Deal Created</x:v>
      </x:c>
      <x:c r="O253" s="0"/>
      <x:c r="P253" s="6">
        <x:v>46217</x:v>
      </x:c>
      <x:c r="Q253" s="6">
        <x:v>46217.82486296296</x:v>
      </x:c>
      <x:c r="R253" s="0"/>
      <x:c r="S253" s="0"/>
      <x:c r="T253" s="0"/>
      <x:c r="U253" s="0"/>
      <x:c r="V253" s="0"/>
      <x:c r="W253" s="0"/>
      <x:c r="X253" t="str" s="2">
        <x:v>7069906812</x:v>
      </x:c>
      <x:c r="Y253" t="str" s="2">
        <x:v>7069906812</x:v>
      </x:c>
      <x:c r="Z253" s="6">
        <x:v>46224.757836689816</x:v>
      </x:c>
      <x:c r="AA253" t="str" s="2">
        <x:v>Kyara Casanova</x:v>
      </x:c>
      <x:c r="AB253" s="6">
        <x:v>46217.82486458333</x:v>
      </x:c>
      <x:c r="AC253" t="n" s="2">
        <x:v>38510</x:v>
      </x:c>
      <x:c r="AD253" s="0"/>
      <x:c r="AE253" s="0"/>
      <x:c r="AF253" s="0"/>
      <x:c r="AG253" s="0"/>
      <x:c r="AH253" s="0"/>
      <x:c r="AI253" s="0"/>
      <x:c r="AJ253" s="0"/>
      <x:c r="AK253" s="0"/>
    </x:row>
    <x:row r="254">
      <x:c r="A254" t="str" s="2">
        <x:f>=HYPERLINK("https://rsms.futurehomex.com/lead/38511", "Marlena Molthan")</x:f>
      </x:c>
      <x:c r="B254" t="n" s="2">
        <x:v>91</x:v>
      </x:c>
      <x:c r="C254" t="str" s="2">
        <x:v>0/8</x:v>
      </x:c>
      <x:c r="D254" t="str" s="2">
        <x:f>=""</x:f>
      </x:c>
      <x:c r="E254" t="str" s="2">
        <x:v>Nathaniel Larney</x:v>
      </x:c>
      <x:c r="F254" t="str" s="2">
        <x:v>Facebook Messenger</x:v>
      </x:c>
      <x:c r="G254" t="str" s="2">
        <x:v>Heritage Housing of Oklahoma City</x:v>
      </x:c>
      <x:c r="H254" t="str" s="2">
        <x:v>Steve Castell</x:v>
      </x:c>
      <x:c r="I254" s="0"/>
      <x:c r="J254" s="0"/>
      <x:c r="K254" t="n" s="2">
        <x:v>59</x:v>
      </x:c>
      <x:c r="L254" t="str" s="2">
        <x:v>4.3</x:v>
      </x:c>
      <x:c r="M254" t="str" s="2">
        <x:v>Dead</x:v>
      </x:c>
      <x:c r="N254" t="str" s="2">
        <x:v>Loan Approved</x:v>
      </x:c>
      <x:c r="O254" s="0"/>
      <x:c r="P254" s="6">
        <x:v>46217</x:v>
      </x:c>
      <x:c r="Q254" s="6">
        <x:v>46238.05233958333</x:v>
      </x:c>
      <x:c r="R254" s="0"/>
      <x:c r="S254" s="6">
        <x:v>46234</x:v>
      </x:c>
      <x:c r="T254" s="6">
        <x:v>46235</x:v>
      </x:c>
      <x:c r="U254" s="6">
        <x:v>46239</x:v>
      </x:c>
      <x:c r="V254" s="6">
        <x:v>46241</x:v>
      </x:c>
      <x:c r="W254" s="0"/>
      <x:c r="X254" t="str" s="2">
        <x:v>9184719768</x:v>
      </x:c>
      <x:c r="Y254" t="str" s="2">
        <x:v>mwilson1278@yahoo.com</x:v>
      </x:c>
      <x:c r="Z254" s="6">
        <x:v>46255.84410829861</x:v>
      </x:c>
      <x:c r="AA254" t="str" s="2">
        <x:v>Steve Castell</x:v>
      </x:c>
      <x:c r="AB254" s="6">
        <x:v>46217.82987071759</x:v>
      </x:c>
      <x:c r="AC254" t="n" s="2">
        <x:v>38511</x:v>
      </x:c>
      <x:c r="AD254" t="str" s="2">
        <x:v>Singlewide</x:v>
      </x:c>
      <x:c r="AE254" t="str" s="2">
        <x:v>21st Mortgage Corporation</x:v>
      </x:c>
      <x:c r="AF254" s="7">
        <x:v>1000</x:v>
      </x:c>
      <x:c r="AG254" s="7">
        <x:v>1000</x:v>
      </x:c>
      <x:c r="AH254" s="0"/>
      <x:c r="AI254" s="0"/>
      <x:c r="AJ254" s="0"/>
      <x:c r="AK254" s="0"/>
    </x:row>
    <x:row r="255">
      <x:c r="A255" t="str" s="2">
        <x:f>=HYPERLINK("https://rsms.futurehomex.com/lead/38512", "Omar Azaares")</x:f>
      </x:c>
      <x:c r="B255" t="n" s="2">
        <x:v>91</x:v>
      </x:c>
      <x:c r="C255" t="str" s="2">
        <x:v>0/3</x:v>
      </x:c>
      <x:c r="D255" t="str" s="2">
        <x:f>=""</x:f>
      </x:c>
      <x:c r="E255" s="0"/>
      <x:c r="F255" t="str" s="2">
        <x:v>Meta Marketplace</x:v>
      </x:c>
      <x:c r="G255" t="str" s="2">
        <x:v>Legacy Housing Corp. DBA Americasa</x:v>
      </x:c>
      <x:c r="H255" t="str" s="2">
        <x:v>Joey Marquez</x:v>
      </x:c>
      <x:c r="I255" t="str" s="2">
        <x:v>Karol Romero</x:v>
      </x:c>
      <x:c r="J255" t="str" s="2">
        <x:v>Rodrigo Ramirez</x:v>
      </x:c>
      <x:c r="K255" t="n" s="2">
        <x:v>5</x:v>
      </x:c>
      <x:c r="L255" t="str" s="2">
        <x:v>1.1</x:v>
      </x:c>
      <x:c r="M255" t="str" s="2">
        <x:v>Tentative</x:v>
      </x:c>
      <x:c r="N255" t="str" s="2">
        <x:v>Deal Created</x:v>
      </x:c>
      <x:c r="O255" s="0"/>
      <x:c r="P255" s="6">
        <x:v>46217</x:v>
      </x:c>
      <x:c r="Q255" s="6">
        <x:v>46251.853339849535</x:v>
      </x:c>
      <x:c r="R255" s="0"/>
      <x:c r="S255" s="0"/>
      <x:c r="T255" s="0"/>
      <x:c r="U255" s="0"/>
      <x:c r="V255" s="0"/>
      <x:c r="W255" s="0"/>
      <x:c r="X255" t="str" s="2">
        <x:v>9496900215</x:v>
      </x:c>
      <x:c r="Y255" t="str" s="2">
        <x:v>9496900215</x:v>
      </x:c>
      <x:c r="Z255" s="6">
        <x:v>46287.814896840275</x:v>
      </x:c>
      <x:c r="AA255" t="str" s="2">
        <x:v>Joey Marquez</x:v>
      </x:c>
      <x:c r="AB255" s="6">
        <x:v>46217.86134733797</x:v>
      </x:c>
      <x:c r="AC255" t="n" s="2">
        <x:v>38512</x:v>
      </x:c>
      <x:c r="AD255" s="0"/>
      <x:c r="AE255" s="0"/>
      <x:c r="AF255" s="0"/>
      <x:c r="AG255" s="0"/>
      <x:c r="AH255" s="0"/>
      <x:c r="AI255" s="0"/>
      <x:c r="AJ255" s="0"/>
      <x:c r="AK255" s="0"/>
    </x:row>
    <x:row r="256">
      <x:c r="A256" t="str" s="2">
        <x:f>=HYPERLINK("https://rsms.futurehomex.com/lead/38513", "Jose Jorge Morales")</x:f>
      </x:c>
      <x:c r="B256" t="n" s="2">
        <x:v>91</x:v>
      </x:c>
      <x:c r="C256" t="str" s="2">
        <x:v>0/2</x:v>
      </x:c>
      <x:c r="D256" t="str" s="2">
        <x:f>=""</x:f>
      </x:c>
      <x:c r="E256" s="0"/>
      <x:c r="F256" t="str" s="2">
        <x:v>Meta Marketplace</x:v>
      </x:c>
      <x:c r="G256" t="str" s="2">
        <x:v>Legacy Housing Corp. DBA Americasa</x:v>
      </x:c>
      <x:c r="H256" t="str" s="2">
        <x:v>Joey Marquez</x:v>
      </x:c>
      <x:c r="I256" t="str" s="2">
        <x:v>Karol Romero</x:v>
      </x:c>
      <x:c r="J256" t="str" s="2">
        <x:v>Rodrigo Ramirez</x:v>
      </x:c>
      <x:c r="K256" t="n" s="2">
        <x:v>5</x:v>
      </x:c>
      <x:c r="L256" t="str" s="2">
        <x:v>1.1</x:v>
      </x:c>
      <x:c r="M256" t="str" s="2">
        <x:v>Tentative</x:v>
      </x:c>
      <x:c r="N256" t="str" s="2">
        <x:v>Deal Created</x:v>
      </x:c>
      <x:c r="O256" s="0"/>
      <x:c r="P256" s="6">
        <x:v>46217</x:v>
      </x:c>
      <x:c r="Q256" s="6">
        <x:v>46251.663603587964</x:v>
      </x:c>
      <x:c r="R256" s="0"/>
      <x:c r="S256" s="6">
        <x:v>46217</x:v>
      </x:c>
      <x:c r="T256" s="0"/>
      <x:c r="U256" s="0"/>
      <x:c r="V256" s="0"/>
      <x:c r="W256" s="0"/>
      <x:c r="X256" t="str" s="2">
        <x:v>2815430212</x:v>
      </x:c>
      <x:c r="Y256" t="str" s="2">
        <x:v>2815430212</x:v>
      </x:c>
      <x:c r="Z256" s="6">
        <x:v>46290.64691501157</x:v>
      </x:c>
      <x:c r="AA256" t="str" s="2">
        <x:v>Joey Marquez</x:v>
      </x:c>
      <x:c r="AB256" s="6">
        <x:v>46217.86324019676</x:v>
      </x:c>
      <x:c r="AC256" t="n" s="2">
        <x:v>38513</x:v>
      </x:c>
      <x:c r="AD256" s="0"/>
      <x:c r="AE256" s="0"/>
      <x:c r="AF256" s="0"/>
      <x:c r="AG256" s="0"/>
      <x:c r="AH256" s="0"/>
      <x:c r="AI256" s="0"/>
      <x:c r="AJ256" s="0"/>
      <x:c r="AK256" s="0"/>
    </x:row>
    <x:row r="257">
      <x:c r="A257" t="str" s="2">
        <x:f>=HYPERLINK("https://rsms.futurehomex.com/lead/38514", "Robert Warner")</x:f>
      </x:c>
      <x:c r="B257" t="n" s="2">
        <x:v>91</x:v>
      </x:c>
      <x:c r="C257" t="str" s="2">
        <x:v>0/2</x:v>
      </x:c>
      <x:c r="D257" t="str" s="2">
        <x:f>=""</x:f>
      </x:c>
      <x:c r="E257" s="0"/>
      <x:c r="F257" t="str" s="2">
        <x:v>Walk-in</x:v>
      </x:c>
      <x:c r="G257" t="str" s="2">
        <x:v>Heritage Housing of Oklahoma City</x:v>
      </x:c>
      <x:c r="H257" t="str" s="2">
        <x:v>Karla Brizuela</x:v>
      </x:c>
      <x:c r="I257" s="0"/>
      <x:c r="J257" t="str" s="2">
        <x:v>Karla Brizuela</x:v>
      </x:c>
      <x:c r="K257" t="n" s="2">
        <x:v>5</x:v>
      </x:c>
      <x:c r="L257" t="str" s="2">
        <x:v>1.1</x:v>
      </x:c>
      <x:c r="M257" t="str" s="2">
        <x:v>Dead</x:v>
      </x:c>
      <x:c r="N257" t="str" s="2">
        <x:v>Deal Created</x:v>
      </x:c>
      <x:c r="O257" s="0"/>
      <x:c r="P257" s="6">
        <x:v>46217</x:v>
      </x:c>
      <x:c r="Q257" s="6">
        <x:v>46217.86613984954</x:v>
      </x:c>
      <x:c r="R257" s="0"/>
      <x:c r="S257" s="6">
        <x:v>46217</x:v>
      </x:c>
      <x:c r="T257" s="0"/>
      <x:c r="U257" s="0"/>
      <x:c r="V257" s="0"/>
      <x:c r="W257" s="0"/>
      <x:c r="X257" t="str" s="2">
        <x:v>4052693669</x:v>
      </x:c>
      <x:c r="Y257" t="str" s="2">
        <x:v>misha.friend@yahoo.com</x:v>
      </x:c>
      <x:c r="Z257" s="6">
        <x:v>46227.90173113426</x:v>
      </x:c>
      <x:c r="AA257" t="str" s="2">
        <x:v>Karla Brizuela</x:v>
      </x:c>
      <x:c r="AB257" s="6">
        <x:v>46217.86387936342</x:v>
      </x:c>
      <x:c r="AC257" t="n" s="2">
        <x:v>38514</x:v>
      </x:c>
      <x:c r="AD257" s="0"/>
      <x:c r="AE257" s="0"/>
      <x:c r="AF257" s="0"/>
      <x:c r="AG257" s="7">
        <x:v>5000</x:v>
      </x:c>
      <x:c r="AH257" s="0"/>
      <x:c r="AI257" s="0"/>
      <x:c r="AJ257" s="0"/>
      <x:c r="AK257" s="0"/>
    </x:row>
    <x:row r="258">
      <x:c r="A258" t="str" s="2">
        <x:f>=HYPERLINK("https://rsms.futurehomex.com/lead/38515", "Amberly Gorham")</x:f>
      </x:c>
      <x:c r="B258" t="n" s="2">
        <x:v>91</x:v>
      </x:c>
      <x:c r="C258" t="str" s="2">
        <x:v>0/5</x:v>
      </x:c>
      <x:c r="D258" t="str" s="2">
        <x:f>=""</x:f>
      </x:c>
      <x:c r="E258" s="0"/>
      <x:c r="F258" t="str" s="2">
        <x:v>Walk-in</x:v>
      </x:c>
      <x:c r="G258" t="str" s="2">
        <x:v>Heritage Housing of Oklahoma City</x:v>
      </x:c>
      <x:c r="H258" t="str" s="2">
        <x:v>Alejandra Calderon</x:v>
      </x:c>
      <x:c r="I258" s="0"/>
      <x:c r="J258" s="0"/>
      <x:c r="K258" t="n" s="2">
        <x:v>5</x:v>
      </x:c>
      <x:c r="L258" t="str" s="2">
        <x:v>1.1</x:v>
      </x:c>
      <x:c r="M258" t="str" s="2">
        <x:v>Dead</x:v>
      </x:c>
      <x:c r="N258" t="str" s="2">
        <x:v>Deal Created</x:v>
      </x:c>
      <x:c r="O258" s="0"/>
      <x:c r="P258" s="6">
        <x:v>46217</x:v>
      </x:c>
      <x:c r="Q258" s="6">
        <x:v>46217.893189664355</x:v>
      </x:c>
      <x:c r="R258" s="0"/>
      <x:c r="S258" s="6">
        <x:v>46217</x:v>
      </x:c>
      <x:c r="T258" s="0"/>
      <x:c r="U258" s="0"/>
      <x:c r="V258" s="0"/>
      <x:c r="W258" s="0"/>
      <x:c r="X258" t="str" s="2">
        <x:v>3252606766</x:v>
      </x:c>
      <x:c r="Y258" t="str" s="2">
        <x:v>auntieam81@gmail.com</x:v>
      </x:c>
      <x:c r="Z258" s="6">
        <x:v>46274.82829336805</x:v>
      </x:c>
      <x:c r="AA258" t="str" s="2">
        <x:v>Steve Castell</x:v>
      </x:c>
      <x:c r="AB258" s="6">
        <x:v>46217.89319112268</x:v>
      </x:c>
      <x:c r="AC258" t="n" s="2">
        <x:v>38515</x:v>
      </x:c>
      <x:c r="AD258" s="0"/>
      <x:c r="AE258" s="0"/>
      <x:c r="AF258" s="0"/>
      <x:c r="AG258" s="0"/>
      <x:c r="AH258" s="0"/>
      <x:c r="AI258" s="0"/>
      <x:c r="AJ258" s="0"/>
      <x:c r="AK258" s="0"/>
    </x:row>
    <x:row r="259">
      <x:c r="A259" t="str" s="2">
        <x:f>=HYPERLINK("https://rsms.futurehomex.com/lead/38516", "Christtina Dexon")</x:f>
      </x:c>
      <x:c r="B259" t="n" s="2">
        <x:v>91</x:v>
      </x:c>
      <x:c r="C259" t="str" s="2">
        <x:v/>
      </x:c>
      <x:c r="D259" t="str" s="2">
        <x:f>=""</x:f>
      </x:c>
      <x:c r="E259" s="0"/>
      <x:c r="F259" t="str" s="2">
        <x:v>META Marketplace</x:v>
      </x:c>
      <x:c r="G259" t="str" s="2">
        <x:v>Heritage Housing Mt Pleasant</x:v>
      </x:c>
      <x:c r="H259" t="str" s="2">
        <x:v>Yarelis Torres</x:v>
      </x:c>
      <x:c r="I259" s="0"/>
      <x:c r="J259" t="str" s="2">
        <x:v>Yarelis Torres</x:v>
      </x:c>
      <x:c r="K259" t="n" s="2">
        <x:v>5</x:v>
      </x:c>
      <x:c r="L259" t="str" s="2">
        <x:v>1.1</x:v>
      </x:c>
      <x:c r="M259" t="str" s="2">
        <x:v>Tentative</x:v>
      </x:c>
      <x:c r="N259" t="str" s="2">
        <x:v>Deal Created</x:v>
      </x:c>
      <x:c r="O259" s="0"/>
      <x:c r="P259" s="6">
        <x:v>46217</x:v>
      </x:c>
      <x:c r="Q259" s="6">
        <x:v>46217.905786689815</x:v>
      </x:c>
      <x:c r="R259" s="0"/>
      <x:c r="S259" s="0"/>
      <x:c r="T259" s="0"/>
      <x:c r="U259" s="0"/>
      <x:c r="V259" s="0"/>
      <x:c r="W259" s="0"/>
      <x:c r="X259" t="str" s="2">
        <x:v>9033051092</x:v>
      </x:c>
      <x:c r="Y259" t="str" s="2">
        <x:v>christymdixon82@gmail.com</x:v>
      </x:c>
      <x:c r="Z259" s="6">
        <x:v>46223.66115127315</x:v>
      </x:c>
      <x:c r="AA259" t="str" s="2">
        <x:v>Yarelis Torres</x:v>
      </x:c>
      <x:c r="AB259" s="6">
        <x:v>46217.905788310185</x:v>
      </x:c>
      <x:c r="AC259" t="n" s="2">
        <x:v>38516</x:v>
      </x:c>
      <x:c r="AD259" s="0"/>
      <x:c r="AE259" s="0"/>
      <x:c r="AF259" s="0"/>
      <x:c r="AG259" s="0"/>
      <x:c r="AH259" s="0"/>
      <x:c r="AI259" s="0"/>
      <x:c r="AJ259" s="0"/>
      <x:c r="AK259" s="0"/>
    </x:row>
    <x:row r="260">
      <x:c r="A260" t="str" s="2">
        <x:f>=HYPERLINK("https://rsms.futurehomex.com/lead/38517", "OSCAR MONAY")</x:f>
      </x:c>
      <x:c r="B260" t="n" s="2">
        <x:v>91</x:v>
      </x:c>
      <x:c r="C260" t="str" s="2">
        <x:v/>
      </x:c>
      <x:c r="D260" t="str" s="2">
        <x:f>=""</x:f>
      </x:c>
      <x:c r="E260" s="0"/>
      <x:c r="F260" t="str" s="2">
        <x:v>Walk-in</x:v>
      </x:c>
      <x:c r="G260" t="str" s="2">
        <x:v>Heritage Housing of Augusta</x:v>
      </x:c>
      <x:c r="H260" t="str" s="2">
        <x:v>Faye Lively</x:v>
      </x:c>
      <x:c r="I260" t="str" s="2">
        <x:v>Karol Romero</x:v>
      </x:c>
      <x:c r="J260" t="str" s="2">
        <x:v>Faye Lively</x:v>
      </x:c>
      <x:c r="K260" t="n" s="2">
        <x:v>5</x:v>
      </x:c>
      <x:c r="L260" t="str" s="2">
        <x:v>1.1</x:v>
      </x:c>
      <x:c r="M260" t="str" s="2">
        <x:v>Tentative</x:v>
      </x:c>
      <x:c r="N260" t="str" s="2">
        <x:v>Deal Created</x:v>
      </x:c>
      <x:c r="O260" s="0"/>
      <x:c r="P260" s="6">
        <x:v>46217</x:v>
      </x:c>
      <x:c r="Q260" s="6">
        <x:v>46217.91141956019</x:v>
      </x:c>
      <x:c r="R260" s="0"/>
      <x:c r="S260" s="0"/>
      <x:c r="T260" s="0"/>
      <x:c r="U260" s="0"/>
      <x:c r="V260" s="0"/>
      <x:c r="W260" s="0"/>
      <x:c r="X260" t="str" s="2">
        <x:v>7066998576</x:v>
      </x:c>
      <x:c r="Y260" t="str" s="2">
        <x:v>ocarillo20004@gmail.com</x:v>
      </x:c>
      <x:c r="Z260" s="0"/>
      <x:c r="AA260" s="0"/>
      <x:c r="AB260" s="6">
        <x:v>46217.91142121528</x:v>
      </x:c>
      <x:c r="AC260" t="n" s="2">
        <x:v>38517</x:v>
      </x:c>
      <x:c r="AD260" s="0"/>
      <x:c r="AE260" s="0"/>
      <x:c r="AF260" s="0"/>
      <x:c r="AG260" s="0"/>
      <x:c r="AH260" s="0"/>
      <x:c r="AI260" s="0"/>
      <x:c r="AJ260" s="0"/>
      <x:c r="AK260" s="0"/>
    </x:row>
    <x:row r="261">
      <x:c r="A261" t="str" s="2">
        <x:f>=HYPERLINK("https://rsms.futurehomex.com/lead/38518", "Charles Faurot")</x:f>
      </x:c>
      <x:c r="B261" t="n" s="2">
        <x:v>91</x:v>
      </x:c>
      <x:c r="C261" t="str" s="2">
        <x:v>0/3</x:v>
      </x:c>
      <x:c r="D261" t="str" s="2">
        <x:f>=""</x:f>
      </x:c>
      <x:c r="E261" s="0"/>
      <x:c r="F261" t="str" s="2">
        <x:v>Financing Form</x:v>
      </x:c>
      <x:c r="G261" t="str" s="2">
        <x:v>Heritage Housing of Minden</x:v>
      </x:c>
      <x:c r="H261" t="str" s="2">
        <x:v>Patrick Schuchart</x:v>
      </x:c>
      <x:c r="I261" t="str" s="2">
        <x:v>Karol Romero</x:v>
      </x:c>
      <x:c r="J261" t="str" s="2">
        <x:v>Patrick Schuchart</x:v>
      </x:c>
      <x:c r="K261" t="n" s="2">
        <x:v>34</x:v>
      </x:c>
      <x:c r="L261" t="str" s="2">
        <x:v>2.4</x:v>
      </x:c>
      <x:c r="M261" t="str" s="2">
        <x:v>Inactive</x:v>
      </x:c>
      <x:c r="N261" t="str" s="2">
        <x:v>Deal approval</x:v>
      </x:c>
      <x:c r="O261" s="0"/>
      <x:c r="P261" s="6">
        <x:v>46217</x:v>
      </x:c>
      <x:c r="Q261" s="6">
        <x:v>46297.73778113426</x:v>
      </x:c>
      <x:c r="R261" s="0"/>
      <x:c r="S261" s="6">
        <x:v>46217</x:v>
      </x:c>
      <x:c r="T261" s="0"/>
      <x:c r="U261" s="0"/>
      <x:c r="V261" s="0"/>
      <x:c r="W261" s="0"/>
      <x:c r="X261" t="str" s="2">
        <x:v>3184550747</x:v>
      </x:c>
      <x:c r="Y261" t="str" s="2">
        <x:v>scooterdf8317@gmail.com</x:v>
      </x:c>
      <x:c r="Z261" s="6">
        <x:v>46297.738816006946</x:v>
      </x:c>
      <x:c r="AA261" t="str" s="2">
        <x:v>Patrick Schuchart</x:v>
      </x:c>
      <x:c r="AB261" s="6">
        <x:v>46217.94075069445</x:v>
      </x:c>
      <x:c r="AC261" t="n" s="2">
        <x:v>38518</x:v>
      </x:c>
      <x:c r="AD261" t="str" s="2">
        <x:v>Doublewide</x:v>
      </x:c>
      <x:c r="AE261" s="0"/>
      <x:c r="AF261" s="0"/>
      <x:c r="AG261" s="0"/>
      <x:c r="AH261" s="0"/>
      <x:c r="AI261" t="str" s="2" xml:space="preserve">
        <x:v>620 </x:v>
      </x:c>
      <x:c r="AJ261" s="0"/>
      <x:c r="AK261" s="0"/>
    </x:row>
    <x:row r="262">
      <x:c r="A262" t="str" s="2">
        <x:f>=HYPERLINK("https://rsms.futurehomex.com/lead/38521", "Marlon Rojas")</x:f>
      </x:c>
      <x:c r="B262" t="n" s="2">
        <x:v>90</x:v>
      </x:c>
      <x:c r="C262" t="str" s="2">
        <x:v>0/6</x:v>
      </x:c>
      <x:c r="D262" t="str" s="2">
        <x:f>=""</x:f>
      </x:c>
      <x:c r="E262" s="0"/>
      <x:c r="F262" t="str" s="2">
        <x:v>Meta Marketplace</x:v>
      </x:c>
      <x:c r="G262" t="str" s="2">
        <x:v>Legacy Housing Corp. DBA Americasa</x:v>
      </x:c>
      <x:c r="H262" t="str" s="2">
        <x:v>Joey Marquez</x:v>
      </x:c>
      <x:c r="I262" t="str" s="2">
        <x:v>Karol Romero</x:v>
      </x:c>
      <x:c r="J262" s="0"/>
      <x:c r="K262" t="n" s="2">
        <x:v>5</x:v>
      </x:c>
      <x:c r="L262" t="str" s="2">
        <x:v>1.1</x:v>
      </x:c>
      <x:c r="M262" t="str" s="2">
        <x:v>Tentative</x:v>
      </x:c>
      <x:c r="N262" t="str" s="2">
        <x:v>Prospect</x:v>
      </x:c>
      <x:c r="O262" s="0"/>
      <x:c r="P262" s="6">
        <x:v>46218</x:v>
      </x:c>
      <x:c r="Q262" s="6">
        <x:v>46218.912271643516</x:v>
      </x:c>
      <x:c r="R262" s="0"/>
      <x:c r="S262" s="0"/>
      <x:c r="T262" s="0"/>
      <x:c r="U262" s="0"/>
      <x:c r="V262" s="0"/>
      <x:c r="W262" s="0"/>
      <x:c r="X262" t="str" s="2">
        <x:v>3467587571</x:v>
      </x:c>
      <x:c r="Y262" t="str" s="2">
        <x:v>3467587571</x:v>
      </x:c>
      <x:c r="Z262" s="6">
        <x:v>46289.79943773148</x:v>
      </x:c>
      <x:c r="AA262" t="str" s="2">
        <x:v>Joey Marquez</x:v>
      </x:c>
      <x:c r="AB262" s="6">
        <x:v>46218.04453561342</x:v>
      </x:c>
      <x:c r="AC262" t="n" s="2">
        <x:v>38521</x:v>
      </x:c>
      <x:c r="AD262" s="0"/>
      <x:c r="AE262" s="0"/>
      <x:c r="AF262" s="0"/>
      <x:c r="AG262" s="0"/>
      <x:c r="AH262" s="0"/>
      <x:c r="AI262" s="0"/>
      <x:c r="AJ262" s="0"/>
      <x:c r="AK262" s="0"/>
    </x:row>
    <x:row r="263">
      <x:c r="A263" t="str" s="2">
        <x:f>=HYPERLINK("https://rsms.futurehomex.com/lead/38522", "Alfredo Rojas")</x:f>
      </x:c>
      <x:c r="B263" t="n" s="2">
        <x:v>90</x:v>
      </x:c>
      <x:c r="C263" t="str" s="2">
        <x:v>1/6</x:v>
      </x:c>
      <x:c r="D263" t="str" s="2">
        <x:f>=""</x:f>
      </x:c>
      <x:c r="E263" s="0"/>
      <x:c r="F263" t="str" s="2">
        <x:v>Meta Ads - Forms</x:v>
      </x:c>
      <x:c r="G263" t="str" s="2">
        <x:v>Legacy Housing Corp. DBA Americasa</x:v>
      </x:c>
      <x:c r="H263" t="str" s="2">
        <x:v>Joey Marquez</x:v>
      </x:c>
      <x:c r="I263" t="str" s="2">
        <x:v>Karol Romero</x:v>
      </x:c>
      <x:c r="J263" t="str" s="2">
        <x:v>Rodrigo Ramirez</x:v>
      </x:c>
      <x:c r="K263" t="n" s="2">
        <x:v>5</x:v>
      </x:c>
      <x:c r="L263" t="str" s="2">
        <x:v>1.1</x:v>
      </x:c>
      <x:c r="M263" t="str" s="2">
        <x:v>Tentative</x:v>
      </x:c>
      <x:c r="N263" t="str" s="2">
        <x:v>Prospect</x:v>
      </x:c>
      <x:c r="O263" s="0"/>
      <x:c r="P263" s="6">
        <x:v>46218</x:v>
      </x:c>
      <x:c r="Q263" s="6">
        <x:v>46230.98932496528</x:v>
      </x:c>
      <x:c r="R263" s="0"/>
      <x:c r="S263" s="6">
        <x:v>46218</x:v>
      </x:c>
      <x:c r="T263" s="0"/>
      <x:c r="U263" s="0"/>
      <x:c r="V263" s="0"/>
      <x:c r="W263" s="0"/>
      <x:c r="X263" t="str" s="2">
        <x:v>8323300266</x:v>
      </x:c>
      <x:c r="Y263" t="str" s="2">
        <x:v>a.rojas.truking705@gmail.com</x:v>
      </x:c>
      <x:c r="Z263" s="6">
        <x:v>46232.95226762731</x:v>
      </x:c>
      <x:c r="AA263" t="str" s="2">
        <x:v>Rodrigo Ramirez</x:v>
      </x:c>
      <x:c r="AB263" s="6">
        <x:v>46218.059472685185</x:v>
      </x:c>
      <x:c r="AC263" t="n" s="2">
        <x:v>38522</x:v>
      </x:c>
      <x:c r="AD263" s="0"/>
      <x:c r="AE263" s="0"/>
      <x:c r="AF263" s="0"/>
      <x:c r="AG263" s="0"/>
      <x:c r="AH263" s="0"/>
      <x:c r="AI263" s="0"/>
      <x:c r="AJ263" s="0"/>
      <x:c r="AK263" s="0"/>
    </x:row>
    <x:row r="264">
      <x:c r="A264" t="str" s="2">
        <x:f>=HYPERLINK("https://rsms.futurehomex.com/lead/38523", "Clemencia Escobar")</x:f>
      </x:c>
      <x:c r="B264" t="n" s="2">
        <x:v>90</x:v>
      </x:c>
      <x:c r="C264" t="str" s="2">
        <x:v/>
      </x:c>
      <x:c r="D264" t="str" s="2">
        <x:f>=""</x:f>
      </x:c>
      <x:c r="E264" s="0"/>
      <x:c r="F264" t="str" s="2">
        <x:v>Walk-in</x:v>
      </x:c>
      <x:c r="G264" t="str" s="2">
        <x:v>Heritage Housing of Asheboro</x:v>
      </x:c>
      <x:c r="H264" t="str" s="2">
        <x:v>Maria Lopez</x:v>
      </x:c>
      <x:c r="I264" s="0"/>
      <x:c r="J264" s="0"/>
      <x:c r="K264" t="n" s="2">
        <x:v>5</x:v>
      </x:c>
      <x:c r="L264" t="str" s="2">
        <x:v>1.1</x:v>
      </x:c>
      <x:c r="M264" t="str" s="2">
        <x:v>Tentative</x:v>
      </x:c>
      <x:c r="N264" t="str" s="2">
        <x:v>Prospect</x:v>
      </x:c>
      <x:c r="O264" s="0"/>
      <x:c r="P264" s="6">
        <x:v>46218</x:v>
      </x:c>
      <x:c r="Q264" s="6">
        <x:v>46218.567945717594</x:v>
      </x:c>
      <x:c r="R264" s="0"/>
      <x:c r="S264" s="0"/>
      <x:c r="T264" s="0"/>
      <x:c r="U264" s="0"/>
      <x:c r="V264" s="0"/>
      <x:c r="W264" s="0"/>
      <x:c r="X264" t="str" s="2">
        <x:v>3369977845</x:v>
      </x:c>
      <x:c r="Y264" t="str" s="2">
        <x:v>clemenciaws2@gmail.com</x:v>
      </x:c>
      <x:c r="Z264" s="6">
        <x:v>46218.640867395836</x:v>
      </x:c>
      <x:c r="AA264" t="str" s="2">
        <x:v>Maria Lopez</x:v>
      </x:c>
      <x:c r="AB264" s="6">
        <x:v>46218.567947881944</x:v>
      </x:c>
      <x:c r="AC264" t="n" s="2">
        <x:v>38523</x:v>
      </x:c>
      <x:c r="AD264" s="0"/>
      <x:c r="AE264" s="0"/>
      <x:c r="AF264" s="0"/>
      <x:c r="AG264" s="0"/>
      <x:c r="AH264" s="0"/>
      <x:c r="AI264" s="0"/>
      <x:c r="AJ264" s="0"/>
      <x:c r="AK264" s="0"/>
    </x:row>
    <x:row r="265">
      <x:c r="A265" t="str" s="2">
        <x:f>=HYPERLINK("https://rsms.futurehomex.com/lead/38524", "Jose Barboza")</x:f>
      </x:c>
      <x:c r="B265" t="n" s="2">
        <x:v>90</x:v>
      </x:c>
      <x:c r="C265" t="str" s="2">
        <x:v/>
      </x:c>
      <x:c r="D265" t="str" s="2">
        <x:f>=""</x:f>
      </x:c>
      <x:c r="E265" s="0"/>
      <x:c r="F265" t="str" s="2">
        <x:v>Walk-in</x:v>
      </x:c>
      <x:c r="G265" t="str" s="2">
        <x:v>Heritage Housing of Asheboro</x:v>
      </x:c>
      <x:c r="H265" t="str" s="2">
        <x:v>Maria Lopez</x:v>
      </x:c>
      <x:c r="I265" s="0"/>
      <x:c r="J265" s="0"/>
      <x:c r="K265" t="n" s="2">
        <x:v>5</x:v>
      </x:c>
      <x:c r="L265" t="str" s="2">
        <x:v>1.1</x:v>
      </x:c>
      <x:c r="M265" t="str" s="2">
        <x:v>Dead</x:v>
      </x:c>
      <x:c r="N265" t="str" s="2">
        <x:v>Prospect</x:v>
      </x:c>
      <x:c r="O265" s="0"/>
      <x:c r="P265" s="6">
        <x:v>46218</x:v>
      </x:c>
      <x:c r="Q265" s="6">
        <x:v>46218.56893880787</x:v>
      </x:c>
      <x:c r="R265" s="0"/>
      <x:c r="S265" s="0"/>
      <x:c r="T265" s="0"/>
      <x:c r="U265" s="0"/>
      <x:c r="V265" s="0"/>
      <x:c r="W265" s="0"/>
      <x:c r="X265" t="str" s="2">
        <x:v>3367493126</x:v>
      </x:c>
      <x:c r="Y265" t="str" s="2">
        <x:v>josebarb1748@gmail.com</x:v>
      </x:c>
      <x:c r="Z265" s="6">
        <x:v>46268.80092326389</x:v>
      </x:c>
      <x:c r="AA265" t="str" s="2">
        <x:v>Maria Lopez</x:v>
      </x:c>
      <x:c r="AB265" s="6">
        <x:v>46218.56893927083</x:v>
      </x:c>
      <x:c r="AC265" t="n" s="2">
        <x:v>38524</x:v>
      </x:c>
      <x:c r="AD265" s="0"/>
      <x:c r="AE265" s="0"/>
      <x:c r="AF265" s="0"/>
      <x:c r="AG265" s="0"/>
      <x:c r="AH265" s="0"/>
      <x:c r="AI265" s="0"/>
      <x:c r="AJ265" s="0"/>
      <x:c r="AK265" s="0"/>
    </x:row>
    <x:row r="266">
      <x:c r="A266" t="str" s="2">
        <x:f>=HYPERLINK("https://rsms.futurehomex.com/lead/38525", "Joshua Moore")</x:f>
      </x:c>
      <x:c r="B266" t="n" s="2">
        <x:v>90</x:v>
      </x:c>
      <x:c r="C266" t="str" s="2">
        <x:v/>
      </x:c>
      <x:c r="D266" t="str" s="2">
        <x:f>=""</x:f>
      </x:c>
      <x:c r="E266" s="0"/>
      <x:c r="F266" t="str" s="2">
        <x:v>Walk-in</x:v>
      </x:c>
      <x:c r="G266" t="str" s="2">
        <x:v>Heritage Housing of Tulsa</x:v>
      </x:c>
      <x:c r="H266" t="str" s="2">
        <x:v>Jenna Fransisco</x:v>
      </x:c>
      <x:c r="I266" s="0"/>
      <x:c r="J266" t="str" s="2">
        <x:v>Jenna Fransisco</x:v>
      </x:c>
      <x:c r="K266" t="n" s="2">
        <x:v>5</x:v>
      </x:c>
      <x:c r="L266" t="str" s="2">
        <x:v>1.1</x:v>
      </x:c>
      <x:c r="M266" t="str" s="2">
        <x:v>Tentative</x:v>
      </x:c>
      <x:c r="N266" t="str" s="2">
        <x:v>Deal Created</x:v>
      </x:c>
      <x:c r="O266" s="0"/>
      <x:c r="P266" s="6">
        <x:v>46218</x:v>
      </x:c>
      <x:c r="Q266" s="6">
        <x:v>46218.59133545139</x:v>
      </x:c>
      <x:c r="R266" s="0"/>
      <x:c r="S266" s="6">
        <x:v>46216</x:v>
      </x:c>
      <x:c r="T266" s="0"/>
      <x:c r="U266" s="0"/>
      <x:c r="V266" s="0"/>
      <x:c r="W266" s="0"/>
      <x:c r="X266" t="str" s="2">
        <x:v>5395778491</x:v>
      </x:c>
      <x:c r="Y266" t="str" s="2">
        <x:v>5395778491</x:v>
      </x:c>
      <x:c r="Z266" s="0"/>
      <x:c r="AA266" s="0"/>
      <x:c r="AB266" s="6">
        <x:v>46218.58984143518</x:v>
      </x:c>
      <x:c r="AC266" t="n" s="2">
        <x:v>38525</x:v>
      </x:c>
      <x:c r="AD266" s="0"/>
      <x:c r="AE266" s="0"/>
      <x:c r="AF266" s="0"/>
      <x:c r="AG266" s="0"/>
      <x:c r="AH266" s="0"/>
      <x:c r="AI266" s="0"/>
      <x:c r="AJ266" s="0"/>
      <x:c r="AK266" s="0"/>
    </x:row>
    <x:row r="267">
      <x:c r="A267" t="str" s="2">
        <x:f>=HYPERLINK("https://rsms.futurehomex.com/lead/38526", "Levy Landkamer")</x:f>
      </x:c>
      <x:c r="B267" t="n" s="2">
        <x:v>90</x:v>
      </x:c>
      <x:c r="C267" t="str" s="2">
        <x:v>0/2</x:v>
      </x:c>
      <x:c r="D267" t="str" s="2">
        <x:f>=""</x:f>
      </x:c>
      <x:c r="E267" s="0"/>
      <x:c r="F267" t="str" s="2">
        <x:v>Walk-in</x:v>
      </x:c>
      <x:c r="G267" t="str" s="2">
        <x:v>Heritage Housing of Oklahoma City</x:v>
      </x:c>
      <x:c r="H267" t="str" s="2">
        <x:v>Karla Brizuela</x:v>
      </x:c>
      <x:c r="I267" s="0"/>
      <x:c r="J267" t="str" s="2">
        <x:v>Karla Brizuela</x:v>
      </x:c>
      <x:c r="K267" t="n" s="2">
        <x:v>5</x:v>
      </x:c>
      <x:c r="L267" t="str" s="2">
        <x:v>1.1</x:v>
      </x:c>
      <x:c r="M267" t="str" s="2">
        <x:v>Dead</x:v>
      </x:c>
      <x:c r="N267" t="str" s="2">
        <x:v>Deal Created</x:v>
      </x:c>
      <x:c r="O267" s="0"/>
      <x:c r="P267" s="6">
        <x:v>46218</x:v>
      </x:c>
      <x:c r="Q267" s="6">
        <x:v>46218.64447931713</x:v>
      </x:c>
      <x:c r="R267" s="0"/>
      <x:c r="S267" s="6">
        <x:v>46218</x:v>
      </x:c>
      <x:c r="T267" s="0"/>
      <x:c r="U267" s="0"/>
      <x:c r="V267" s="0"/>
      <x:c r="W267" s="0"/>
      <x:c r="X267" t="str" s="2">
        <x:v>4054367247</x:v>
      </x:c>
      <x:c r="Y267" t="str" s="2">
        <x:v>levylandkamer@gmail.com</x:v>
      </x:c>
      <x:c r="Z267" s="6">
        <x:v>46225.98972928241</x:v>
      </x:c>
      <x:c r="AA267" t="str" s="2">
        <x:v>Karla Brizuela</x:v>
      </x:c>
      <x:c r="AB267" s="6">
        <x:v>46218.64448116898</x:v>
      </x:c>
      <x:c r="AC267" t="n" s="2">
        <x:v>38526</x:v>
      </x:c>
      <x:c r="AD267" s="0"/>
      <x:c r="AE267" s="0"/>
      <x:c r="AF267" s="0"/>
      <x:c r="AG267" s="0"/>
      <x:c r="AH267" s="0"/>
      <x:c r="AI267" s="0"/>
      <x:c r="AJ267" s="0"/>
      <x:c r="AK267" s="0"/>
    </x:row>
    <x:row r="268">
      <x:c r="A268" t="str" s="2">
        <x:f>=HYPERLINK("https://rsms.futurehomex.com/lead/38527", "Aaron Bush")</x:f>
      </x:c>
      <x:c r="B268" t="n" s="2">
        <x:v>90</x:v>
      </x:c>
      <x:c r="C268" t="str" s="2">
        <x:v>1/3</x:v>
      </x:c>
      <x:c r="D268" t="str" s="2">
        <x:f>=""</x:f>
      </x:c>
      <x:c r="E268" t="str" s="2">
        <x:v>Shaeley Schaefer</x:v>
      </x:c>
      <x:c r="F268" t="str" s="2">
        <x:v>Office Hot Calls</x:v>
      </x:c>
      <x:c r="G268" t="str" s="2">
        <x:v>Heritage Housing of Oklahoma City</x:v>
      </x:c>
      <x:c r="H268" t="str" s="2">
        <x:v>Trey Rixleben</x:v>
      </x:c>
      <x:c r="I268" s="0"/>
      <x:c r="J268" t="str" s="2">
        <x:v>Steve Castell</x:v>
      </x:c>
      <x:c r="K268" t="n" s="2">
        <x:v>5</x:v>
      </x:c>
      <x:c r="L268" t="str" s="2">
        <x:v>1.1</x:v>
      </x:c>
      <x:c r="M268" t="str" s="2">
        <x:v>Tentative</x:v>
      </x:c>
      <x:c r="N268" t="str" s="2">
        <x:v>Deal Created</x:v>
      </x:c>
      <x:c r="O268" s="0"/>
      <x:c r="P268" s="6">
        <x:v>46218</x:v>
      </x:c>
      <x:c r="Q268" s="6">
        <x:v>46220.6709565625</x:v>
      </x:c>
      <x:c r="R268" t="str" s="2">
        <x:v>Karla Brizuela</x:v>
      </x:c>
      <x:c r="S268" s="6">
        <x:v>46218</x:v>
      </x:c>
      <x:c r="T268" s="0"/>
      <x:c r="U268" s="0"/>
      <x:c r="V268" s="0"/>
      <x:c r="W268" s="0"/>
      <x:c r="X268" t="str" s="2">
        <x:v>4058802602</x:v>
      </x:c>
      <x:c r="Y268" t="str" s="2">
        <x:v>yeeyeetrain77@gmail.com</x:v>
      </x:c>
      <x:c r="Z268" s="6">
        <x:v>46223.99207056713</x:v>
      </x:c>
      <x:c r="AA268" t="str" s="2">
        <x:v>Trey Rixleben</x:v>
      </x:c>
      <x:c r="AB268" s="6">
        <x:v>46220.95470300926</x:v>
      </x:c>
      <x:c r="AC268" t="n" s="2">
        <x:v>38527</x:v>
      </x:c>
      <x:c r="AD268" s="0"/>
      <x:c r="AE268" s="0"/>
      <x:c r="AF268" s="0"/>
      <x:c r="AG268" s="7">
        <x:v>12000</x:v>
      </x:c>
      <x:c r="AH268" s="0"/>
      <x:c r="AI268" s="0"/>
      <x:c r="AJ268" s="0"/>
      <x:c r="AK268" s="0"/>
    </x:row>
    <x:row r="269">
      <x:c r="A269" t="str" s="2">
        <x:f>=HYPERLINK("https://rsms.futurehomex.com/lead/38530", "John Smith")</x:f>
      </x:c>
      <x:c r="B269" t="n" s="2">
        <x:v>90</x:v>
      </x:c>
      <x:c r="C269" t="str" s="2">
        <x:v>1/6</x:v>
      </x:c>
      <x:c r="D269" t="str" s="2">
        <x:f>=""</x:f>
      </x:c>
      <x:c r="E269" t="str" s="2">
        <x:v>Ronda Prenell Smith</x:v>
      </x:c>
      <x:c r="F269" t="str" s="2">
        <x:v>Other</x:v>
      </x:c>
      <x:c r="G269" t="str" s="2">
        <x:v>Heritage Housing of Jennings</x:v>
      </x:c>
      <x:c r="H269" t="str" s="2">
        <x:v>Mervin Leslie Smith</x:v>
      </x:c>
      <x:c r="I269" t="str" s="2">
        <x:v>Karol Romero</x:v>
      </x:c>
      <x:c r="J269" s="0"/>
      <x:c r="K269" t="n" s="2">
        <x:v>21</x:v>
      </x:c>
      <x:c r="L269" t="str" s="2">
        <x:v>2.1</x:v>
      </x:c>
      <x:c r="M269" t="str" s="2">
        <x:v>Active</x:v>
      </x:c>
      <x:c r="N269" t="str" s="2">
        <x:v>Qualified</x:v>
      </x:c>
      <x:c r="O269" s="0"/>
      <x:c r="P269" s="6">
        <x:v>46218</x:v>
      </x:c>
      <x:c r="Q269" s="6">
        <x:v>46223.678526006945</x:v>
      </x:c>
      <x:c r="R269" s="0"/>
      <x:c r="S269" s="6">
        <x:v>46216</x:v>
      </x:c>
      <x:c r="T269" s="0"/>
      <x:c r="U269" s="0"/>
      <x:c r="V269" s="0"/>
      <x:c r="W269" s="0"/>
      <x:c r="X269" t="str" s="2">
        <x:v>2253024535</x:v>
      </x:c>
      <x:c r="Y269" t="str" s="2">
        <x:v>jonzb26@gmail.com</x:v>
      </x:c>
      <x:c r="Z269" s="6">
        <x:v>46280.66584829861</x:v>
      </x:c>
      <x:c r="AA269" t="str" s="2">
        <x:v>Mervin Leslie Smith</x:v>
      </x:c>
      <x:c r="AB269" s="6">
        <x:v>46218.71714019676</x:v>
      </x:c>
      <x:c r="AC269" t="n" s="2">
        <x:v>38530</x:v>
      </x:c>
      <x:c r="AD269" s="0"/>
      <x:c r="AE269" s="0"/>
      <x:c r="AF269" s="0"/>
      <x:c r="AG269" s="0"/>
      <x:c r="AH269" s="0"/>
      <x:c r="AI269" s="0"/>
      <x:c r="AJ269" s="0"/>
      <x:c r="AK269" s="0"/>
    </x:row>
    <x:row r="270">
      <x:c r="A270" t="str" s="2">
        <x:f>=HYPERLINK("https://rsms.futurehomex.com/lead/38531", "Jessica Hicks")</x:f>
      </x:c>
      <x:c r="B270" t="n" s="2">
        <x:v>90</x:v>
      </x:c>
      <x:c r="C270" t="str" s="2">
        <x:v>0/2</x:v>
      </x:c>
      <x:c r="D270" t="str" s="2">
        <x:f>=""</x:f>
      </x:c>
      <x:c r="E270" s="0"/>
      <x:c r="F270" t="str" s="2">
        <x:v>HH - Minden</x:v>
      </x:c>
      <x:c r="G270" t="str" s="2">
        <x:v>Heritage Housing of Minden</x:v>
      </x:c>
      <x:c r="H270" t="str" s="2">
        <x:v>Patrick Schuchart</x:v>
      </x:c>
      <x:c r="I270" t="str" s="2">
        <x:v>Karol Romero</x:v>
      </x:c>
      <x:c r="J270" t="str" s="2">
        <x:v>Patrick Schuchart</x:v>
      </x:c>
      <x:c r="K270" t="n" s="2">
        <x:v>5</x:v>
      </x:c>
      <x:c r="L270" t="str" s="2">
        <x:v>1.1</x:v>
      </x:c>
      <x:c r="M270" t="str" s="2">
        <x:v>Tentative</x:v>
      </x:c>
      <x:c r="N270" t="str" s="2">
        <x:v>Deal Created</x:v>
      </x:c>
      <x:c r="O270" s="0"/>
      <x:c r="P270" s="6">
        <x:v>46218</x:v>
      </x:c>
      <x:c r="Q270" s="6">
        <x:v>46218.73137809028</x:v>
      </x:c>
      <x:c r="R270" s="0"/>
      <x:c r="S270" s="0"/>
      <x:c r="T270" s="0"/>
      <x:c r="U270" s="0"/>
      <x:c r="V270" s="0"/>
      <x:c r="W270" s="0"/>
      <x:c r="X270" t="str" s="2">
        <x:v>8066900843</x:v>
      </x:c>
      <x:c r="Y270" t="str" s="2">
        <x:v>8066900843</x:v>
      </x:c>
      <x:c r="Z270" s="6">
        <x:v>46295.87707337963</x:v>
      </x:c>
      <x:c r="AA270" t="str" s="2">
        <x:v>Kyla Brown</x:v>
      </x:c>
      <x:c r="AB270" s="6">
        <x:v>46218.731379398145</x:v>
      </x:c>
      <x:c r="AC270" t="n" s="2">
        <x:v>38531</x:v>
      </x:c>
      <x:c r="AD270" s="0"/>
      <x:c r="AE270" s="0"/>
      <x:c r="AF270" s="0"/>
      <x:c r="AG270" s="0"/>
      <x:c r="AH270" s="0"/>
      <x:c r="AI270" s="0"/>
      <x:c r="AJ270" s="0"/>
      <x:c r="AK270" s="0"/>
    </x:row>
    <x:row r="271">
      <x:c r="A271" t="str" s="2">
        <x:f>=HYPERLINK("https://rsms.futurehomex.com/lead/38533", "Carolyn Augustine")</x:f>
      </x:c>
      <x:c r="B271" t="n" s="2">
        <x:v>90</x:v>
      </x:c>
      <x:c r="C271" t="str" s="2">
        <x:v>0/4</x:v>
      </x:c>
      <x:c r="D271" t="str" s="2">
        <x:f>=""</x:f>
      </x:c>
      <x:c r="E271" s="0"/>
      <x:c r="F271" t="str" s="2">
        <x:v>Meta Ads - Forms</x:v>
      </x:c>
      <x:c r="G271" t="str" s="2">
        <x:v>Heritage Housing of Jennings</x:v>
      </x:c>
      <x:c r="H271" t="str" s="2">
        <x:v>Clint O'Neal</x:v>
      </x:c>
      <x:c r="I271" s="0"/>
      <x:c r="J271" t="str" s="2">
        <x:v>Clint O'Neal</x:v>
      </x:c>
      <x:c r="K271" t="n" s="2">
        <x:v>5</x:v>
      </x:c>
      <x:c r="L271" t="str" s="2">
        <x:v>1.1</x:v>
      </x:c>
      <x:c r="M271" t="str" s="2">
        <x:v>Inactive</x:v>
      </x:c>
      <x:c r="N271" t="str" s="2">
        <x:v>Deal Created</x:v>
      </x:c>
      <x:c r="O271" s="0"/>
      <x:c r="P271" s="6">
        <x:v>46218</x:v>
      </x:c>
      <x:c r="Q271" s="6">
        <x:v>46218.74531153935</x:v>
      </x:c>
      <x:c r="R271" s="0"/>
      <x:c r="S271" s="0"/>
      <x:c r="T271" s="0"/>
      <x:c r="U271" s="0"/>
      <x:c r="V271" s="0"/>
      <x:c r="W271" s="0"/>
      <x:c r="X271" t="str" s="2">
        <x:v>3372904099</x:v>
      </x:c>
      <x:c r="Y271" t="str" s="2">
        <x:v>carolynaugustine24@gmail.com</x:v>
      </x:c>
      <x:c r="Z271" s="6">
        <x:v>46289.54690868055</x:v>
      </x:c>
      <x:c r="AA271" t="str" s="2">
        <x:v>Clint O'Neal</x:v>
      </x:c>
      <x:c r="AB271" s="6">
        <x:v>46218.745312037034</x:v>
      </x:c>
      <x:c r="AC271" t="n" s="2">
        <x:v>38533</x:v>
      </x:c>
      <x:c r="AD271" s="0"/>
      <x:c r="AE271" s="0"/>
      <x:c r="AF271" s="0"/>
      <x:c r="AG271" s="0"/>
      <x:c r="AH271" s="0"/>
      <x:c r="AI271" s="0"/>
      <x:c r="AJ271" s="0"/>
      <x:c r="AK271" s="0"/>
    </x:row>
    <x:row r="272">
      <x:c r="A272" t="str" s="2">
        <x:f>=HYPERLINK("https://rsms.futurehomex.com/lead/38537", "Elwood Key")</x:f>
      </x:c>
      <x:c r="B272" t="n" s="2">
        <x:v>90</x:v>
      </x:c>
      <x:c r="C272" t="str" s="2">
        <x:v/>
      </x:c>
      <x:c r="D272" t="str" s="2">
        <x:f>=""</x:f>
      </x:c>
      <x:c r="E272" s="0"/>
      <x:c r="F272" t="str" s="2">
        <x:v>Walk-in</x:v>
      </x:c>
      <x:c r="G272" t="str" s="2">
        <x:v>Heritage Housing of Asheboro</x:v>
      </x:c>
      <x:c r="H272" t="str" s="2">
        <x:v>Maria Lopez</x:v>
      </x:c>
      <x:c r="I272" s="0"/>
      <x:c r="J272" s="0"/>
      <x:c r="K272" t="n" s="2">
        <x:v>5</x:v>
      </x:c>
      <x:c r="L272" t="str" s="2">
        <x:v>1.1</x:v>
      </x:c>
      <x:c r="M272" t="str" s="2">
        <x:v>Tentative</x:v>
      </x:c>
      <x:c r="N272" t="str" s="2">
        <x:v>Prospect</x:v>
      </x:c>
      <x:c r="O272" s="0"/>
      <x:c r="P272" s="6">
        <x:v>46218</x:v>
      </x:c>
      <x:c r="Q272" s="6">
        <x:v>46218.770093252315</x:v>
      </x:c>
      <x:c r="R272" s="0"/>
      <x:c r="S272" s="0"/>
      <x:c r="T272" s="0"/>
      <x:c r="U272" s="0"/>
      <x:c r="V272" s="0"/>
      <x:c r="W272" s="0"/>
      <x:c r="X272" t="str" s="2">
        <x:v>3366888665</x:v>
      </x:c>
      <x:c r="Y272" t="str" s="2">
        <x:v>ekey0325@gmail.com</x:v>
      </x:c>
      <x:c r="Z272" s="6">
        <x:v>46218.8063034375</x:v>
      </x:c>
      <x:c r="AA272" t="str" s="2">
        <x:v>Maria Lopez</x:v>
      </x:c>
      <x:c r="AB272" s="6">
        <x:v>46218.770093831015</x:v>
      </x:c>
      <x:c r="AC272" t="n" s="2">
        <x:v>38537</x:v>
      </x:c>
      <x:c r="AD272" s="0"/>
      <x:c r="AE272" s="0"/>
      <x:c r="AF272" s="0"/>
      <x:c r="AG272" s="0"/>
      <x:c r="AH272" s="0"/>
      <x:c r="AI272" s="0"/>
      <x:c r="AJ272" s="0"/>
      <x:c r="AK272" s="0"/>
    </x:row>
    <x:row r="273">
      <x:c r="A273" t="str" s="2">
        <x:f>=HYPERLINK("https://rsms.futurehomex.com/lead/38538", "Jennifer Marinello")</x:f>
      </x:c>
      <x:c r="B273" t="n" s="2">
        <x:v>90</x:v>
      </x:c>
      <x:c r="C273" t="str" s="2">
        <x:v/>
      </x:c>
      <x:c r="D273" t="str" s="2">
        <x:f>=""</x:f>
      </x:c>
      <x:c r="E273" s="0"/>
      <x:c r="F273" t="str" s="2">
        <x:v>Facebook Messenger</x:v>
      </x:c>
      <x:c r="G273" t="str" s="2">
        <x:v>Heritage Housing of Greenville</x:v>
      </x:c>
      <x:c r="H273" t="str" s="2">
        <x:v>Brooklynn Allen</x:v>
      </x:c>
      <x:c r="I273" s="0"/>
      <x:c r="J273" s="0"/>
      <x:c r="K273" t="n" s="2">
        <x:v>5</x:v>
      </x:c>
      <x:c r="L273" t="str" s="2">
        <x:v>1.1</x:v>
      </x:c>
      <x:c r="M273" t="str" s="2">
        <x:v>Dead</x:v>
      </x:c>
      <x:c r="N273" t="str" s="2">
        <x:v>Prospect</x:v>
      </x:c>
      <x:c r="O273" s="0"/>
      <x:c r="P273" s="6">
        <x:v>46218</x:v>
      </x:c>
      <x:c r="Q273" s="6">
        <x:v>46218.77305517361</x:v>
      </x:c>
      <x:c r="R273" s="0"/>
      <x:c r="S273" s="0"/>
      <x:c r="T273" s="0"/>
      <x:c r="U273" s="0"/>
      <x:c r="V273" s="0"/>
      <x:c r="W273" s="0"/>
      <x:c r="X273" t="str" s="2">
        <x:v>9039907030</x:v>
      </x:c>
      <x:c r="Y273" t="str" s="2">
        <x:v>marinello424@gmail.com</x:v>
      </x:c>
      <x:c r="Z273" s="0"/>
      <x:c r="AA273" s="0"/>
      <x:c r="AB273" s="6">
        <x:v>46218.773056631944</x:v>
      </x:c>
      <x:c r="AC273" t="n" s="2">
        <x:v>38538</x:v>
      </x:c>
      <x:c r="AD273" s="0"/>
      <x:c r="AE273" s="0"/>
      <x:c r="AF273" s="0"/>
      <x:c r="AG273" s="0"/>
      <x:c r="AH273" s="0"/>
      <x:c r="AI273" s="0"/>
      <x:c r="AJ273" s="0"/>
      <x:c r="AK273" s="0"/>
    </x:row>
    <x:row r="274">
      <x:c r="A274" t="str" s="2">
        <x:f>=HYPERLINK("https://rsms.futurehomex.com/lead/38539", "Tony Parks")</x:f>
      </x:c>
      <x:c r="B274" t="n" s="2">
        <x:v>90</x:v>
      </x:c>
      <x:c r="C274" t="str" s="2">
        <x:v/>
      </x:c>
      <x:c r="D274" t="str" s="2">
        <x:f>=""</x:f>
      </x:c>
      <x:c r="E274" s="0"/>
      <x:c r="F274" t="str" s="2">
        <x:v>Walk-in</x:v>
      </x:c>
      <x:c r="G274" t="str" s="2">
        <x:v>Heritage Housing of Asheboro</x:v>
      </x:c>
      <x:c r="H274" t="str" s="2">
        <x:v>Maria Lopez</x:v>
      </x:c>
      <x:c r="I274" s="0"/>
      <x:c r="J274" s="0"/>
      <x:c r="K274" t="n" s="2">
        <x:v>5</x:v>
      </x:c>
      <x:c r="L274" t="str" s="2">
        <x:v>1.1</x:v>
      </x:c>
      <x:c r="M274" t="str" s="2">
        <x:v>Dead</x:v>
      </x:c>
      <x:c r="N274" t="str" s="2">
        <x:v>Prospect</x:v>
      </x:c>
      <x:c r="O274" s="0"/>
      <x:c r="P274" s="6">
        <x:v>46218</x:v>
      </x:c>
      <x:c r="Q274" s="6">
        <x:v>46228.837591585645</x:v>
      </x:c>
      <x:c r="R274" s="0"/>
      <x:c r="S274" s="0"/>
      <x:c r="T274" s="0"/>
      <x:c r="U274" s="0"/>
      <x:c r="V274" s="0"/>
      <x:c r="W274" s="0"/>
      <x:c r="X274" t="str" s="2">
        <x:v>3369707998</x:v>
      </x:c>
      <x:c r="Y274" t="str" s="2">
        <x:v>58Tparks@gmail.com</x:v>
      </x:c>
      <x:c r="Z274" s="6">
        <x:v>46265.92926469907</x:v>
      </x:c>
      <x:c r="AA274" t="str" s="2">
        <x:v>Maria Lopez</x:v>
      </x:c>
      <x:c r="AB274" s="6">
        <x:v>46218.80088167824</x:v>
      </x:c>
      <x:c r="AC274" t="n" s="2">
        <x:v>38539</x:v>
      </x:c>
      <x:c r="AD274" s="0"/>
      <x:c r="AE274" s="0"/>
      <x:c r="AF274" s="0"/>
      <x:c r="AG274" s="0"/>
      <x:c r="AH274" s="0"/>
      <x:c r="AI274" s="0"/>
      <x:c r="AJ274" s="0"/>
      <x:c r="AK274" s="0"/>
    </x:row>
    <x:row r="275">
      <x:c r="A275" t="str" s="2">
        <x:f>=HYPERLINK("https://rsms.futurehomex.com/lead/38540", "Lisa Johnson")</x:f>
      </x:c>
      <x:c r="B275" t="n" s="2">
        <x:v>90</x:v>
      </x:c>
      <x:c r="C275" t="str" s="2">
        <x:v/>
      </x:c>
      <x:c r="D275" t="str" s="2">
        <x:f>=""</x:f>
      </x:c>
      <x:c r="E275" s="0"/>
      <x:c r="F275" t="str" s="2">
        <x:v>Walk-in</x:v>
      </x:c>
      <x:c r="G275" t="str" s="2">
        <x:v>Heritage Housing of Asheboro</x:v>
      </x:c>
      <x:c r="H275" t="str" s="2">
        <x:v>Maria Lopez</x:v>
      </x:c>
      <x:c r="I275" s="0"/>
      <x:c r="J275" s="0"/>
      <x:c r="K275" t="n" s="2">
        <x:v>5</x:v>
      </x:c>
      <x:c r="L275" t="str" s="2">
        <x:v>1.1</x:v>
      </x:c>
      <x:c r="M275" t="str" s="2">
        <x:v>Tentative</x:v>
      </x:c>
      <x:c r="N275" t="str" s="2">
        <x:v>Prospect</x:v>
      </x:c>
      <x:c r="O275" s="0"/>
      <x:c r="P275" s="6">
        <x:v>46218</x:v>
      </x:c>
      <x:c r="Q275" s="6">
        <x:v>46218.80091038194</x:v>
      </x:c>
      <x:c r="R275" s="0"/>
      <x:c r="S275" s="0"/>
      <x:c r="T275" s="0"/>
      <x:c r="U275" s="0"/>
      <x:c r="V275" s="0"/>
      <x:c r="W275" s="0"/>
      <x:c r="X275" t="str" s="2">
        <x:v>3362678223</x:v>
      </x:c>
      <x:c r="Y275" t="str" s="2">
        <x:v>ljohnson207@rtmc.net</x:v>
      </x:c>
      <x:c r="Z275" s="6">
        <x:v>46218.80442399305</x:v>
      </x:c>
      <x:c r="AA275" t="str" s="2">
        <x:v>Terry Beasley</x:v>
      </x:c>
      <x:c r="AB275" s="6">
        <x:v>46218.800910763886</x:v>
      </x:c>
      <x:c r="AC275" t="n" s="2">
        <x:v>38540</x:v>
      </x:c>
      <x:c r="AD275" s="0"/>
      <x:c r="AE275" s="0"/>
      <x:c r="AF275" s="0"/>
      <x:c r="AG275" s="0"/>
      <x:c r="AH275" s="0"/>
      <x:c r="AI275" s="0"/>
      <x:c r="AJ275" s="0"/>
      <x:c r="AK275" s="0"/>
    </x:row>
    <x:row r="276">
      <x:c r="A276" t="str" s="2">
        <x:f>=HYPERLINK("https://rsms.futurehomex.com/lead/38542", "Jennie Brown")</x:f>
      </x:c>
      <x:c r="B276" t="n" s="2">
        <x:v>90</x:v>
      </x:c>
      <x:c r="C276" t="str" s="2">
        <x:v>0/1</x:v>
      </x:c>
      <x:c r="D276" t="str" s="2">
        <x:f>="Land, Single"</x:f>
      </x:c>
      <x:c r="E276" s="0"/>
      <x:c r="F276" t="str" s="2">
        <x:v>META Marketplace</x:v>
      </x:c>
      <x:c r="G276" t="str" s="2">
        <x:v>Heritage Housing Gainesville</x:v>
      </x:c>
      <x:c r="H276" t="str" s="2">
        <x:v>John Schwichtenberg</x:v>
      </x:c>
      <x:c r="I276" s="0"/>
      <x:c r="J276" t="str" s="2">
        <x:v>John Schwichtenberg</x:v>
      </x:c>
      <x:c r="K276" t="n" s="2">
        <x:v>38</x:v>
      </x:c>
      <x:c r="L276" t="str" s="2">
        <x:v>3.2</x:v>
      </x:c>
      <x:c r="M276" t="str" s="2">
        <x:v>Dead</x:v>
      </x:c>
      <x:c r="N276" t="str" s="2">
        <x:v>Application</x:v>
      </x:c>
      <x:c r="O276" s="0"/>
      <x:c r="P276" s="6">
        <x:v>46218</x:v>
      </x:c>
      <x:c r="Q276" s="6">
        <x:v>46227.82178275463</x:v>
      </x:c>
      <x:c r="R276" s="0"/>
      <x:c r="S276" s="6">
        <x:v>46218</x:v>
      </x:c>
      <x:c r="T276" s="0"/>
      <x:c r="U276" s="0"/>
      <x:c r="V276" s="0"/>
      <x:c r="W276" s="0"/>
      <x:c r="X276" t="str" s="2">
        <x:v>8328605734</x:v>
      </x:c>
      <x:c r="Y276" t="str" s="2">
        <x:v>grayjennie01@gmail.com</x:v>
      </x:c>
      <x:c r="Z276" s="6">
        <x:v>46275.804613078704</x:v>
      </x:c>
      <x:c r="AA276" t="str" s="2">
        <x:v>John Schwichtenberg</x:v>
      </x:c>
      <x:c r="AB276" s="6">
        <x:v>46218.829251006944</x:v>
      </x:c>
      <x:c r="AC276" t="n" s="2">
        <x:v>38542</x:v>
      </x:c>
      <x:c r="AD276" t="str" s="2">
        <x:v>Singlewide</x:v>
      </x:c>
      <x:c r="AE276" s="0"/>
      <x:c r="AF276" s="0"/>
      <x:c r="AG276" s="0"/>
      <x:c r="AH276" s="0"/>
      <x:c r="AI276" s="0"/>
      <x:c r="AJ276" s="0"/>
      <x:c r="AK276" s="0"/>
    </x:row>
    <x:row r="277">
      <x:c r="A277" t="str" s="2">
        <x:f>=HYPERLINK("https://rsms.futurehomex.com/lead/38543", "KAM COLEMAN")</x:f>
      </x:c>
      <x:c r="B277" t="n" s="2">
        <x:v>90</x:v>
      </x:c>
      <x:c r="C277" t="str" s="2">
        <x:v/>
      </x:c>
      <x:c r="D277" t="str" s="2">
        <x:f>=""</x:f>
      </x:c>
      <x:c r="E277" s="0"/>
      <x:c r="F277" t="str" s="2">
        <x:v>Walk-in</x:v>
      </x:c>
      <x:c r="G277" t="str" s="2">
        <x:v>Heritage Housing of Augusta</x:v>
      </x:c>
      <x:c r="H277" t="str" s="2">
        <x:v>Faye Lively</x:v>
      </x:c>
      <x:c r="I277" t="str" s="2">
        <x:v>Karol Romero</x:v>
      </x:c>
      <x:c r="J277" t="str" s="2">
        <x:v>Faye Lively</x:v>
      </x:c>
      <x:c r="K277" t="n" s="2">
        <x:v>5</x:v>
      </x:c>
      <x:c r="L277" t="str" s="2">
        <x:v>1.1</x:v>
      </x:c>
      <x:c r="M277" t="str" s="2">
        <x:v>Tentative</x:v>
      </x:c>
      <x:c r="N277" t="str" s="2">
        <x:v>Deal Created</x:v>
      </x:c>
      <x:c r="O277" s="0"/>
      <x:c r="P277" s="6">
        <x:v>46218</x:v>
      </x:c>
      <x:c r="Q277" s="6">
        <x:v>46218.84430494213</x:v>
      </x:c>
      <x:c r="R277" s="0"/>
      <x:c r="S277" s="0"/>
      <x:c r="T277" s="0"/>
      <x:c r="U277" s="0"/>
      <x:c r="V277" s="0"/>
      <x:c r="W277" s="0"/>
      <x:c r="X277" t="str" s="2">
        <x:v>4782999740</x:v>
      </x:c>
      <x:c r="Y277" t="str" s="2">
        <x:v>kamcoleman2015@gmail.com</x:v>
      </x:c>
      <x:c r="Z277" s="0"/>
      <x:c r="AA277" s="0"/>
      <x:c r="AB277" s="6">
        <x:v>46221.59438642361</x:v>
      </x:c>
      <x:c r="AC277" t="n" s="2">
        <x:v>38543</x:v>
      </x:c>
      <x:c r="AD277" s="0"/>
      <x:c r="AE277" s="0"/>
      <x:c r="AF277" s="0"/>
      <x:c r="AG277" s="0"/>
      <x:c r="AH277" s="0"/>
      <x:c r="AI277" s="0"/>
      <x:c r="AJ277" s="0"/>
      <x:c r="AK277" s="0"/>
    </x:row>
    <x:row r="278">
      <x:c r="A278" t="str" s="2">
        <x:f>=HYPERLINK("https://rsms.futurehomex.com/lead/38545", "Ronald Holt")</x:f>
      </x:c>
      <x:c r="B278" t="n" s="2">
        <x:v>90</x:v>
      </x:c>
      <x:c r="C278" t="str" s="2">
        <x:v>1/3</x:v>
      </x:c>
      <x:c r="D278" t="str" s="2">
        <x:f>=""</x:f>
      </x:c>
      <x:c r="E278" s="0"/>
      <x:c r="F278" t="str" s="2">
        <x:v>Other</x:v>
      </x:c>
      <x:c r="G278" t="str" s="2">
        <x:v>Heritage Housing of Oklahoma City</x:v>
      </x:c>
      <x:c r="H278" t="str" s="2">
        <x:v>Trey Rixleben</x:v>
      </x:c>
      <x:c r="I278" s="0"/>
      <x:c r="J278" s="0"/>
      <x:c r="K278" t="n" s="2">
        <x:v>21</x:v>
      </x:c>
      <x:c r="L278" t="str" s="2">
        <x:v>2.1</x:v>
      </x:c>
      <x:c r="M278" t="str" s="2">
        <x:v>Inactive</x:v>
      </x:c>
      <x:c r="N278" t="str" s="2">
        <x:v>Qualified</x:v>
      </x:c>
      <x:c r="O278" s="0"/>
      <x:c r="P278" s="6">
        <x:v>46218</x:v>
      </x:c>
      <x:c r="Q278" s="6">
        <x:v>46230.62302010417</x:v>
      </x:c>
      <x:c r="R278" s="0"/>
      <x:c r="S278" s="6">
        <x:v>46224</x:v>
      </x:c>
      <x:c r="T278" s="6">
        <x:v>46221</x:v>
      </x:c>
      <x:c r="U278" s="0"/>
      <x:c r="V278" s="0"/>
      <x:c r="W278" s="0"/>
      <x:c r="X278" t="str" s="2">
        <x:v>4056554408</x:v>
      </x:c>
      <x:c r="Y278" t="str" s="2">
        <x:v>ron5320@att.net</x:v>
      </x:c>
      <x:c r="Z278" s="6">
        <x:v>46237.95665505787</x:v>
      </x:c>
      <x:c r="AA278" t="str" s="2">
        <x:v>Trey Rixleben</x:v>
      </x:c>
      <x:c r="AB278" s="6">
        <x:v>46218.8682340625</x:v>
      </x:c>
      <x:c r="AC278" t="n" s="2">
        <x:v>38545</x:v>
      </x:c>
      <x:c r="AD278" s="0"/>
      <x:c r="AE278" s="0"/>
      <x:c r="AF278" s="0"/>
      <x:c r="AG278" s="0"/>
      <x:c r="AH278" s="0"/>
      <x:c r="AI278" s="0"/>
      <x:c r="AJ278" s="0"/>
      <x:c r="AK278" s="0"/>
    </x:row>
    <x:row r="279">
      <x:c r="A279" t="str" s="2">
        <x:f>=HYPERLINK("https://rsms.futurehomex.com/lead/38546", "Terry L Stephens")</x:f>
      </x:c>
      <x:c r="B279" t="n" s="2">
        <x:v>90</x:v>
      </x:c>
      <x:c r="C279" t="str" s="2">
        <x:v>0/3</x:v>
      </x:c>
      <x:c r="D279" t="str" s="2">
        <x:f>=""</x:f>
      </x:c>
      <x:c r="E279" s="0"/>
      <x:c r="F279" t="str" s="2">
        <x:v>Website</x:v>
      </x:c>
      <x:c r="G279" t="str" s="2">
        <x:v>Heritage Housing of Jennings</x:v>
      </x:c>
      <x:c r="H279" t="str" s="2">
        <x:v>Mervin Leslie Smith</x:v>
      </x:c>
      <x:c r="I279" s="0"/>
      <x:c r="J279" t="str" s="2">
        <x:v>Mervin Leslie Smith</x:v>
      </x:c>
      <x:c r="K279" t="n" s="2">
        <x:v>5</x:v>
      </x:c>
      <x:c r="L279" t="str" s="2">
        <x:v>1.1</x:v>
      </x:c>
      <x:c r="M279" t="str" s="2">
        <x:v>Dead</x:v>
      </x:c>
      <x:c r="N279" t="str" s="2">
        <x:v>Deal Created</x:v>
      </x:c>
      <x:c r="O279" s="0"/>
      <x:c r="P279" s="6">
        <x:v>46218</x:v>
      </x:c>
      <x:c r="Q279" s="6">
        <x:v>46218.86926319444</x:v>
      </x:c>
      <x:c r="R279" s="0"/>
      <x:c r="S279" s="0"/>
      <x:c r="T279" s="0"/>
      <x:c r="U279" s="0"/>
      <x:c r="V279" s="0"/>
      <x:c r="W279" s="0"/>
      <x:c r="X279" t="str" s="2">
        <x:v>3373963345</x:v>
      </x:c>
      <x:c r="Y279" t="str" s="2">
        <x:v>Tstephens1958@icloud.com</x:v>
      </x:c>
      <x:c r="Z279" s="6">
        <x:v>46245.76205104167</x:v>
      </x:c>
      <x:c r="AA279" t="str" s="2">
        <x:v>Mervin Leslie Smith</x:v>
      </x:c>
      <x:c r="AB279" s="6">
        <x:v>46218.86926385417</x:v>
      </x:c>
      <x:c r="AC279" t="n" s="2">
        <x:v>38546</x:v>
      </x:c>
      <x:c r="AD279" s="0"/>
      <x:c r="AE279" s="0"/>
      <x:c r="AF279" s="0"/>
      <x:c r="AG279" s="0"/>
      <x:c r="AH279" s="0"/>
      <x:c r="AI279" s="0"/>
      <x:c r="AJ279" s="0"/>
      <x:c r="AK279" s="0"/>
    </x:row>
    <x:row r="280">
      <x:c r="A280" t="str" s="2">
        <x:f>=HYPERLINK("https://rsms.futurehomex.com/lead/38547", "Gene Baker")</x:f>
      </x:c>
      <x:c r="B280" t="n" s="2">
        <x:v>90</x:v>
      </x:c>
      <x:c r="C280" t="str" s="2">
        <x:v>0/2</x:v>
      </x:c>
      <x:c r="D280" t="str" s="2">
        <x:f>=""</x:f>
      </x:c>
      <x:c r="E280" s="0"/>
      <x:c r="F280" t="str" s="2">
        <x:v>Walk-in</x:v>
      </x:c>
      <x:c r="G280" t="str" s="2">
        <x:v>Heritage Housing of Oklahoma City</x:v>
      </x:c>
      <x:c r="H280" t="str" s="2">
        <x:v>Trey Rixleben</x:v>
      </x:c>
      <x:c r="I280" s="0"/>
      <x:c r="J280" t="str" s="2">
        <x:v>Karla Brizuela</x:v>
      </x:c>
      <x:c r="K280" t="n" s="2">
        <x:v>5</x:v>
      </x:c>
      <x:c r="L280" t="str" s="2">
        <x:v>1.1</x:v>
      </x:c>
      <x:c r="M280" t="str" s="2">
        <x:v>Dead</x:v>
      </x:c>
      <x:c r="N280" t="str" s="2">
        <x:v>Deal Created</x:v>
      </x:c>
      <x:c r="O280" s="0"/>
      <x:c r="P280" s="6">
        <x:v>46218</x:v>
      </x:c>
      <x:c r="Q280" s="6">
        <x:v>46253.895488159724</x:v>
      </x:c>
      <x:c r="R280" s="0"/>
      <x:c r="S280" s="6">
        <x:v>46218</x:v>
      </x:c>
      <x:c r="T280" s="0"/>
      <x:c r="U280" s="0"/>
      <x:c r="V280" s="0"/>
      <x:c r="W280" s="0"/>
      <x:c r="X280" t="str" s="2">
        <x:v>4055177542</x:v>
      </x:c>
      <x:c r="Y280" t="str" s="2">
        <x:v>genebaker1976@gmail.com</x:v>
      </x:c>
      <x:c r="Z280" s="6">
        <x:v>46253.89649707176</x:v>
      </x:c>
      <x:c r="AA280" t="str" s="2">
        <x:v>Trey Rixleben</x:v>
      </x:c>
      <x:c r="AB280" s="6">
        <x:v>46224.88203318287</x:v>
      </x:c>
      <x:c r="AC280" t="n" s="2">
        <x:v>38547</x:v>
      </x:c>
      <x:c r="AD280" s="0"/>
      <x:c r="AE280" s="0"/>
      <x:c r="AF280" s="0"/>
      <x:c r="AG280" s="0"/>
      <x:c r="AH280" s="0"/>
      <x:c r="AI280" s="0"/>
      <x:c r="AJ280" s="0"/>
      <x:c r="AK280" s="0"/>
    </x:row>
    <x:row r="281">
      <x:c r="A281" t="str" s="2">
        <x:f>=HYPERLINK("https://rsms.futurehomex.com/lead/38548", "Tami Sanchez")</x:f>
      </x:c>
      <x:c r="B281" t="n" s="2">
        <x:v>90</x:v>
      </x:c>
      <x:c r="C281" t="str" s="2">
        <x:v/>
      </x:c>
      <x:c r="D281" t="str" s="2">
        <x:f>=""</x:f>
      </x:c>
      <x:c r="E281" s="0"/>
      <x:c r="F281" t="str" s="2">
        <x:v>Meta Ads - Forms</x:v>
      </x:c>
      <x:c r="G281" t="str" s="2">
        <x:v>Heritage Housing Mt Pleasant</x:v>
      </x:c>
      <x:c r="H281" t="str" s="2">
        <x:v>Elias Gallardo</x:v>
      </x:c>
      <x:c r="I281" s="0"/>
      <x:c r="J281" t="str" s="2">
        <x:v>Elias Gallardo</x:v>
      </x:c>
      <x:c r="K281" t="n" s="2">
        <x:v>5</x:v>
      </x:c>
      <x:c r="L281" t="str" s="2">
        <x:v>1.1</x:v>
      </x:c>
      <x:c r="M281" t="str" s="2">
        <x:v>Tentative</x:v>
      </x:c>
      <x:c r="N281" t="str" s="2">
        <x:v>Prospect</x:v>
      </x:c>
      <x:c r="O281" s="0"/>
      <x:c r="P281" s="6">
        <x:v>46218</x:v>
      </x:c>
      <x:c r="Q281" s="6">
        <x:v>46218.906453854164</x:v>
      </x:c>
      <x:c r="R281" s="0"/>
      <x:c r="S281" s="0"/>
      <x:c r="T281" s="0"/>
      <x:c r="U281" s="0"/>
      <x:c r="V281" s="0"/>
      <x:c r="W281" s="0"/>
      <x:c r="X281" t="str" s="2" xml:space="preserve">
        <x:v> 9033663814    </x:v>
      </x:c>
      <x:c r="Y281" t="str" s="2">
        <x:v>tamisanchez946@gmail.com</x:v>
      </x:c>
      <x:c r="Z281" s="0"/>
      <x:c r="AA281" s="0"/>
      <x:c r="AB281" s="6">
        <x:v>46218.9064556713</x:v>
      </x:c>
      <x:c r="AC281" t="n" s="2">
        <x:v>38548</x:v>
      </x:c>
      <x:c r="AD281" s="0"/>
      <x:c r="AE281" s="0"/>
      <x:c r="AF281" s="0"/>
      <x:c r="AG281" s="0"/>
      <x:c r="AH281" s="0"/>
      <x:c r="AI281" s="0"/>
      <x:c r="AJ281" s="0"/>
      <x:c r="AK281" s="0"/>
    </x:row>
    <x:row r="282">
      <x:c r="A282" t="str" s="2">
        <x:f>=HYPERLINK("https://rsms.futurehomex.com/lead/38549", "Jean &amp; Larry Turner")</x:f>
      </x:c>
      <x:c r="B282" t="n" s="2">
        <x:v>90</x:v>
      </x:c>
      <x:c r="C282" t="str" s="2">
        <x:v/>
      </x:c>
      <x:c r="D282" t="str" s="2">
        <x:f>=""</x:f>
      </x:c>
      <x:c r="E282" s="0"/>
      <x:c r="F282" t="str" s="2">
        <x:v>META Marketplace</x:v>
      </x:c>
      <x:c r="G282" t="str" s="2">
        <x:v>Heritage Housing Mt Pleasant</x:v>
      </x:c>
      <x:c r="H282" t="str" s="2">
        <x:v>Elias Gallardo</x:v>
      </x:c>
      <x:c r="I282" s="0"/>
      <x:c r="J282" t="str" s="2">
        <x:v>Elias Gallardo</x:v>
      </x:c>
      <x:c r="K282" t="n" s="2">
        <x:v>5</x:v>
      </x:c>
      <x:c r="L282" t="str" s="2">
        <x:v>1.1</x:v>
      </x:c>
      <x:c r="M282" t="str" s="2">
        <x:v>Tentative</x:v>
      </x:c>
      <x:c r="N282" t="str" s="2">
        <x:v>Deal Created</x:v>
      </x:c>
      <x:c r="O282" s="0"/>
      <x:c r="P282" s="6">
        <x:v>46218</x:v>
      </x:c>
      <x:c r="Q282" s="6">
        <x:v>46218.91313579861</x:v>
      </x:c>
      <x:c r="R282" s="0"/>
      <x:c r="S282" s="0"/>
      <x:c r="T282" s="0"/>
      <x:c r="U282" s="0"/>
      <x:c r="V282" s="0"/>
      <x:c r="W282" s="0"/>
      <x:c r="X282" t="str" s="2">
        <x:v>9032610995</x:v>
      </x:c>
      <x:c r="Y282" t="str" s="2">
        <x:v>9032610995</x:v>
      </x:c>
      <x:c r="Z282" s="0"/>
      <x:c r="AA282" s="0"/>
      <x:c r="AB282" s="6">
        <x:v>46218.913137881944</x:v>
      </x:c>
      <x:c r="AC282" t="n" s="2">
        <x:v>38549</x:v>
      </x:c>
      <x:c r="AD282" s="0"/>
      <x:c r="AE282" s="0"/>
      <x:c r="AF282" s="0"/>
      <x:c r="AG282" s="0"/>
      <x:c r="AH282" s="0"/>
      <x:c r="AI282" s="0"/>
      <x:c r="AJ282" s="0"/>
      <x:c r="AK282" s="0"/>
    </x:row>
    <x:row r="283">
      <x:c r="A283" t="str" s="2">
        <x:f>=HYPERLINK("https://rsms.futurehomex.com/lead/38551", "Matthew Reid")</x:f>
      </x:c>
      <x:c r="B283" t="n" s="2">
        <x:v>90</x:v>
      </x:c>
      <x:c r="C283" t="str" s="2">
        <x:v/>
      </x:c>
      <x:c r="D283" t="str" s="2">
        <x:f>=""</x:f>
      </x:c>
      <x:c r="E283" t="str" s="2">
        <x:v>WILLIAM BURKEHALTER</x:v>
      </x:c>
      <x:c r="F283" t="str" s="2">
        <x:v>Website</x:v>
      </x:c>
      <x:c r="G283" t="str" s="2">
        <x:v>Heritage Housing of Augusta</x:v>
      </x:c>
      <x:c r="H283" t="str" s="2">
        <x:v>Faye Lively</x:v>
      </x:c>
      <x:c r="I283" t="str" s="2">
        <x:v>Karol Romero</x:v>
      </x:c>
      <x:c r="J283" s="0"/>
      <x:c r="K283" t="n" s="2">
        <x:v>5</x:v>
      </x:c>
      <x:c r="L283" t="str" s="2">
        <x:v>1.1</x:v>
      </x:c>
      <x:c r="M283" t="str" s="2">
        <x:v>Active</x:v>
      </x:c>
      <x:c r="N283" t="str" s="2">
        <x:v>Prospect</x:v>
      </x:c>
      <x:c r="O283" s="0"/>
      <x:c r="P283" s="6">
        <x:v>46218</x:v>
      </x:c>
      <x:c r="Q283" s="6">
        <x:v>46219.792168900465</x:v>
      </x:c>
      <x:c r="R283" s="0"/>
      <x:c r="S283" s="6">
        <x:v>46218</x:v>
      </x:c>
      <x:c r="T283" s="6">
        <x:v>46218</x:v>
      </x:c>
      <x:c r="U283" s="0"/>
      <x:c r="V283" s="0"/>
      <x:c r="W283" s="0"/>
      <x:c r="X283" t="str" s="2">
        <x:v>7064660089</x:v>
      </x:c>
      <x:c r="Y283" t="str" s="2">
        <x:v>Matthew7014@Gmail.com</x:v>
      </x:c>
      <x:c r="Z283" s="6">
        <x:v>46237.79473483796</x:v>
      </x:c>
      <x:c r="AA283" t="str" s="2">
        <x:v>LeeAnne Newsome</x:v>
      </x:c>
      <x:c r="AB283" s="6">
        <x:v>46218.94746322917</x:v>
      </x:c>
      <x:c r="AC283" t="n" s="2">
        <x:v>38551</x:v>
      </x:c>
      <x:c r="AD283" s="0"/>
      <x:c r="AE283" s="0"/>
      <x:c r="AF283" s="0"/>
      <x:c r="AG283" s="0"/>
      <x:c r="AH283" s="7">
        <x:v>0</x:v>
      </x:c>
      <x:c r="AI283" s="0"/>
      <x:c r="AJ283" s="0"/>
      <x:c r="AK283" s="0"/>
    </x:row>
    <x:row r="284">
      <x:c r="A284" t="str" s="2">
        <x:f>=HYPERLINK("https://rsms.futurehomex.com/lead/38552", "Kaitlyn Garner")</x:f>
      </x:c>
      <x:c r="B284" t="n" s="2">
        <x:v>90</x:v>
      </x:c>
      <x:c r="C284" t="str" s="2">
        <x:v/>
      </x:c>
      <x:c r="D284" t="str" s="2">
        <x:f>=""</x:f>
      </x:c>
      <x:c r="E284" s="0"/>
      <x:c r="F284" t="str" s="2">
        <x:v>Walk-in</x:v>
      </x:c>
      <x:c r="G284" t="str" s="2">
        <x:v>Heritage Housing of Tulsa</x:v>
      </x:c>
      <x:c r="H284" t="str" s="2">
        <x:v>Jenna Fransisco</x:v>
      </x:c>
      <x:c r="I284" s="0"/>
      <x:c r="J284" t="str" s="2">
        <x:v>Jenna Fransisco</x:v>
      </x:c>
      <x:c r="K284" t="n" s="2">
        <x:v>5</x:v>
      </x:c>
      <x:c r="L284" t="str" s="2">
        <x:v>1.1</x:v>
      </x:c>
      <x:c r="M284" t="str" s="2">
        <x:v>Tentative</x:v>
      </x:c>
      <x:c r="N284" t="str" s="2">
        <x:v>Deal Created</x:v>
      </x:c>
      <x:c r="O284" s="0"/>
      <x:c r="P284" s="6">
        <x:v>46218</x:v>
      </x:c>
      <x:c r="Q284" s="6">
        <x:v>46218.94879591435</x:v>
      </x:c>
      <x:c r="R284" s="0"/>
      <x:c r="S284" s="6">
        <x:v>46218</x:v>
      </x:c>
      <x:c r="T284" s="0"/>
      <x:c r="U284" s="0"/>
      <x:c r="V284" s="0"/>
      <x:c r="W284" s="0"/>
      <x:c r="X284" t="str" s="2">
        <x:v>9404355793</x:v>
      </x:c>
      <x:c r="Y284" t="str" s="2">
        <x:v>kaitlyngarner2010@gmail.com</x:v>
      </x:c>
      <x:c r="Z284" s="0"/>
      <x:c r="AA284" s="0"/>
      <x:c r="AB284" s="6">
        <x:v>46218.94879737269</x:v>
      </x:c>
      <x:c r="AC284" t="n" s="2">
        <x:v>38552</x:v>
      </x:c>
      <x:c r="AD284" s="0"/>
      <x:c r="AE284" s="0"/>
      <x:c r="AF284" s="0"/>
      <x:c r="AG284" s="0"/>
      <x:c r="AH284" s="0"/>
      <x:c r="AI284" s="0"/>
      <x:c r="AJ284" s="0"/>
      <x:c r="AK284" s="0"/>
    </x:row>
    <x:row r="285">
      <x:c r="A285" t="str" s="2">
        <x:f>=HYPERLINK("https://rsms.futurehomex.com/lead/38553", "Brandy Mcdaniel")</x:f>
      </x:c>
      <x:c r="B285" t="n" s="2">
        <x:v>89</x:v>
      </x:c>
      <x:c r="C285" t="str" s="2">
        <x:v>0/1</x:v>
      </x:c>
      <x:c r="D285" t="str" s="2">
        <x:f>=""</x:f>
      </x:c>
      <x:c r="E285" s="0"/>
      <x:c r="F285" t="str" s="2">
        <x:v>Meta Marketplace</x:v>
      </x:c>
      <x:c r="G285" t="str" s="2">
        <x:v>Heritage Housing of Minden</x:v>
      </x:c>
      <x:c r="H285" t="str" s="2">
        <x:v>Patrick Schuchart</x:v>
      </x:c>
      <x:c r="I285" t="str" s="2">
        <x:v>Karol Romero</x:v>
      </x:c>
      <x:c r="J285" t="str" s="2">
        <x:v>Patrick Schuchart</x:v>
      </x:c>
      <x:c r="K285" t="n" s="2">
        <x:v>5</x:v>
      </x:c>
      <x:c r="L285" t="str" s="2">
        <x:v>1.1</x:v>
      </x:c>
      <x:c r="M285" t="str" s="2">
        <x:v>Inactive</x:v>
      </x:c>
      <x:c r="N285" t="str" s="2">
        <x:v>Deal Created</x:v>
      </x:c>
      <x:c r="O285" s="0"/>
      <x:c r="P285" s="6">
        <x:v>46219</x:v>
      </x:c>
      <x:c r="Q285" s="6">
        <x:v>46219.590602118056</x:v>
      </x:c>
      <x:c r="R285" s="0"/>
      <x:c r="S285" s="0"/>
      <x:c r="T285" s="0"/>
      <x:c r="U285" s="0"/>
      <x:c r="V285" s="0"/>
      <x:c r="W285" s="0"/>
      <x:c r="X285" t="str" s="2">
        <x:v>3189532874</x:v>
      </x:c>
      <x:c r="Y285" t="str" s="2">
        <x:v>3189532874</x:v>
      </x:c>
      <x:c r="Z285" s="6">
        <x:v>46295.87646774306</x:v>
      </x:c>
      <x:c r="AA285" t="str" s="2">
        <x:v>Kyla Brown</x:v>
      </x:c>
      <x:c r="AB285" s="6">
        <x:v>46219.59060474537</x:v>
      </x:c>
      <x:c r="AC285" t="n" s="2">
        <x:v>38553</x:v>
      </x:c>
      <x:c r="AD285" s="0"/>
      <x:c r="AE285" s="0"/>
      <x:c r="AF285" s="0"/>
      <x:c r="AG285" s="0"/>
      <x:c r="AH285" s="0"/>
      <x:c r="AI285" s="0"/>
      <x:c r="AJ285" s="0"/>
      <x:c r="AK285" s="0"/>
    </x:row>
    <x:row r="286">
      <x:c r="A286" t="str" s="2">
        <x:f>=HYPERLINK("https://rsms.futurehomex.com/lead/38554", "sunni Mcleod")</x:f>
      </x:c>
      <x:c r="B286" t="n" s="2">
        <x:v>89</x:v>
      </x:c>
      <x:c r="C286" t="str" s="2">
        <x:v/>
      </x:c>
      <x:c r="D286" t="str" s="2">
        <x:f>=""</x:f>
      </x:c>
      <x:c r="E286" t="str" s="2">
        <x:v>Thomas Matskus Jr</x:v>
      </x:c>
      <x:c r="F286" t="str" s="2">
        <x:v>Meta Ads - Forms</x:v>
      </x:c>
      <x:c r="G286" t="str" s="2">
        <x:v>Heritage Housing of Albany</x:v>
      </x:c>
      <x:c r="H286" t="str" s="2">
        <x:v>Justin Johnson</x:v>
      </x:c>
      <x:c r="I286" s="0"/>
      <x:c r="J286" t="str" s="2">
        <x:v>Justin Johnson</x:v>
      </x:c>
      <x:c r="K286" t="n" s="2">
        <x:v>5</x:v>
      </x:c>
      <x:c r="L286" t="str" s="2">
        <x:v>1.1</x:v>
      </x:c>
      <x:c r="M286" t="str" s="2">
        <x:v>Tentative</x:v>
      </x:c>
      <x:c r="N286" t="str" s="2">
        <x:v>Deal Created</x:v>
      </x:c>
      <x:c r="O286" s="0"/>
      <x:c r="P286" s="6">
        <x:v>46219</x:v>
      </x:c>
      <x:c r="Q286" s="6">
        <x:v>46247.81988059028</x:v>
      </x:c>
      <x:c r="R286" s="0"/>
      <x:c r="S286" s="6">
        <x:v>46219</x:v>
      </x:c>
      <x:c r="T286" s="0"/>
      <x:c r="U286" s="0"/>
      <x:c r="V286" s="0"/>
      <x:c r="W286" s="0"/>
      <x:c r="X286" t="str" s="2">
        <x:v>4786624624</x:v>
      </x:c>
      <x:c r="Y286" t="str" s="2">
        <x:v>sunnikasonspics@gmail.com</x:v>
      </x:c>
      <x:c r="Z286" s="0"/>
      <x:c r="AA286" s="0"/>
      <x:c r="AB286" s="6">
        <x:v>46219.60797928241</x:v>
      </x:c>
      <x:c r="AC286" t="n" s="2">
        <x:v>38554</x:v>
      </x:c>
      <x:c r="AD286" s="0"/>
      <x:c r="AE286" s="0"/>
      <x:c r="AF286" s="0"/>
      <x:c r="AG286" s="7">
        <x:v>6700</x:v>
      </x:c>
      <x:c r="AH286" s="0"/>
      <x:c r="AI286" s="0"/>
      <x:c r="AJ286" s="0"/>
      <x:c r="AK286" s="0"/>
    </x:row>
    <x:row r="287">
      <x:c r="A287" t="str" s="2">
        <x:f>=HYPERLINK("https://rsms.futurehomex.com/lead/38555", "Laura Goldsborough")</x:f>
      </x:c>
      <x:c r="B287" t="n" s="2">
        <x:v>89</x:v>
      </x:c>
      <x:c r="C287" t="str" s="2">
        <x:v/>
      </x:c>
      <x:c r="D287" t="str" s="2">
        <x:f>=""</x:f>
      </x:c>
      <x:c r="E287" s="0"/>
      <x:c r="F287" t="str" s="2">
        <x:v>Walk-in</x:v>
      </x:c>
      <x:c r="G287" t="str" s="2">
        <x:v>Heritage Housing of Asheboro</x:v>
      </x:c>
      <x:c r="H287" t="str" s="2">
        <x:v>Maria Lopez</x:v>
      </x:c>
      <x:c r="I287" s="0"/>
      <x:c r="J287" s="0"/>
      <x:c r="K287" t="n" s="2">
        <x:v>5</x:v>
      </x:c>
      <x:c r="L287" t="str" s="2">
        <x:v>1.1</x:v>
      </x:c>
      <x:c r="M287" t="str" s="2">
        <x:v>Tentative</x:v>
      </x:c>
      <x:c r="N287" t="str" s="2">
        <x:v>Prospect</x:v>
      </x:c>
      <x:c r="O287" s="0"/>
      <x:c r="P287" s="6">
        <x:v>46219</x:v>
      </x:c>
      <x:c r="Q287" s="6">
        <x:v>46219.66962936342</x:v>
      </x:c>
      <x:c r="R287" s="0"/>
      <x:c r="S287" s="0"/>
      <x:c r="T287" s="0"/>
      <x:c r="U287" s="0"/>
      <x:c r="V287" s="0"/>
      <x:c r="W287" s="0"/>
      <x:c r="X287" t="str" s="2">
        <x:v>3367365657</x:v>
      </x:c>
      <x:c r="Y287" t="str" s="2">
        <x:v>lauralbeal@gmail.com</x:v>
      </x:c>
      <x:c r="Z287" s="0"/>
      <x:c r="AA287" s="0"/>
      <x:c r="AB287" s="6">
        <x:v>46219.66963171296</x:v>
      </x:c>
      <x:c r="AC287" t="n" s="2">
        <x:v>38555</x:v>
      </x:c>
      <x:c r="AD287" s="0"/>
      <x:c r="AE287" s="0"/>
      <x:c r="AF287" s="0"/>
      <x:c r="AG287" s="0"/>
      <x:c r="AH287" s="0"/>
      <x:c r="AI287" s="0"/>
      <x:c r="AJ287" s="0"/>
      <x:c r="AK287" s="0"/>
    </x:row>
    <x:row r="288">
      <x:c r="A288" t="str" s="2">
        <x:f>=HYPERLINK("https://rsms.futurehomex.com/lead/38557", "Jordan Hardesty")</x:f>
      </x:c>
      <x:c r="B288" t="n" s="2">
        <x:v>89</x:v>
      </x:c>
      <x:c r="C288" t="str" s="2">
        <x:v>0/3</x:v>
      </x:c>
      <x:c r="D288" t="str" s="2">
        <x:f>=""</x:f>
      </x:c>
      <x:c r="E288" s="0"/>
      <x:c r="F288" t="str" s="2">
        <x:v>LandingPage</x:v>
      </x:c>
      <x:c r="G288" t="str" s="2">
        <x:v>Heritage Housing of Oklahoma City</x:v>
      </x:c>
      <x:c r="H288" t="str" s="2">
        <x:v>Alejandra Calderon</x:v>
      </x:c>
      <x:c r="I288" s="0"/>
      <x:c r="J288" t="str" s="2">
        <x:v>Steve Castell</x:v>
      </x:c>
      <x:c r="K288" t="n" s="2">
        <x:v>5</x:v>
      </x:c>
      <x:c r="L288" t="str" s="2">
        <x:v>1.1</x:v>
      </x:c>
      <x:c r="M288" t="str" s="2">
        <x:v>Dead</x:v>
      </x:c>
      <x:c r="N288" t="str" s="2">
        <x:v>Prospect</x:v>
      </x:c>
      <x:c r="O288" s="0"/>
      <x:c r="P288" s="6">
        <x:v>46219</x:v>
      </x:c>
      <x:c r="Q288" s="6">
        <x:v>46219.76591559028</x:v>
      </x:c>
      <x:c r="R288" s="0"/>
      <x:c r="S288" s="6">
        <x:v>46220</x:v>
      </x:c>
      <x:c r="T288" s="0"/>
      <x:c r="U288" s="0"/>
      <x:c r="V288" s="0"/>
      <x:c r="W288" s="0"/>
      <x:c r="X288" t="str" s="2">
        <x:v>4058810439</x:v>
      </x:c>
      <x:c r="Y288" t="str" s="2">
        <x:v>jordanhardesty76@gmail.com</x:v>
      </x:c>
      <x:c r="Z288" s="6">
        <x:v>46260.96671770833</x:v>
      </x:c>
      <x:c r="AA288" t="str" s="2">
        <x:v>Alejandra Calderon</x:v>
      </x:c>
      <x:c r="AB288" s="6">
        <x:v>46219.765916516204</x:v>
      </x:c>
      <x:c r="AC288" t="n" s="2">
        <x:v>38557</x:v>
      </x:c>
      <x:c r="AD288" s="0"/>
      <x:c r="AE288" s="0"/>
      <x:c r="AF288" s="0"/>
      <x:c r="AG288" s="0"/>
      <x:c r="AH288" s="0"/>
      <x:c r="AI288" s="0"/>
      <x:c r="AJ288" s="0"/>
      <x:c r="AK288" s="0"/>
    </x:row>
    <x:row r="289">
      <x:c r="A289" t="str" s="2">
        <x:f>=HYPERLINK("https://rsms.futurehomex.com/lead/38558", "Brannon Barksdale")</x:f>
      </x:c>
      <x:c r="B289" t="n" s="2">
        <x:v>89</x:v>
      </x:c>
      <x:c r="C289" t="str" s="2">
        <x:v>0/1</x:v>
      </x:c>
      <x:c r="D289" t="str" s="2">
        <x:f>=""</x:f>
      </x:c>
      <x:c r="E289" s="0"/>
      <x:c r="F289" t="str" s="2">
        <x:v>Facebook Messenger</x:v>
      </x:c>
      <x:c r="G289" t="str" s="2">
        <x:v>Heritage Housing of Oklahoma City</x:v>
      </x:c>
      <x:c r="H289" t="str" s="2">
        <x:v>Karla Brizuela</x:v>
      </x:c>
      <x:c r="I289" t="str" s="2">
        <x:v>Karol Romero</x:v>
      </x:c>
      <x:c r="J289" t="str" s="2">
        <x:v>Karla Brizuela</x:v>
      </x:c>
      <x:c r="K289" t="n" s="2">
        <x:v>5</x:v>
      </x:c>
      <x:c r="L289" t="str" s="2">
        <x:v>1.1</x:v>
      </x:c>
      <x:c r="M289" t="str" s="2">
        <x:v>Dead</x:v>
      </x:c>
      <x:c r="N289" t="str" s="2">
        <x:v>Deal Created</x:v>
      </x:c>
      <x:c r="O289" s="0"/>
      <x:c r="P289" s="6">
        <x:v>46219</x:v>
      </x:c>
      <x:c r="Q289" s="6">
        <x:v>46219.794094641205</x:v>
      </x:c>
      <x:c r="R289" s="0"/>
      <x:c r="S289" s="0"/>
      <x:c r="T289" s="0"/>
      <x:c r="U289" s="0"/>
      <x:c r="V289" s="0"/>
      <x:c r="W289" s="0"/>
      <x:c r="X289" t="str" s="2">
        <x:v>3255143761</x:v>
      </x:c>
      <x:c r="Y289" t="str" s="2">
        <x:v>Brandonbarksdale0000@gmail.com</x:v>
      </x:c>
      <x:c r="Z289" s="6">
        <x:v>46221.658697418985</x:v>
      </x:c>
      <x:c r="AA289" t="str" s="2">
        <x:v>Karla Brizuela</x:v>
      </x:c>
      <x:c r="AB289" s="6">
        <x:v>46219.79409699074</x:v>
      </x:c>
      <x:c r="AC289" t="n" s="2">
        <x:v>38558</x:v>
      </x:c>
      <x:c r="AD289" s="0"/>
      <x:c r="AE289" s="0"/>
      <x:c r="AF289" s="0"/>
      <x:c r="AG289" s="0"/>
      <x:c r="AH289" s="0"/>
      <x:c r="AI289" s="0"/>
      <x:c r="AJ289" s="0"/>
      <x:c r="AK289" s="0"/>
    </x:row>
    <x:row r="290">
      <x:c r="A290" t="str" s="2">
        <x:f>=HYPERLINK("https://rsms.futurehomex.com/lead/38559", "Pamela Nettles")</x:f>
      </x:c>
      <x:c r="B290" t="n" s="2">
        <x:v>89</x:v>
      </x:c>
      <x:c r="C290" t="str" s="2">
        <x:v/>
      </x:c>
      <x:c r="D290" t="str" s="2">
        <x:f>=""</x:f>
      </x:c>
      <x:c r="E290" s="0"/>
      <x:c r="F290" t="str" s="2">
        <x:v>Walk-in</x:v>
      </x:c>
      <x:c r="G290" t="str" s="2">
        <x:v>Heritage Housing of Asheboro</x:v>
      </x:c>
      <x:c r="H290" t="str" s="2">
        <x:v>Maria Lopez</x:v>
      </x:c>
      <x:c r="I290" s="0"/>
      <x:c r="J290" s="0"/>
      <x:c r="K290" t="n" s="2">
        <x:v>5</x:v>
      </x:c>
      <x:c r="L290" t="str" s="2">
        <x:v>1.1</x:v>
      </x:c>
      <x:c r="M290" t="str" s="2">
        <x:v>Tentative</x:v>
      </x:c>
      <x:c r="N290" t="str" s="2">
        <x:v>Prospect</x:v>
      </x:c>
      <x:c r="O290" s="0"/>
      <x:c r="P290" s="6">
        <x:v>46219</x:v>
      </x:c>
      <x:c r="Q290" s="6">
        <x:v>46219.8162059375</x:v>
      </x:c>
      <x:c r="R290" s="0"/>
      <x:c r="S290" s="0"/>
      <x:c r="T290" s="0"/>
      <x:c r="U290" s="0"/>
      <x:c r="V290" s="0"/>
      <x:c r="W290" s="0"/>
      <x:c r="X290" t="str" s="2">
        <x:v>3368249502</x:v>
      </x:c>
      <x:c r="Y290" t="str" s="2">
        <x:v>nettlespamela62@gmail.com</x:v>
      </x:c>
      <x:c r="Z290" s="6">
        <x:v>46219.813193055554</x:v>
      </x:c>
      <x:c r="AA290" t="str" s="2">
        <x:v>Cory Martin</x:v>
      </x:c>
      <x:c r="AB290" s="6">
        <x:v>46219.81072353009</x:v>
      </x:c>
      <x:c r="AC290" t="n" s="2">
        <x:v>38559</x:v>
      </x:c>
      <x:c r="AD290" s="0"/>
      <x:c r="AE290" s="0"/>
      <x:c r="AF290" s="0"/>
      <x:c r="AG290" s="0"/>
      <x:c r="AH290" s="0"/>
      <x:c r="AI290" s="0"/>
      <x:c r="AJ290" s="0"/>
      <x:c r="AK290" s="0"/>
    </x:row>
    <x:row r="291">
      <x:c r="A291" t="str" s="2">
        <x:f>=HYPERLINK("https://rsms.futurehomex.com/lead/38560", "Sharon Kendrick")</x:f>
      </x:c>
      <x:c r="B291" t="n" s="2">
        <x:v>89</x:v>
      </x:c>
      <x:c r="C291" t="str" s="2">
        <x:v>0/3</x:v>
      </x:c>
      <x:c r="D291" t="str" s="2">
        <x:f>=""</x:f>
      </x:c>
      <x:c r="E291" s="0"/>
      <x:c r="F291" t="str" s="2">
        <x:v>Meta Marketplace</x:v>
      </x:c>
      <x:c r="G291" t="str" s="2">
        <x:v>Heritage Housing of Minden</x:v>
      </x:c>
      <x:c r="H291" t="str" s="2">
        <x:v>Patrick Schuchart</x:v>
      </x:c>
      <x:c r="I291" t="str" s="2">
        <x:v>Karol Romero</x:v>
      </x:c>
      <x:c r="J291" t="str" s="2">
        <x:v>Patrick Schuchart</x:v>
      </x:c>
      <x:c r="K291" t="n" s="2">
        <x:v>34</x:v>
      </x:c>
      <x:c r="L291" t="str" s="2">
        <x:v>2.4</x:v>
      </x:c>
      <x:c r="M291" t="str" s="2">
        <x:v>Active</x:v>
      </x:c>
      <x:c r="N291" t="str" s="2">
        <x:v>Deal approval</x:v>
      </x:c>
      <x:c r="O291" s="0"/>
      <x:c r="P291" s="6">
        <x:v>46219</x:v>
      </x:c>
      <x:c r="Q291" s="6">
        <x:v>46297.73971998843</x:v>
      </x:c>
      <x:c r="R291" s="0"/>
      <x:c r="S291" s="6">
        <x:v>46219</x:v>
      </x:c>
      <x:c r="T291" s="0"/>
      <x:c r="U291" s="0"/>
      <x:c r="V291" s="0"/>
      <x:c r="W291" s="0"/>
      <x:c r="X291" t="str" s="2">
        <x:v>3186244972</x:v>
      </x:c>
      <x:c r="Y291" t="str" s="2">
        <x:v>stkendrick@yahoo.com</x:v>
      </x:c>
      <x:c r="Z291" s="6">
        <x:v>46283.93420362269</x:v>
      </x:c>
      <x:c r="AA291" t="str" s="2">
        <x:v>Kyla Brown</x:v>
      </x:c>
      <x:c r="AB291" s="6">
        <x:v>46219.8163278125</x:v>
      </x:c>
      <x:c r="AC291" t="n" s="2">
        <x:v>38560</x:v>
      </x:c>
      <x:c r="AD291" t="str" s="2">
        <x:v>Singlewide</x:v>
      </x:c>
      <x:c r="AE291" s="0"/>
      <x:c r="AF291" s="0"/>
      <x:c r="AG291" s="0"/>
      <x:c r="AH291" s="0"/>
      <x:c r="AI291" s="0"/>
      <x:c r="AJ291" s="0"/>
      <x:c r="AK291" s="0"/>
    </x:row>
    <x:row r="292">
      <x:c r="A292" t="str" s="2">
        <x:f>=HYPERLINK("https://rsms.futurehomex.com/lead/38561", "Jamarcus Glover")</x:f>
      </x:c>
      <x:c r="B292" t="n" s="2">
        <x:v>89</x:v>
      </x:c>
      <x:c r="C292" t="str" s="2">
        <x:v>0/5</x:v>
      </x:c>
      <x:c r="D292" t="str" s="2">
        <x:f>=""</x:f>
      </x:c>
      <x:c r="E292" s="0"/>
      <x:c r="F292" t="str" s="2">
        <x:v>Meta Marketplace</x:v>
      </x:c>
      <x:c r="G292" t="str" s="2">
        <x:v>Heritage Housing of Minden</x:v>
      </x:c>
      <x:c r="H292" t="str" s="2">
        <x:v>Patrick Schuchart</x:v>
      </x:c>
      <x:c r="I292" t="str" s="2">
        <x:v>Karol Romero</x:v>
      </x:c>
      <x:c r="J292" t="str" s="2">
        <x:v>Patrick Schuchart</x:v>
      </x:c>
      <x:c r="K292" t="n" s="2">
        <x:v>100</x:v>
      </x:c>
      <x:c r="L292" t="str" s="2">
        <x:v>6.2</x:v>
      </x:c>
      <x:c r="M292" t="str" s="2">
        <x:v>Closed</x:v>
      </x:c>
      <x:c r="N292" t="str" s="2">
        <x:v>Delivered</x:v>
      </x:c>
      <x:c r="O292" s="6">
        <x:v>46258</x:v>
      </x:c>
      <x:c r="P292" s="6">
        <x:v>46219</x:v>
      </x:c>
      <x:c r="Q292" s="6">
        <x:v>46294.62911033565</x:v>
      </x:c>
      <x:c r="R292" s="0"/>
      <x:c r="S292" s="6">
        <x:v>46213</x:v>
      </x:c>
      <x:c r="T292" s="6">
        <x:v>46228</x:v>
      </x:c>
      <x:c r="U292" s="6">
        <x:v>46228</x:v>
      </x:c>
      <x:c r="V292" s="6">
        <x:v>46241</x:v>
      </x:c>
      <x:c r="W292" s="6">
        <x:v>46293</x:v>
      </x:c>
      <x:c r="X292" t="str" s="2">
        <x:v>8709047304</x:v>
      </x:c>
      <x:c r="Y292" t="str" s="2">
        <x:v>Jamarcusglover01@gmail.com</x:v>
      </x:c>
      <x:c r="Z292" s="6">
        <x:v>46300.571842129626</x:v>
      </x:c>
      <x:c r="AA292" t="str" s="2">
        <x:v>Kyla Brown</x:v>
      </x:c>
      <x:c r="AB292" s="6">
        <x:v>46219.83323101852</x:v>
      </x:c>
      <x:c r="AC292" t="n" s="2">
        <x:v>38561</x:v>
      </x:c>
      <x:c r="AD292" t="str" s="2">
        <x:v>Doublewide</x:v>
      </x:c>
      <x:c r="AE292" t="str" s="2">
        <x:v>21st Mortgage Corporation</x:v>
      </x:c>
      <x:c r="AF292" s="7">
        <x:v>8000</x:v>
      </x:c>
      <x:c r="AG292" s="7">
        <x:v>8000</x:v>
      </x:c>
      <x:c r="AH292" s="7">
        <x:v>8000</x:v>
      </x:c>
      <x:c r="AI292" t="str" s="2">
        <x:v>551</x:v>
      </x:c>
      <x:c r="AJ292" s="0"/>
      <x:c r="AK292" t="str" s="6">
        <x:v>2026-09-28</x:v>
      </x:c>
    </x:row>
    <x:row r="293">
      <x:c r="A293" t="str" s="2">
        <x:f>=HYPERLINK("https://rsms.futurehomex.com/lead/38562", "Grady Eaton")</x:f>
      </x:c>
      <x:c r="B293" t="n" s="2">
        <x:v>89</x:v>
      </x:c>
      <x:c r="C293" t="str" s="2">
        <x:v>0/7</x:v>
      </x:c>
      <x:c r="D293" t="str" s="2">
        <x:f>=""</x:f>
      </x:c>
      <x:c r="E293" s="0"/>
      <x:c r="F293" t="str" s="2">
        <x:v>Facebook Messenger</x:v>
      </x:c>
      <x:c r="G293" t="str" s="2">
        <x:v>Heritage Housing of Oklahoma City</x:v>
      </x:c>
      <x:c r="H293" t="str" s="2">
        <x:v>Steve Castell</x:v>
      </x:c>
      <x:c r="I293" s="0"/>
      <x:c r="J293" t="str" s="2">
        <x:v>Steve Castell</x:v>
      </x:c>
      <x:c r="K293" t="n" s="2">
        <x:v>59</x:v>
      </x:c>
      <x:c r="L293" t="str" s="2">
        <x:v>4.3</x:v>
      </x:c>
      <x:c r="M293" t="str" s="2">
        <x:v>Dead</x:v>
      </x:c>
      <x:c r="N293" t="str" s="2">
        <x:v>Loan Approved</x:v>
      </x:c>
      <x:c r="O293" s="0"/>
      <x:c r="P293" s="6">
        <x:v>46219</x:v>
      </x:c>
      <x:c r="Q293" s="6">
        <x:v>46225.78166597222</x:v>
      </x:c>
      <x:c r="R293" s="0"/>
      <x:c r="S293" s="6">
        <x:v>46214</x:v>
      </x:c>
      <x:c r="T293" s="6">
        <x:v>46216</x:v>
      </x:c>
      <x:c r="U293" s="6">
        <x:v>46216</x:v>
      </x:c>
      <x:c r="V293" s="6">
        <x:v>46216</x:v>
      </x:c>
      <x:c r="W293" s="0"/>
      <x:c r="X293" t="str" s="2">
        <x:v>4058503607</x:v>
      </x:c>
      <x:c r="Y293" t="str" s="2">
        <x:v>grady4osu@yahoo.com</x:v>
      </x:c>
      <x:c r="Z293" s="6">
        <x:v>46247.92154872685</x:v>
      </x:c>
      <x:c r="AA293" t="str" s="2">
        <x:v>Steve Castell</x:v>
      </x:c>
      <x:c r="AB293" s="6">
        <x:v>46219.84867920139</x:v>
      </x:c>
      <x:c r="AC293" t="n" s="2">
        <x:v>38562</x:v>
      </x:c>
      <x:c r="AD293" t="str" s="2">
        <x:v>Singlewide</x:v>
      </x:c>
      <x:c r="AE293" t="str" s="2">
        <x:v>Legacy Housing Corporation</x:v>
      </x:c>
      <x:c r="AF293" s="7">
        <x:v>20000</x:v>
      </x:c>
      <x:c r="AG293" s="7">
        <x:v>9500</x:v>
      </x:c>
      <x:c r="AH293" s="0"/>
      <x:c r="AI293" t="str" s="2" xml:space="preserve">
        <x:v>800 </x:v>
      </x:c>
      <x:c r="AJ293" s="0"/>
      <x:c r="AK293" s="0"/>
    </x:row>
    <x:row r="294">
      <x:c r="A294" t="str" s="2">
        <x:f>=HYPERLINK("https://rsms.futurehomex.com/lead/38564", "Maria Carmona")</x:f>
      </x:c>
      <x:c r="B294" t="n" s="2">
        <x:v>89</x:v>
      </x:c>
      <x:c r="C294" t="str" s="2">
        <x:v/>
      </x:c>
      <x:c r="D294" t="str" s="2">
        <x:f>=""</x:f>
      </x:c>
      <x:c r="E294" s="0"/>
      <x:c r="F294" t="str" s="2">
        <x:v>Meta Ads - Messenger</x:v>
      </x:c>
      <x:c r="G294" t="str" s="2">
        <x:v>Heritage Housing Mt Pleasant</x:v>
      </x:c>
      <x:c r="H294" t="str" s="2">
        <x:v>Sandra Saldana</x:v>
      </x:c>
      <x:c r="I294" s="0"/>
      <x:c r="J294" t="str" s="2">
        <x:v>Sandra Saldana</x:v>
      </x:c>
      <x:c r="K294" t="n" s="2">
        <x:v>5</x:v>
      </x:c>
      <x:c r="L294" t="str" s="2">
        <x:v>1.1</x:v>
      </x:c>
      <x:c r="M294" t="str" s="2">
        <x:v>Tentative</x:v>
      </x:c>
      <x:c r="N294" t="str" s="2">
        <x:v>Deal Created</x:v>
      </x:c>
      <x:c r="O294" s="0"/>
      <x:c r="P294" s="6">
        <x:v>46219</x:v>
      </x:c>
      <x:c r="Q294" s="6">
        <x:v>46219.89694748843</x:v>
      </x:c>
      <x:c r="R294" s="0"/>
      <x:c r="S294" s="0"/>
      <x:c r="T294" s="0"/>
      <x:c r="U294" s="0"/>
      <x:c r="V294" s="0"/>
      <x:c r="W294" s="0"/>
      <x:c r="X294" t="str" s="2">
        <x:v>9032851025</x:v>
      </x:c>
      <x:c r="Y294" t="str" s="2">
        <x:v>mariacardona74@cloud.com</x:v>
      </x:c>
      <x:c r="Z294" s="6">
        <x:v>46225.58190146991</x:v>
      </x:c>
      <x:c r="AA294" t="str" s="2">
        <x:v>Sandra Saldana</x:v>
      </x:c>
      <x:c r="AB294" s="6">
        <x:v>46219.89695162037</x:v>
      </x:c>
      <x:c r="AC294" t="n" s="2">
        <x:v>38564</x:v>
      </x:c>
      <x:c r="AD294" s="0"/>
      <x:c r="AE294" s="0"/>
      <x:c r="AF294" s="0"/>
      <x:c r="AG294" s="0"/>
      <x:c r="AH294" s="0"/>
      <x:c r="AI294" s="0"/>
      <x:c r="AJ294" s="0"/>
      <x:c r="AK294" s="0"/>
    </x:row>
    <x:row r="295">
      <x:c r="A295" t="str" s="2">
        <x:f>=HYPERLINK("https://rsms.futurehomex.com/lead/38566", "Cherry Grimsley")</x:f>
      </x:c>
      <x:c r="B295" t="n" s="2">
        <x:v>89</x:v>
      </x:c>
      <x:c r="C295" t="str" s="2">
        <x:v>0/3</x:v>
      </x:c>
      <x:c r="D295" t="str" s="2">
        <x:f>=""</x:f>
      </x:c>
      <x:c r="E295" s="0"/>
      <x:c r="F295" t="str" s="2">
        <x:v>Facebook Messenger</x:v>
      </x:c>
      <x:c r="G295" t="str" s="2">
        <x:v>Heritage Housing of Minden</x:v>
      </x:c>
      <x:c r="H295" t="str" s="2">
        <x:v>Patrick Schuchart</x:v>
      </x:c>
      <x:c r="I295" s="0"/>
      <x:c r="J295" t="str" s="2">
        <x:v>Kyla Brown</x:v>
      </x:c>
      <x:c r="K295" t="n" s="2">
        <x:v>5</x:v>
      </x:c>
      <x:c r="L295" t="str" s="2">
        <x:v>1.1</x:v>
      </x:c>
      <x:c r="M295" t="str" s="2">
        <x:v>Tentative</x:v>
      </x:c>
      <x:c r="N295" t="str" s="2">
        <x:v>Prospect</x:v>
      </x:c>
      <x:c r="O295" s="0"/>
      <x:c r="P295" s="6">
        <x:v>46219</x:v>
      </x:c>
      <x:c r="Q295" s="6">
        <x:v>46219.94002711806</x:v>
      </x:c>
      <x:c r="R295" s="0"/>
      <x:c r="S295" s="0"/>
      <x:c r="T295" s="0"/>
      <x:c r="U295" s="0"/>
      <x:c r="V295" s="0"/>
      <x:c r="W295" s="0"/>
      <x:c r="X295" t="str" s="2">
        <x:v>+113185103010</x:v>
      </x:c>
      <x:c r="Y295" t="str" s="2">
        <x:v>clgf9900@gmail.com</x:v>
      </x:c>
      <x:c r="Z295" s="6">
        <x:v>46294.885526273145</x:v>
      </x:c>
      <x:c r="AA295" t="str" s="2">
        <x:v>Kyla Brown</x:v>
      </x:c>
      <x:c r="AB295" s="6">
        <x:v>46219.940027662036</x:v>
      </x:c>
      <x:c r="AC295" t="n" s="2">
        <x:v>38566</x:v>
      </x:c>
      <x:c r="AD295" s="0"/>
      <x:c r="AE295" s="0"/>
      <x:c r="AF295" s="0"/>
      <x:c r="AG295" s="0"/>
      <x:c r="AH295" s="0"/>
      <x:c r="AI295" s="0"/>
      <x:c r="AJ295" s="0"/>
      <x:c r="AK295" s="0"/>
    </x:row>
    <x:row r="296">
      <x:c r="A296" t="str" s="2">
        <x:f>=HYPERLINK("https://rsms.futurehomex.com/lead/38568", "Alexander Cruz")</x:f>
      </x:c>
      <x:c r="B296" t="n" s="2">
        <x:v>88</x:v>
      </x:c>
      <x:c r="C296" t="str" s="2">
        <x:v>0/1</x:v>
      </x:c>
      <x:c r="D296" t="str" s="2">
        <x:f>=""</x:f>
      </x:c>
      <x:c r="E296" t="str" s="2">
        <x:v>Randi Cruz</x:v>
      </x:c>
      <x:c r="F296" t="str" s="2">
        <x:v>Walk-in</x:v>
      </x:c>
      <x:c r="G296" t="str" s="2">
        <x:v>Heritage Housing of Asheboro</x:v>
      </x:c>
      <x:c r="H296" t="str" s="2">
        <x:v>Maria Lopez</x:v>
      </x:c>
      <x:c r="I296" s="0"/>
      <x:c r="J296" s="0"/>
      <x:c r="K296" t="n" s="2">
        <x:v>38</x:v>
      </x:c>
      <x:c r="L296" t="str" s="2">
        <x:v>3.2</x:v>
      </x:c>
      <x:c r="M296" t="str" s="2">
        <x:v>Inactive</x:v>
      </x:c>
      <x:c r="N296" t="str" s="2">
        <x:v>Application</x:v>
      </x:c>
      <x:c r="O296" s="0"/>
      <x:c r="P296" s="6">
        <x:v>46220</x:v>
      </x:c>
      <x:c r="Q296" s="6">
        <x:v>46228.837022719905</x:v>
      </x:c>
      <x:c r="R296" s="0"/>
      <x:c r="S296" s="0"/>
      <x:c r="T296" s="0"/>
      <x:c r="U296" s="0"/>
      <x:c r="V296" s="0"/>
      <x:c r="W296" s="0"/>
      <x:c r="X296" t="str" s="2">
        <x:v>9809259868</x:v>
      </x:c>
      <x:c r="Y296" t="str" s="2">
        <x:v>alexcruz7267@gmail.com</x:v>
      </x:c>
      <x:c r="Z296" s="6">
        <x:v>46307.69388665509</x:v>
      </x:c>
      <x:c r="AA296" t="str" s="2">
        <x:v>Debbie Farmerie</x:v>
      </x:c>
      <x:c r="AB296" s="6">
        <x:v>46220.637239930555</x:v>
      </x:c>
      <x:c r="AC296" t="n" s="2">
        <x:v>38568</x:v>
      </x:c>
      <x:c r="AD296" t="str" s="2">
        <x:v>Doublewide</x:v>
      </x:c>
      <x:c r="AE296" t="str" s="2">
        <x:v>Legacy Housing Corporation</x:v>
      </x:c>
      <x:c r="AF296" s="0"/>
      <x:c r="AG296" s="7">
        <x:v>0</x:v>
      </x:c>
      <x:c r="AH296" s="0"/>
      <x:c r="AI296" t="str" s="2">
        <x:v>455</x:v>
      </x:c>
      <x:c r="AJ296" s="0"/>
      <x:c r="AK296" s="0"/>
    </x:row>
    <x:row r="297">
      <x:c r="A297" t="str" s="2">
        <x:f>=HYPERLINK("https://rsms.futurehomex.com/lead/38570", "David Lloyd")</x:f>
      </x:c>
      <x:c r="B297" t="n" s="2">
        <x:v>88</x:v>
      </x:c>
      <x:c r="C297" t="str" s="2">
        <x:v>1/2</x:v>
      </x:c>
      <x:c r="D297" t="str" s="2">
        <x:f>=""</x:f>
      </x:c>
      <x:c r="E297" s="0"/>
      <x:c r="F297" t="str" s="2">
        <x:v>Financing Form</x:v>
      </x:c>
      <x:c r="G297" t="str" s="2">
        <x:v>Heritage Housing of Oklahoma City</x:v>
      </x:c>
      <x:c r="H297" t="str" s="2">
        <x:v>Trey Rixleben</x:v>
      </x:c>
      <x:c r="I297" t="str" s="2">
        <x:v>Karol Romero</x:v>
      </x:c>
      <x:c r="J297" t="str" s="2">
        <x:v>Trey Rixleben</x:v>
      </x:c>
      <x:c r="K297" t="n" s="2">
        <x:v>5</x:v>
      </x:c>
      <x:c r="L297" t="str" s="2">
        <x:v>1.1</x:v>
      </x:c>
      <x:c r="M297" t="str" s="2">
        <x:v>Inactive</x:v>
      </x:c>
      <x:c r="N297" t="str" s="2">
        <x:v>Deal Created</x:v>
      </x:c>
      <x:c r="O297" s="0"/>
      <x:c r="P297" s="6">
        <x:v>46220</x:v>
      </x:c>
      <x:c r="Q297" s="6">
        <x:v>46233.00763244213</x:v>
      </x:c>
      <x:c r="R297" s="0"/>
      <x:c r="S297" s="0"/>
      <x:c r="T297" s="0"/>
      <x:c r="U297" s="0"/>
      <x:c r="V297" s="0"/>
      <x:c r="W297" s="0"/>
      <x:c r="X297" t="str" s="2">
        <x:v>4053169805</x:v>
      </x:c>
      <x:c r="Y297" t="str" s="2">
        <x:v>therealdavelloyd@gmail.com</x:v>
      </x:c>
      <x:c r="Z297" s="6">
        <x:v>46233.009169756944</x:v>
      </x:c>
      <x:c r="AA297" t="str" s="2">
        <x:v>Trey Rixleben</x:v>
      </x:c>
      <x:c r="AB297" s="6">
        <x:v>46220.71649216435</x:v>
      </x:c>
      <x:c r="AC297" t="n" s="2">
        <x:v>38570</x:v>
      </x:c>
      <x:c r="AD297" s="0"/>
      <x:c r="AE297" s="0"/>
      <x:c r="AF297" s="0"/>
      <x:c r="AG297" s="0"/>
      <x:c r="AH297" s="0"/>
      <x:c r="AI297" s="0"/>
      <x:c r="AJ297" s="0"/>
      <x:c r="AK297" s="0"/>
    </x:row>
    <x:row r="298">
      <x:c r="A298" t="str" s="2">
        <x:f>=HYPERLINK("https://rsms.futurehomex.com/lead/38571", "Zachary Meissner")</x:f>
      </x:c>
      <x:c r="B298" t="n" s="2">
        <x:v>88</x:v>
      </x:c>
      <x:c r="C298" t="str" s="2">
        <x:v>0/2</x:v>
      </x:c>
      <x:c r="D298" t="str" s="2">
        <x:f>=""</x:f>
      </x:c>
      <x:c r="E298" s="0"/>
      <x:c r="F298" t="str" s="2">
        <x:v>Meta Ads - Forms</x:v>
      </x:c>
      <x:c r="G298" t="str" s="2">
        <x:v>Heritage Housing of Minden</x:v>
      </x:c>
      <x:c r="H298" t="str" s="2">
        <x:v>Patrick Schuchart</x:v>
      </x:c>
      <x:c r="I298" s="0"/>
      <x:c r="J298" t="str" s="2">
        <x:v>Patrick Schuchart</x:v>
      </x:c>
      <x:c r="K298" t="n" s="2">
        <x:v>21</x:v>
      </x:c>
      <x:c r="L298" t="str" s="2">
        <x:v>2.1</x:v>
      </x:c>
      <x:c r="M298" t="str" s="2">
        <x:v>Inactive</x:v>
      </x:c>
      <x:c r="N298" t="str" s="2">
        <x:v>Qualified</x:v>
      </x:c>
      <x:c r="O298" s="0"/>
      <x:c r="P298" s="6">
        <x:v>46220</x:v>
      </x:c>
      <x:c r="Q298" s="6">
        <x:v>46221.87452457176</x:v>
      </x:c>
      <x:c r="R298" s="0"/>
      <x:c r="S298" s="6">
        <x:v>46221</x:v>
      </x:c>
      <x:c r="T298" s="0"/>
      <x:c r="U298" s="0"/>
      <x:c r="V298" s="0"/>
      <x:c r="W298" s="0"/>
      <x:c r="X298" t="str" s="2">
        <x:v>3373755869</x:v>
      </x:c>
      <x:c r="Y298" t="str" s="2">
        <x:v>zachmeiss59@yahoo.com</x:v>
      </x:c>
      <x:c r="Z298" s="6">
        <x:v>46294.88543862269</x:v>
      </x:c>
      <x:c r="AA298" t="str" s="2">
        <x:v>Kyla Brown</x:v>
      </x:c>
      <x:c r="AB298" s="6">
        <x:v>46220.73049236111</x:v>
      </x:c>
      <x:c r="AC298" t="n" s="2">
        <x:v>38571</x:v>
      </x:c>
      <x:c r="AD298" s="0"/>
      <x:c r="AE298" s="0"/>
      <x:c r="AF298" s="0"/>
      <x:c r="AG298" s="7">
        <x:v>3000</x:v>
      </x:c>
      <x:c r="AH298" s="0"/>
      <x:c r="AI298" t="str" s="2" xml:space="preserve">
        <x:v>680 </x:v>
      </x:c>
      <x:c r="AJ298" s="0"/>
      <x:c r="AK298" s="0"/>
    </x:row>
    <x:row r="299">
      <x:c r="A299" t="str" s="2">
        <x:f>=HYPERLINK("https://rsms.futurehomex.com/lead/38573", "Lemont Calwell")</x:f>
      </x:c>
      <x:c r="B299" t="n" s="2">
        <x:v>88</x:v>
      </x:c>
      <x:c r="C299" t="str" s="2">
        <x:v>0/2</x:v>
      </x:c>
      <x:c r="D299" t="str" s="2">
        <x:f>=""</x:f>
      </x:c>
      <x:c r="E299" s="0"/>
      <x:c r="F299" t="str" s="2">
        <x:v>Meta Ads - Forms</x:v>
      </x:c>
      <x:c r="G299" t="str" s="2">
        <x:v>Heritage Housing of Minden</x:v>
      </x:c>
      <x:c r="H299" t="str" s="2">
        <x:v>Patrick Schuchart</x:v>
      </x:c>
      <x:c r="I299" s="0"/>
      <x:c r="J299" t="str" s="2">
        <x:v>Patrick Schuchart</x:v>
      </x:c>
      <x:c r="K299" t="n" s="2">
        <x:v>5</x:v>
      </x:c>
      <x:c r="L299" t="str" s="2">
        <x:v>1.1</x:v>
      </x:c>
      <x:c r="M299" t="str" s="2">
        <x:v>Active</x:v>
      </x:c>
      <x:c r="N299" t="str" s="2">
        <x:v>Prospect</x:v>
      </x:c>
      <x:c r="O299" s="0"/>
      <x:c r="P299" s="6">
        <x:v>46220</x:v>
      </x:c>
      <x:c r="Q299" s="6">
        <x:v>46220.77694236111</x:v>
      </x:c>
      <x:c r="R299" s="0"/>
      <x:c r="S299" s="6">
        <x:v>46226</x:v>
      </x:c>
      <x:c r="T299" s="0"/>
      <x:c r="U299" s="0"/>
      <x:c r="V299" s="0"/>
      <x:c r="W299" s="0"/>
      <x:c r="X299" t="str" s="2">
        <x:v>8709493906</x:v>
      </x:c>
      <x:c r="Y299" t="str" s="2">
        <x:v>mrnoodle116@gmail.com</x:v>
      </x:c>
      <x:c r="Z299" s="6">
        <x:v>46295.877452465276</x:v>
      </x:c>
      <x:c r="AA299" t="str" s="2">
        <x:v>Kyla Brown</x:v>
      </x:c>
      <x:c r="AB299" s="6">
        <x:v>46220.77694309028</x:v>
      </x:c>
      <x:c r="AC299" t="n" s="2">
        <x:v>38573</x:v>
      </x:c>
      <x:c r="AD299" s="0"/>
      <x:c r="AE299" s="0"/>
      <x:c r="AF299" s="0"/>
      <x:c r="AG299" s="0"/>
      <x:c r="AH299" s="0"/>
      <x:c r="AI299" s="0"/>
      <x:c r="AJ299" s="0"/>
      <x:c r="AK299" s="0"/>
    </x:row>
    <x:row r="300">
      <x:c r="A300" t="str" s="2">
        <x:f>=HYPERLINK("https://rsms.futurehomex.com/lead/38574", "Austin Gravitt")</x:f>
      </x:c>
      <x:c r="B300" t="n" s="2">
        <x:v>88</x:v>
      </x:c>
      <x:c r="C300" t="str" s="2">
        <x:v/>
      </x:c>
      <x:c r="D300" t="str" s="2">
        <x:f>=""</x:f>
      </x:c>
      <x:c r="E300" s="0"/>
      <x:c r="F300" t="str" s="2">
        <x:v>Facebook Messenger</x:v>
      </x:c>
      <x:c r="G300" t="str" s="2">
        <x:v>Heritage Housing of Oklahoma City</x:v>
      </x:c>
      <x:c r="H300" t="str" s="2">
        <x:v>Steve Castell</x:v>
      </x:c>
      <x:c r="I300" s="0"/>
      <x:c r="J300" t="str" s="2">
        <x:v>Steve Castell</x:v>
      </x:c>
      <x:c r="K300" t="n" s="2">
        <x:v>5</x:v>
      </x:c>
      <x:c r="L300" t="str" s="2">
        <x:v>1.1</x:v>
      </x:c>
      <x:c r="M300" t="str" s="2">
        <x:v>Dead</x:v>
      </x:c>
      <x:c r="N300" t="str" s="2">
        <x:v>Deal Created</x:v>
      </x:c>
      <x:c r="O300" s="0"/>
      <x:c r="P300" s="6">
        <x:v>46220</x:v>
      </x:c>
      <x:c r="Q300" s="6">
        <x:v>46220.78750046296</x:v>
      </x:c>
      <x:c r="R300" s="0"/>
      <x:c r="S300" s="6">
        <x:v>46220</x:v>
      </x:c>
      <x:c r="T300" s="0"/>
      <x:c r="U300" s="0"/>
      <x:c r="V300" s="0"/>
      <x:c r="W300" s="0"/>
      <x:c r="X300" t="str" s="2">
        <x:v>5722727088</x:v>
      </x:c>
      <x:c r="Y300" t="str" s="2">
        <x:v>5722727088</x:v>
      </x:c>
      <x:c r="Z300" s="6">
        <x:v>46220.909074421295</x:v>
      </x:c>
      <x:c r="AA300" t="str" s="2">
        <x:v>Steve Castell</x:v>
      </x:c>
      <x:c r="AB300" s="6">
        <x:v>46220.7875022338</x:v>
      </x:c>
      <x:c r="AC300" t="n" s="2">
        <x:v>38574</x:v>
      </x:c>
      <x:c r="AD300" s="0"/>
      <x:c r="AE300" s="0"/>
      <x:c r="AF300" s="0"/>
      <x:c r="AG300" s="0"/>
      <x:c r="AH300" s="0"/>
      <x:c r="AI300" s="0"/>
      <x:c r="AJ300" s="0"/>
      <x:c r="AK300" s="0"/>
    </x:row>
    <x:row r="301">
      <x:c r="A301" t="str" s="2">
        <x:f>=HYPERLINK("https://rsms.futurehomex.com/lead/38576", "KAM COLEMAN")</x:f>
      </x:c>
      <x:c r="B301" t="n" s="2">
        <x:v>88</x:v>
      </x:c>
      <x:c r="C301" t="str" s="2">
        <x:v/>
      </x:c>
      <x:c r="D301" t="str" s="2">
        <x:f>=""</x:f>
      </x:c>
      <x:c r="E301" s="0"/>
      <x:c r="F301" t="str" s="2">
        <x:v>Walk-in</x:v>
      </x:c>
      <x:c r="G301" t="str" s="2">
        <x:v>Heritage Housing of Augusta</x:v>
      </x:c>
      <x:c r="H301" t="str" s="2">
        <x:v>Brian Amato</x:v>
      </x:c>
      <x:c r="I301" t="str" s="2">
        <x:v>Karol Romero</x:v>
      </x:c>
      <x:c r="J301" s="0"/>
      <x:c r="K301" t="n" s="2">
        <x:v>5</x:v>
      </x:c>
      <x:c r="L301" t="str" s="2">
        <x:v>1.1</x:v>
      </x:c>
      <x:c r="M301" t="str" s="2">
        <x:v>Dead</x:v>
      </x:c>
      <x:c r="N301" t="str" s="2">
        <x:v>Prospect</x:v>
      </x:c>
      <x:c r="O301" s="0"/>
      <x:c r="P301" s="6">
        <x:v>46220</x:v>
      </x:c>
      <x:c r="Q301" s="6">
        <x:v>46220.81260871528</x:v>
      </x:c>
      <x:c r="R301" s="0"/>
      <x:c r="S301" s="0"/>
      <x:c r="T301" s="0"/>
      <x:c r="U301" s="0"/>
      <x:c r="V301" s="0"/>
      <x:c r="W301" s="0"/>
      <x:c r="X301" t="str" s="2">
        <x:v>4782999740</x:v>
      </x:c>
      <x:c r="Y301" t="str" s="2">
        <x:v>kamcoleman2015@gmail.com</x:v>
      </x:c>
      <x:c r="Z301" s="0"/>
      <x:c r="AA301" s="0"/>
      <x:c r="AB301" s="6">
        <x:v>46220.812609872686</x:v>
      </x:c>
      <x:c r="AC301" t="n" s="2">
        <x:v>38576</x:v>
      </x:c>
      <x:c r="AD301" s="0"/>
      <x:c r="AE301" s="0"/>
      <x:c r="AF301" s="0"/>
      <x:c r="AG301" s="0"/>
      <x:c r="AH301" s="0"/>
      <x:c r="AI301" s="0"/>
      <x:c r="AJ301" s="0"/>
      <x:c r="AK301" s="0"/>
    </x:row>
    <x:row r="302">
      <x:c r="A302" t="str" s="2">
        <x:f>=HYPERLINK("https://rsms.futurehomex.com/lead/38580", "Kelly Tinkham")</x:f>
      </x:c>
      <x:c r="B302" t="n" s="2">
        <x:v>88</x:v>
      </x:c>
      <x:c r="C302" t="str" s="2">
        <x:v>0/9</x:v>
      </x:c>
      <x:c r="D302" t="str" s="2">
        <x:f>=""</x:f>
      </x:c>
      <x:c r="E302" t="str" s="2">
        <x:v>Angela Tinkham</x:v>
      </x:c>
      <x:c r="F302" t="str" s="2">
        <x:v>Walk-in</x:v>
      </x:c>
      <x:c r="G302" t="str" s="2">
        <x:v>Heritage Housing of Oklahoma City</x:v>
      </x:c>
      <x:c r="H302" t="str" s="2">
        <x:v>Trey Rixleben</x:v>
      </x:c>
      <x:c r="I302" s="0"/>
      <x:c r="J302" t="str" s="2">
        <x:v>Trey Rixleben</x:v>
      </x:c>
      <x:c r="K302" t="n" s="2">
        <x:v>100</x:v>
      </x:c>
      <x:c r="L302" t="str" s="2">
        <x:v>6.2</x:v>
      </x:c>
      <x:c r="M302" t="str" s="2">
        <x:v>Closed</x:v>
      </x:c>
      <x:c r="N302" t="str" s="2">
        <x:v>Delivered</x:v>
      </x:c>
      <x:c r="O302" s="6">
        <x:v>46295</x:v>
      </x:c>
      <x:c r="P302" s="6">
        <x:v>46220</x:v>
      </x:c>
      <x:c r="Q302" s="6">
        <x:v>46279.60229545139</x:v>
      </x:c>
      <x:c r="R302" s="0"/>
      <x:c r="S302" s="6">
        <x:v>46220</x:v>
      </x:c>
      <x:c r="T302" s="6">
        <x:v>46223</x:v>
      </x:c>
      <x:c r="U302" s="6">
        <x:v>46225</x:v>
      </x:c>
      <x:c r="V302" s="6">
        <x:v>46241</x:v>
      </x:c>
      <x:c r="W302" s="6">
        <x:v>46281</x:v>
      </x:c>
      <x:c r="X302" t="str" s="2">
        <x:v>4054745544</x:v>
      </x:c>
      <x:c r="Y302" t="str" s="2">
        <x:v>kelly.tinkham@gmail.com</x:v>
      </x:c>
      <x:c r="Z302" s="6">
        <x:v>46290.755784988425</x:v>
      </x:c>
      <x:c r="AA302" t="str" s="2">
        <x:v>Trey Rixleben</x:v>
      </x:c>
      <x:c r="AB302" s="6">
        <x:v>46259.70780856482</x:v>
      </x:c>
      <x:c r="AC302" t="n" s="2">
        <x:v>38580</x:v>
      </x:c>
      <x:c r="AD302" t="str" s="2">
        <x:v>Singlewide</x:v>
      </x:c>
      <x:c r="AE302" t="str" s="2">
        <x:v>21st Mortgage Corporation</x:v>
      </x:c>
      <x:c r="AF302" s="7">
        <x:v>8500</x:v>
      </x:c>
      <x:c r="AG302" s="7">
        <x:v>8500</x:v>
      </x:c>
      <x:c r="AH302" s="0"/>
      <x:c r="AI302" s="0"/>
      <x:c r="AJ302" s="0"/>
      <x:c r="AK302" t="str" s="6">
        <x:v>2026-09-10</x:v>
      </x:c>
    </x:row>
    <x:row r="303">
      <x:c r="A303" t="str" s="2">
        <x:f>=HYPERLINK("https://rsms.futurehomex.com/lead/38581", "Santiago Sazar Rivera")</x:f>
      </x:c>
      <x:c r="B303" t="n" s="2">
        <x:v>88</x:v>
      </x:c>
      <x:c r="C303" t="str" s="2">
        <x:v>1/2</x:v>
      </x:c>
      <x:c r="D303" t="str" s="2">
        <x:f>=""</x:f>
      </x:c>
      <x:c r="E303" s="0"/>
      <x:c r="F303" t="str" s="2">
        <x:v>Walk-in</x:v>
      </x:c>
      <x:c r="G303" t="str" s="2">
        <x:v>Heritage Housing of Oklahoma City</x:v>
      </x:c>
      <x:c r="H303" t="str" s="2">
        <x:v>Alejandra Calderon</x:v>
      </x:c>
      <x:c r="I303" t="str" s="2">
        <x:v>Karol Romero</x:v>
      </x:c>
      <x:c r="J303" t="str" s="2">
        <x:v>Steve Castell</x:v>
      </x:c>
      <x:c r="K303" t="n" s="2">
        <x:v>5</x:v>
      </x:c>
      <x:c r="L303" t="str" s="2">
        <x:v>1.1</x:v>
      </x:c>
      <x:c r="M303" t="str" s="2">
        <x:v>Tentative</x:v>
      </x:c>
      <x:c r="N303" t="str" s="2">
        <x:v>Deal Created</x:v>
      </x:c>
      <x:c r="O303" s="0"/>
      <x:c r="P303" s="6">
        <x:v>46220</x:v>
      </x:c>
      <x:c r="Q303" s="6">
        <x:v>46220.898925960646</x:v>
      </x:c>
      <x:c r="R303" s="0"/>
      <x:c r="S303" s="6">
        <x:v>46220</x:v>
      </x:c>
      <x:c r="T303" s="0"/>
      <x:c r="U303" s="0"/>
      <x:c r="V303" s="0"/>
      <x:c r="W303" s="0"/>
      <x:c r="X303" t="str" s="2">
        <x:v>4053712987</x:v>
      </x:c>
      <x:c r="Y303" t="str" s="2">
        <x:v>salazarsantiago0720@gmail.com</x:v>
      </x:c>
      <x:c r="Z303" s="6">
        <x:v>46296.593726354164</x:v>
      </x:c>
      <x:c r="AA303" t="str" s="2">
        <x:v>Alejandra Calderon</x:v>
      </x:c>
      <x:c r="AB303" s="6">
        <x:v>46220.898927395836</x:v>
      </x:c>
      <x:c r="AC303" t="n" s="2">
        <x:v>38581</x:v>
      </x:c>
      <x:c r="AD303" s="0"/>
      <x:c r="AE303" s="0"/>
      <x:c r="AF303" s="0"/>
      <x:c r="AG303" s="0"/>
      <x:c r="AH303" s="0"/>
      <x:c r="AI303" s="0"/>
      <x:c r="AJ303" s="0"/>
      <x:c r="AK303" s="0"/>
    </x:row>
    <x:row r="304">
      <x:c r="A304" t="str" s="2">
        <x:f>=HYPERLINK("https://rsms.futurehomex.com/lead/38582", "Rita Long")</x:f>
      </x:c>
      <x:c r="B304" t="n" s="2">
        <x:v>88</x:v>
      </x:c>
      <x:c r="C304" t="str" s="2">
        <x:v/>
      </x:c>
      <x:c r="D304" t="str" s="2">
        <x:f>=""</x:f>
      </x:c>
      <x:c r="E304" s="0"/>
      <x:c r="F304" t="str" s="2">
        <x:v>Walk-in</x:v>
      </x:c>
      <x:c r="G304" t="str" s="2">
        <x:v>Heritage Housing of Tulsa</x:v>
      </x:c>
      <x:c r="H304" t="str" s="2">
        <x:v>Jenna Fransisco</x:v>
      </x:c>
      <x:c r="I304" s="0"/>
      <x:c r="J304" t="str" s="2">
        <x:v>Jenna Fransisco</x:v>
      </x:c>
      <x:c r="K304" t="n" s="2">
        <x:v>5</x:v>
      </x:c>
      <x:c r="L304" t="str" s="2">
        <x:v>1.1</x:v>
      </x:c>
      <x:c r="M304" t="str" s="2">
        <x:v>Tentative</x:v>
      </x:c>
      <x:c r="N304" t="str" s="2">
        <x:v>Deal Created</x:v>
      </x:c>
      <x:c r="O304" s="0"/>
      <x:c r="P304" s="6">
        <x:v>46220</x:v>
      </x:c>
      <x:c r="Q304" s="6">
        <x:v>46220.918800775464</x:v>
      </x:c>
      <x:c r="R304" s="0"/>
      <x:c r="S304" s="6">
        <x:v>46220</x:v>
      </x:c>
      <x:c r="T304" s="0"/>
      <x:c r="U304" s="0"/>
      <x:c r="V304" s="0"/>
      <x:c r="W304" s="0"/>
      <x:c r="X304" t="str" s="2">
        <x:v>9186406597</x:v>
      </x:c>
      <x:c r="Y304" t="str" s="2">
        <x:v>9186406597</x:v>
      </x:c>
      <x:c r="Z304" s="6">
        <x:v>46220.919577280096</x:v>
      </x:c>
      <x:c r="AA304" t="str" s="2">
        <x:v>Madison Chapman</x:v>
      </x:c>
      <x:c r="AB304" s="6">
        <x:v>46220.91686793981</x:v>
      </x:c>
      <x:c r="AC304" t="n" s="2">
        <x:v>38582</x:v>
      </x:c>
      <x:c r="AD304" s="0"/>
      <x:c r="AE304" s="0"/>
      <x:c r="AF304" s="0"/>
      <x:c r="AG304" s="0"/>
      <x:c r="AH304" s="0"/>
      <x:c r="AI304" s="0"/>
      <x:c r="AJ304" s="0"/>
      <x:c r="AK304" s="0"/>
    </x:row>
    <x:row r="305">
      <x:c r="A305" t="str" s="2">
        <x:f>=HYPERLINK("https://rsms.futurehomex.com/lead/38584", "Ed Hill")</x:f>
      </x:c>
      <x:c r="B305" t="n" s="2">
        <x:v>88</x:v>
      </x:c>
      <x:c r="C305" t="str" s="2">
        <x:v/>
      </x:c>
      <x:c r="D305" t="str" s="2">
        <x:f>=""</x:f>
      </x:c>
      <x:c r="E305" s="0"/>
      <x:c r="F305" t="str" s="2">
        <x:v>META Marketplace</x:v>
      </x:c>
      <x:c r="G305" t="str" s="2">
        <x:v>Heritage Housing Mt Pleasant</x:v>
      </x:c>
      <x:c r="H305" t="str" s="2">
        <x:v>Yarelis Torres</x:v>
      </x:c>
      <x:c r="I305" s="0"/>
      <x:c r="J305" t="str" s="2">
        <x:v>Yarelis Torres</x:v>
      </x:c>
      <x:c r="K305" t="n" s="2">
        <x:v>5</x:v>
      </x:c>
      <x:c r="L305" t="str" s="2">
        <x:v>1.1</x:v>
      </x:c>
      <x:c r="M305" t="str" s="2">
        <x:v>Tentative</x:v>
      </x:c>
      <x:c r="N305" t="str" s="2">
        <x:v>Deal Created</x:v>
      </x:c>
      <x:c r="O305" s="0"/>
      <x:c r="P305" s="6">
        <x:v>46220</x:v>
      </x:c>
      <x:c r="Q305" s="6">
        <x:v>46220.93820181713</x:v>
      </x:c>
      <x:c r="R305" s="0"/>
      <x:c r="S305" s="0"/>
      <x:c r="T305" s="0"/>
      <x:c r="U305" s="0"/>
      <x:c r="V305" s="0"/>
      <x:c r="W305" s="0"/>
      <x:c r="X305" t="str" s="2">
        <x:v>8178568359</x:v>
      </x:c>
      <x:c r="Y305" t="str" s="2">
        <x:v>hilled734@gmail.com</x:v>
      </x:c>
      <x:c r="Z305" s="6">
        <x:v>46221.57374216435</x:v>
      </x:c>
      <x:c r="AA305" t="str" s="2">
        <x:v>Yarelis Torres</x:v>
      </x:c>
      <x:c r="AB305" s="6">
        <x:v>46220.938204398146</x:v>
      </x:c>
      <x:c r="AC305" t="n" s="2">
        <x:v>38584</x:v>
      </x:c>
      <x:c r="AD305" s="0"/>
      <x:c r="AE305" s="0"/>
      <x:c r="AF305" s="0"/>
      <x:c r="AG305" s="0"/>
      <x:c r="AH305" s="0"/>
      <x:c r="AI305" s="0"/>
      <x:c r="AJ305" s="0"/>
      <x:c r="AK305" s="0"/>
    </x:row>
    <x:row r="306">
      <x:c r="A306" t="str" s="2">
        <x:f>=HYPERLINK("https://rsms.futurehomex.com/lead/38585", "Janis Harder")</x:f>
      </x:c>
      <x:c r="B306" t="n" s="2">
        <x:v>88</x:v>
      </x:c>
      <x:c r="C306" t="str" s="2">
        <x:v/>
      </x:c>
      <x:c r="D306" t="str" s="2">
        <x:f>=""</x:f>
      </x:c>
      <x:c r="E306" s="0"/>
      <x:c r="F306" t="str" s="2">
        <x:v>Website</x:v>
      </x:c>
      <x:c r="G306" t="str" s="2">
        <x:v>Heritage Housing Mt Pleasant</x:v>
      </x:c>
      <x:c r="H306" t="str" s="2">
        <x:v>Yarelis Torres</x:v>
      </x:c>
      <x:c r="I306" s="0"/>
      <x:c r="J306" t="str" s="2">
        <x:v>Yarelis Torres</x:v>
      </x:c>
      <x:c r="K306" t="n" s="2">
        <x:v>5</x:v>
      </x:c>
      <x:c r="L306" t="str" s="2">
        <x:v>1.1</x:v>
      </x:c>
      <x:c r="M306" t="str" s="2">
        <x:v>Tentative</x:v>
      </x:c>
      <x:c r="N306" t="str" s="2">
        <x:v>Deal Created</x:v>
      </x:c>
      <x:c r="O306" s="0"/>
      <x:c r="P306" s="6">
        <x:v>46220</x:v>
      </x:c>
      <x:c r="Q306" s="6">
        <x:v>46220.94078758102</x:v>
      </x:c>
      <x:c r="R306" s="0"/>
      <x:c r="S306" s="0"/>
      <x:c r="T306" s="0"/>
      <x:c r="U306" s="0"/>
      <x:c r="V306" s="0"/>
      <x:c r="W306" s="0"/>
      <x:c r="X306" t="str" s="2">
        <x:v>9038412498</x:v>
      </x:c>
      <x:c r="Y306" t="str" s="2">
        <x:v>janisherder2@gmail.com</x:v>
      </x:c>
      <x:c r="Z306" s="6">
        <x:v>46221.57346153935</x:v>
      </x:c>
      <x:c r="AA306" t="str" s="2">
        <x:v>Yarelis Torres</x:v>
      </x:c>
      <x:c r="AB306" s="6">
        <x:v>46220.94078923611</x:v>
      </x:c>
      <x:c r="AC306" t="n" s="2">
        <x:v>38585</x:v>
      </x:c>
      <x:c r="AD306" s="0"/>
      <x:c r="AE306" s="0"/>
      <x:c r="AF306" s="0"/>
      <x:c r="AG306" s="0"/>
      <x:c r="AH306" s="0"/>
      <x:c r="AI306" s="0"/>
      <x:c r="AJ306" s="0"/>
      <x:c r="AK306" s="0"/>
    </x:row>
    <x:row r="307">
      <x:c r="A307" t="str" s="2">
        <x:f>=HYPERLINK("https://rsms.futurehomex.com/lead/38586", "John Branson")</x:f>
      </x:c>
      <x:c r="B307" t="n" s="2">
        <x:v>88</x:v>
      </x:c>
      <x:c r="C307" t="str" s="2">
        <x:v/>
      </x:c>
      <x:c r="D307" t="str" s="2">
        <x:f>=""</x:f>
      </x:c>
      <x:c r="E307" s="0"/>
      <x:c r="F307" t="str" s="2">
        <x:v>Walk-in</x:v>
      </x:c>
      <x:c r="G307" t="str" s="2">
        <x:v>Heritage Housing Mt Pleasant</x:v>
      </x:c>
      <x:c r="H307" t="str" s="2">
        <x:v>Yarelis Torres</x:v>
      </x:c>
      <x:c r="I307" s="0"/>
      <x:c r="J307" t="str" s="2">
        <x:v>Yarelis Torres</x:v>
      </x:c>
      <x:c r="K307" t="n" s="2">
        <x:v>5</x:v>
      </x:c>
      <x:c r="L307" t="str" s="2">
        <x:v>1.1</x:v>
      </x:c>
      <x:c r="M307" t="str" s="2">
        <x:v>Tentative</x:v>
      </x:c>
      <x:c r="N307" t="str" s="2">
        <x:v>Deal Created</x:v>
      </x:c>
      <x:c r="O307" s="0"/>
      <x:c r="P307" s="6">
        <x:v>46220</x:v>
      </x:c>
      <x:c r="Q307" s="6">
        <x:v>46220.97209390046</x:v>
      </x:c>
      <x:c r="R307" s="0"/>
      <x:c r="S307" s="0"/>
      <x:c r="T307" s="0"/>
      <x:c r="U307" s="0"/>
      <x:c r="V307" s="0"/>
      <x:c r="W307" s="0"/>
      <x:c r="X307" t="str" s="2">
        <x:v>8084317092</x:v>
      </x:c>
      <x:c r="Y307" t="str" s="2">
        <x:v>8084317092</x:v>
      </x:c>
      <x:c r="Z307" s="6">
        <x:v>46220.98414957176</x:v>
      </x:c>
      <x:c r="AA307" t="str" s="2">
        <x:v>Yarelis Torres</x:v>
      </x:c>
      <x:c r="AB307" s="6">
        <x:v>46220.97209594907</x:v>
      </x:c>
      <x:c r="AC307" t="n" s="2">
        <x:v>38586</x:v>
      </x:c>
      <x:c r="AD307" s="0"/>
      <x:c r="AE307" s="0"/>
      <x:c r="AF307" s="0"/>
      <x:c r="AG307" s="0"/>
      <x:c r="AH307" s="0"/>
      <x:c r="AI307" s="0"/>
      <x:c r="AJ307" s="0"/>
      <x:c r="AK307" s="0"/>
    </x:row>
    <x:row r="308">
      <x:c r="A308" t="str" s="2">
        <x:f>=HYPERLINK("https://rsms.futurehomex.com/lead/38587", "Nicole McRae")</x:f>
      </x:c>
      <x:c r="B308" t="n" s="2">
        <x:v>87</x:v>
      </x:c>
      <x:c r="C308" t="str" s="2">
        <x:v/>
      </x:c>
      <x:c r="D308" t="str" s="2">
        <x:f>=""</x:f>
      </x:c>
      <x:c r="E308" s="0"/>
      <x:c r="F308" t="str" s="2">
        <x:v>Meta Marketplace</x:v>
      </x:c>
      <x:c r="G308" t="str" s="2">
        <x:v>Heritage Housing of Asheboro</x:v>
      </x:c>
      <x:c r="H308" t="str" s="2">
        <x:v>Maria Lopez</x:v>
      </x:c>
      <x:c r="I308" t="str" s="2">
        <x:v>Karol Romero</x:v>
      </x:c>
      <x:c r="J308" t="str" s="2">
        <x:v>Maria Lopez</x:v>
      </x:c>
      <x:c r="K308" t="n" s="2">
        <x:v>21</x:v>
      </x:c>
      <x:c r="L308" t="str" s="2">
        <x:v>2.1</x:v>
      </x:c>
      <x:c r="M308" t="str" s="2">
        <x:v>Tentative</x:v>
      </x:c>
      <x:c r="N308" t="str" s="2">
        <x:v>Qualified</x:v>
      </x:c>
      <x:c r="O308" s="0"/>
      <x:c r="P308" s="6">
        <x:v>46221</x:v>
      </x:c>
      <x:c r="Q308" s="6">
        <x:v>46238.7047503125</x:v>
      </x:c>
      <x:c r="R308" s="0"/>
      <x:c r="S308" s="6">
        <x:v>46221</x:v>
      </x:c>
      <x:c r="T308" s="0"/>
      <x:c r="U308" s="0"/>
      <x:c r="V308" s="0"/>
      <x:c r="W308" s="0"/>
      <x:c r="X308" t="str" s="2">
        <x:v>7432394425</x:v>
      </x:c>
      <x:c r="Y308" t="str" s="2">
        <x:v>nicolemcrae23@gmail.com</x:v>
      </x:c>
      <x:c r="Z308" s="6">
        <x:v>46238.70473707176</x:v>
      </x:c>
      <x:c r="AA308" t="str" s="2">
        <x:v>Jeremy Jacques</x:v>
      </x:c>
      <x:c r="AB308" s="6">
        <x:v>46221.558642013886</x:v>
      </x:c>
      <x:c r="AC308" t="n" s="2">
        <x:v>38587</x:v>
      </x:c>
      <x:c r="AD308" s="0"/>
      <x:c r="AE308" s="0"/>
      <x:c r="AF308" s="0"/>
      <x:c r="AG308" s="0"/>
      <x:c r="AH308" s="0"/>
      <x:c r="AI308" s="0"/>
      <x:c r="AJ308" s="0"/>
      <x:c r="AK308" s="0"/>
    </x:row>
    <x:row r="309">
      <x:c r="A309" t="str" s="2">
        <x:f>=HYPERLINK("https://rsms.futurehomex.com/lead/38590", "Gavin Gilore")</x:f>
      </x:c>
      <x:c r="B309" t="n" s="2">
        <x:v>87</x:v>
      </x:c>
      <x:c r="C309" t="str" s="2">
        <x:v>0/2</x:v>
      </x:c>
      <x:c r="D309" t="str" s="2">
        <x:f>=""</x:f>
      </x:c>
      <x:c r="E309" s="0"/>
      <x:c r="F309" t="str" s="2">
        <x:v>HH - Minden</x:v>
      </x:c>
      <x:c r="G309" t="str" s="2">
        <x:v>Heritage Housing of Minden</x:v>
      </x:c>
      <x:c r="H309" t="str" s="2">
        <x:v>Patrick Schuchart</x:v>
      </x:c>
      <x:c r="I309" s="0"/>
      <x:c r="J309" t="str" s="2">
        <x:v>Patrick Schuchart</x:v>
      </x:c>
      <x:c r="K309" t="n" s="2">
        <x:v>34</x:v>
      </x:c>
      <x:c r="L309" t="str" s="2">
        <x:v>2.4</x:v>
      </x:c>
      <x:c r="M309" t="str" s="2">
        <x:v>Active</x:v>
      </x:c>
      <x:c r="N309" t="str" s="2">
        <x:v>Deal approval</x:v>
      </x:c>
      <x:c r="O309" s="0"/>
      <x:c r="P309" s="6">
        <x:v>46221</x:v>
      </x:c>
      <x:c r="Q309" s="6">
        <x:v>46297.740671493055</x:v>
      </x:c>
      <x:c r="R309" s="0"/>
      <x:c r="S309" s="0"/>
      <x:c r="T309" s="0"/>
      <x:c r="U309" s="0"/>
      <x:c r="V309" s="0"/>
      <x:c r="W309" s="0"/>
      <x:c r="X309" t="str" s="2">
        <x:v>3184758416</x:v>
      </x:c>
      <x:c r="Y309" t="str" s="2">
        <x:v>3184758416</x:v>
      </x:c>
      <x:c r="Z309" s="6">
        <x:v>46302.60395520833</x:v>
      </x:c>
      <x:c r="AA309" t="str" s="2">
        <x:v>Kyla Brown</x:v>
      </x:c>
      <x:c r="AB309" s="6">
        <x:v>46234.642435104164</x:v>
      </x:c>
      <x:c r="AC309" t="n" s="2">
        <x:v>38590</x:v>
      </x:c>
      <x:c r="AD309" t="str" s="2">
        <x:v>Doublewide</x:v>
      </x:c>
      <x:c r="AE309" s="0"/>
      <x:c r="AF309" s="0"/>
      <x:c r="AG309" s="0"/>
      <x:c r="AH309" s="0"/>
      <x:c r="AI309" t="str" s="2" xml:space="preserve">
        <x:v>720 </x:v>
      </x:c>
      <x:c r="AJ309" s="0"/>
      <x:c r="AK309" s="0"/>
    </x:row>
    <x:row r="310">
      <x:c r="A310" t="str" s="2">
        <x:f>=HYPERLINK("https://rsms.futurehomex.com/lead/38591", "Sherri Cooper")</x:f>
      </x:c>
      <x:c r="B310" t="n" s="2">
        <x:v>87</x:v>
      </x:c>
      <x:c r="C310" t="str" s="2">
        <x:v/>
      </x:c>
      <x:c r="D310" t="str" s="2">
        <x:f>=""</x:f>
      </x:c>
      <x:c r="E310" s="0"/>
      <x:c r="F310" t="str" s="2">
        <x:v>Walk-in</x:v>
      </x:c>
      <x:c r="G310" t="str" s="2">
        <x:v>Heritage Housing of Augusta</x:v>
      </x:c>
      <x:c r="H310" t="str" s="2">
        <x:v>Faye Lively</x:v>
      </x:c>
      <x:c r="I310" s="0"/>
      <x:c r="J310" t="str" s="2">
        <x:v>Faye Lively</x:v>
      </x:c>
      <x:c r="K310" t="n" s="2">
        <x:v>25</x:v>
      </x:c>
      <x:c r="L310" t="str" s="2">
        <x:v>2.2</x:v>
      </x:c>
      <x:c r="M310" t="str" s="2">
        <x:v>Active</x:v>
      </x:c>
      <x:c r="N310" t="str" s="2">
        <x:v>Qualified</x:v>
      </x:c>
      <x:c r="O310" s="0"/>
      <x:c r="P310" s="6">
        <x:v>46221</x:v>
      </x:c>
      <x:c r="Q310" s="6">
        <x:v>46227.81602291667</x:v>
      </x:c>
      <x:c r="R310" s="0"/>
      <x:c r="S310" s="6">
        <x:v>46214</x:v>
      </x:c>
      <x:c r="T310" s="0"/>
      <x:c r="U310" s="0"/>
      <x:c r="V310" s="0"/>
      <x:c r="W310" s="0"/>
      <x:c r="X310" t="str" s="2">
        <x:v>7622258022</x:v>
      </x:c>
      <x:c r="Y310" t="str" s="2">
        <x:v>sherricooper42@gmail.com</x:v>
      </x:c>
      <x:c r="Z310" s="6">
        <x:v>46227.81578700231</x:v>
      </x:c>
      <x:c r="AA310" t="str" s="2">
        <x:v>Brian Amato</x:v>
      </x:c>
      <x:c r="AB310" s="6">
        <x:v>46221.62688927083</x:v>
      </x:c>
      <x:c r="AC310" t="n" s="2">
        <x:v>38591</x:v>
      </x:c>
      <x:c r="AD310" s="0"/>
      <x:c r="AE310" s="0"/>
      <x:c r="AF310" s="0"/>
      <x:c r="AG310" s="0"/>
      <x:c r="AH310" s="0"/>
      <x:c r="AI310" s="0"/>
      <x:c r="AJ310" s="0"/>
      <x:c r="AK310" s="0"/>
    </x:row>
    <x:row r="311">
      <x:c r="A311" t="str" s="2">
        <x:f>=HYPERLINK("https://rsms.futurehomex.com/lead/38592", "Ayana Melvin")</x:f>
      </x:c>
      <x:c r="B311" t="n" s="2">
        <x:v>87</x:v>
      </x:c>
      <x:c r="C311" t="str" s="2">
        <x:v>0/3</x:v>
      </x:c>
      <x:c r="D311" t="str" s="2">
        <x:f>=""</x:f>
      </x:c>
      <x:c r="E311" s="0"/>
      <x:c r="F311" t="str" s="2">
        <x:v>Website</x:v>
      </x:c>
      <x:c r="G311" t="str" s="2">
        <x:v>Legacy Housing Corp. DBA Americasa</x:v>
      </x:c>
      <x:c r="H311" t="str" s="2">
        <x:v>Joey Marquez</x:v>
      </x:c>
      <x:c r="I311" s="0"/>
      <x:c r="J311" t="str" s="2">
        <x:v>Rodrigo Ramirez</x:v>
      </x:c>
      <x:c r="K311" t="n" s="2">
        <x:v>5</x:v>
      </x:c>
      <x:c r="L311" t="str" s="2">
        <x:v>1.1</x:v>
      </x:c>
      <x:c r="M311" t="str" s="2">
        <x:v>Inactive</x:v>
      </x:c>
      <x:c r="N311" t="str" s="2">
        <x:v>Deal Created</x:v>
      </x:c>
      <x:c r="O311" s="0"/>
      <x:c r="P311" s="6">
        <x:v>46221</x:v>
      </x:c>
      <x:c r="Q311" s="6">
        <x:v>46231.86093429398</x:v>
      </x:c>
      <x:c r="R311" s="0"/>
      <x:c r="S311" s="0"/>
      <x:c r="T311" s="0"/>
      <x:c r="U311" s="0"/>
      <x:c r="V311" s="0"/>
      <x:c r="W311" s="0"/>
      <x:c r="X311" t="str" s="2">
        <x:v>3466619095</x:v>
      </x:c>
      <x:c r="Y311" t="str" s="2">
        <x:v>yana.sunshine81@gmail.com</x:v>
      </x:c>
      <x:c r="Z311" s="6">
        <x:v>46253.667108912035</x:v>
      </x:c>
      <x:c r="AA311" t="str" s="2">
        <x:v>Angelica Mendoza </x:v>
      </x:c>
      <x:c r="AB311" s="6">
        <x:v>46221.64270123842</x:v>
      </x:c>
      <x:c r="AC311" t="n" s="2">
        <x:v>38592</x:v>
      </x:c>
      <x:c r="AD311" s="0"/>
      <x:c r="AE311" s="0"/>
      <x:c r="AF311" s="0"/>
      <x:c r="AG311" s="0"/>
      <x:c r="AH311" s="0"/>
      <x:c r="AI311" s="0"/>
      <x:c r="AJ311" s="0"/>
      <x:c r="AK311" s="0"/>
    </x:row>
    <x:row r="312">
      <x:c r="A312" t="str" s="2">
        <x:f>=HYPERLINK("https://rsms.futurehomex.com/lead/38593", "Bryce Wardlow")</x:f>
      </x:c>
      <x:c r="B312" t="n" s="2">
        <x:v>87</x:v>
      </x:c>
      <x:c r="C312" t="str" s="2">
        <x:v>0/3</x:v>
      </x:c>
      <x:c r="D312" t="str" s="2">
        <x:f>=""</x:f>
      </x:c>
      <x:c r="E312" s="0"/>
      <x:c r="F312" t="str" s="2">
        <x:v>Walk-in</x:v>
      </x:c>
      <x:c r="G312" t="str" s="2">
        <x:v>Heritage Housing of Oklahoma City</x:v>
      </x:c>
      <x:c r="H312" t="str" s="2">
        <x:v>Steve Castell</x:v>
      </x:c>
      <x:c r="I312" t="str" s="2">
        <x:v>Karol Romero</x:v>
      </x:c>
      <x:c r="J312" t="str" s="2">
        <x:v>Steve Castell</x:v>
      </x:c>
      <x:c r="K312" t="n" s="2">
        <x:v>5</x:v>
      </x:c>
      <x:c r="L312" t="str" s="2">
        <x:v>1.1</x:v>
      </x:c>
      <x:c r="M312" t="str" s="2">
        <x:v>Inactive</x:v>
      </x:c>
      <x:c r="N312" t="str" s="2">
        <x:v>Deal Created</x:v>
      </x:c>
      <x:c r="O312" s="0"/>
      <x:c r="P312" s="6">
        <x:v>46221</x:v>
      </x:c>
      <x:c r="Q312" s="6">
        <x:v>46221.65221693287</x:v>
      </x:c>
      <x:c r="R312" t="str" s="2">
        <x:v>Alejandra Calderon</x:v>
      </x:c>
      <x:c r="S312" s="0"/>
      <x:c r="T312" s="0"/>
      <x:c r="U312" s="0"/>
      <x:c r="V312" s="0"/>
      <x:c r="W312" s="0"/>
      <x:c r="X312" t="str" s="2">
        <x:v>4057121799</x:v>
      </x:c>
      <x:c r="Y312" t="str" s="2">
        <x:v>brycewardlow@gmail.com</x:v>
      </x:c>
      <x:c r="Z312" s="6">
        <x:v>46297.0113184838</x:v>
      </x:c>
      <x:c r="AA312" t="str" s="2">
        <x:v>Steve Castell</x:v>
      </x:c>
      <x:c r="AB312" s="6">
        <x:v>46296.96144675926</x:v>
      </x:c>
      <x:c r="AC312" t="n" s="2">
        <x:v>38593</x:v>
      </x:c>
      <x:c r="AD312" s="0"/>
      <x:c r="AE312" s="0"/>
      <x:c r="AF312" s="0"/>
      <x:c r="AG312" s="0"/>
      <x:c r="AH312" s="0"/>
      <x:c r="AI312" s="0"/>
      <x:c r="AJ312" s="0"/>
      <x:c r="AK312" s="0"/>
    </x:row>
    <x:row r="313">
      <x:c r="A313" t="str" s="2">
        <x:f>=HYPERLINK("https://rsms.futurehomex.com/lead/38594", "Haley Gregory")</x:f>
      </x:c>
      <x:c r="B313" t="n" s="2">
        <x:v>87</x:v>
      </x:c>
      <x:c r="C313" t="str" s="2">
        <x:v/>
      </x:c>
      <x:c r="D313" t="str" s="2">
        <x:f>=""</x:f>
      </x:c>
      <x:c r="E313" s="0"/>
      <x:c r="F313" t="str" s="2">
        <x:v>Meta Marketplace</x:v>
      </x:c>
      <x:c r="G313" t="str" s="2">
        <x:v>Heritage Housing of Asheboro</x:v>
      </x:c>
      <x:c r="H313" t="str" s="2">
        <x:v>Maria Lopez</x:v>
      </x:c>
      <x:c r="I313" s="0"/>
      <x:c r="J313" s="0"/>
      <x:c r="K313" t="n" s="2">
        <x:v>21</x:v>
      </x:c>
      <x:c r="L313" t="str" s="2">
        <x:v>2.1</x:v>
      </x:c>
      <x:c r="M313" t="str" s="2">
        <x:v>Tentative</x:v>
      </x:c>
      <x:c r="N313" t="str" s="2">
        <x:v>Qualified</x:v>
      </x:c>
      <x:c r="O313" s="0"/>
      <x:c r="P313" s="6">
        <x:v>46221</x:v>
      </x:c>
      <x:c r="Q313" s="6">
        <x:v>46238.70739278935</x:v>
      </x:c>
      <x:c r="R313" s="0"/>
      <x:c r="S313" s="6">
        <x:v>46221</x:v>
      </x:c>
      <x:c r="T313" s="0"/>
      <x:c r="U313" s="0"/>
      <x:c r="V313" s="0"/>
      <x:c r="W313" s="0"/>
      <x:c r="X313" t="str" s="2">
        <x:v>9803651019</x:v>
      </x:c>
      <x:c r="Y313" t="str" s="2">
        <x:v>haleygregory2019@yahoo.com</x:v>
      </x:c>
      <x:c r="Z313" s="6">
        <x:v>46238.70737974537</x:v>
      </x:c>
      <x:c r="AA313" t="str" s="2">
        <x:v>Jeremy Jacques</x:v>
      </x:c>
      <x:c r="AB313" s="6">
        <x:v>46221.66540752315</x:v>
      </x:c>
      <x:c r="AC313" t="n" s="2">
        <x:v>38594</x:v>
      </x:c>
      <x:c r="AD313" s="0"/>
      <x:c r="AE313" s="0"/>
      <x:c r="AF313" s="0"/>
      <x:c r="AG313" s="0"/>
      <x:c r="AH313" s="0"/>
      <x:c r="AI313" s="0"/>
      <x:c r="AJ313" s="0"/>
      <x:c r="AK313" s="0"/>
    </x:row>
    <x:row r="314">
      <x:c r="A314" t="str" s="2">
        <x:f>=HYPERLINK("https://rsms.futurehomex.com/lead/38595", "Rosa Bailon")</x:f>
      </x:c>
      <x:c r="B314" t="n" s="2">
        <x:v>87</x:v>
      </x:c>
      <x:c r="C314" t="str" s="2">
        <x:v/>
      </x:c>
      <x:c r="D314" t="str" s="2">
        <x:f>=""</x:f>
      </x:c>
      <x:c r="E314" s="0"/>
      <x:c r="F314" t="str" s="2">
        <x:v>Facebook Messenger</x:v>
      </x:c>
      <x:c r="G314" t="str" s="2">
        <x:v>Heritage Housing of Greenville</x:v>
      </x:c>
      <x:c r="H314" t="str" s="2">
        <x:v>Oscar Osorio</x:v>
      </x:c>
      <x:c r="I314" s="0"/>
      <x:c r="J314" t="str" s="2">
        <x:v>Oscar Osorio</x:v>
      </x:c>
      <x:c r="K314" t="n" s="2">
        <x:v>21</x:v>
      </x:c>
      <x:c r="L314" t="str" s="2">
        <x:v>2.1</x:v>
      </x:c>
      <x:c r="M314" t="str" s="2">
        <x:v>Active</x:v>
      </x:c>
      <x:c r="N314" t="str" s="2">
        <x:v>Qualified</x:v>
      </x:c>
      <x:c r="O314" s="0"/>
      <x:c r="P314" s="6">
        <x:v>46221</x:v>
      </x:c>
      <x:c r="Q314" s="6">
        <x:v>46223.71037056713</x:v>
      </x:c>
      <x:c r="R314" s="0"/>
      <x:c r="S314" s="6">
        <x:v>46220</x:v>
      </x:c>
      <x:c r="T314" s="6">
        <x:v>46220</x:v>
      </x:c>
      <x:c r="U314" s="0"/>
      <x:c r="V314" s="0"/>
      <x:c r="W314" s="0"/>
      <x:c r="X314" t="str" s="2">
        <x:v>4696595254</x:v>
      </x:c>
      <x:c r="Y314" t="str" s="2">
        <x:v>Rosabailon844@yahoo.com</x:v>
      </x:c>
      <x:c r="Z314" s="6">
        <x:v>46223.71021200231</x:v>
      </x:c>
      <x:c r="AA314" t="str" s="2">
        <x:v>Brandie Sartor</x:v>
      </x:c>
      <x:c r="AB314" s="6">
        <x:v>46221.67872372685</x:v>
      </x:c>
      <x:c r="AC314" t="n" s="2">
        <x:v>38595</x:v>
      </x:c>
      <x:c r="AD314" s="0"/>
      <x:c r="AE314" s="0"/>
      <x:c r="AF314" s="0"/>
      <x:c r="AG314" s="7">
        <x:v>15000</x:v>
      </x:c>
      <x:c r="AH314" s="0"/>
      <x:c r="AI314" s="0"/>
      <x:c r="AJ314" s="0"/>
      <x:c r="AK314" s="0"/>
    </x:row>
    <x:row r="315">
      <x:c r="A315" t="str" s="2">
        <x:f>=HYPERLINK("https://rsms.futurehomex.com/lead/38597", "Demetrius Harmon")</x:f>
      </x:c>
      <x:c r="B315" t="n" s="2">
        <x:v>87</x:v>
      </x:c>
      <x:c r="C315" t="str" s="2">
        <x:v/>
      </x:c>
      <x:c r="D315" t="str" s="2">
        <x:f>=""</x:f>
      </x:c>
      <x:c r="E315" s="0"/>
      <x:c r="F315" t="str" s="2">
        <x:v>Walk-in</x:v>
      </x:c>
      <x:c r="G315" t="str" s="2">
        <x:v>Heritage Housing of Asheboro</x:v>
      </x:c>
      <x:c r="H315" t="str" s="2">
        <x:v>Maria Lopez</x:v>
      </x:c>
      <x:c r="I315" t="str" s="2">
        <x:v>Karol Romero</x:v>
      </x:c>
      <x:c r="J315" t="str" s="2">
        <x:v>Maria Lopez</x:v>
      </x:c>
      <x:c r="K315" t="n" s="2">
        <x:v>21</x:v>
      </x:c>
      <x:c r="L315" t="str" s="2">
        <x:v>2.1</x:v>
      </x:c>
      <x:c r="M315" t="str" s="2">
        <x:v>Tentative</x:v>
      </x:c>
      <x:c r="N315" t="str" s="2">
        <x:v>Qualified</x:v>
      </x:c>
      <x:c r="O315" s="0"/>
      <x:c r="P315" s="6">
        <x:v>46221</x:v>
      </x:c>
      <x:c r="Q315" s="6">
        <x:v>46249.64558480324</x:v>
      </x:c>
      <x:c r="R315" s="0"/>
      <x:c r="S315" s="6">
        <x:v>46221</x:v>
      </x:c>
      <x:c r="T315" s="0"/>
      <x:c r="U315" s="0"/>
      <x:c r="V315" s="0"/>
      <x:c r="W315" s="0"/>
      <x:c r="X315" t="str" s="2">
        <x:v>6892458554</x:v>
      </x:c>
      <x:c r="Y315" t="str" s="2">
        <x:v>harmondemetrius@gmail.com</x:v>
      </x:c>
      <x:c r="Z315" s="6">
        <x:v>46249.64557071759</x:v>
      </x:c>
      <x:c r="AA315" t="str" s="2">
        <x:v>Jeremy Jacques</x:v>
      </x:c>
      <x:c r="AB315" s="6">
        <x:v>46221.718135648145</x:v>
      </x:c>
      <x:c r="AC315" t="n" s="2">
        <x:v>38597</x:v>
      </x:c>
      <x:c r="AD315" s="0"/>
      <x:c r="AE315" s="0"/>
      <x:c r="AF315" s="0"/>
      <x:c r="AG315" s="0"/>
      <x:c r="AH315" s="0"/>
      <x:c r="AI315" s="0"/>
      <x:c r="AJ315" s="0"/>
      <x:c r="AK315" s="0"/>
    </x:row>
    <x:row r="316">
      <x:c r="A316" t="str" s="2">
        <x:f>=HYPERLINK("https://rsms.futurehomex.com/lead/38598", "Tessa Tollett")</x:f>
      </x:c>
      <x:c r="B316" t="n" s="2">
        <x:v>87</x:v>
      </x:c>
      <x:c r="C316" t="str" s="2">
        <x:v>0/3</x:v>
      </x:c>
      <x:c r="D316" t="str" s="2">
        <x:f>=""</x:f>
      </x:c>
      <x:c r="E316" s="0"/>
      <x:c r="F316" t="str" s="2">
        <x:v>Facebook Messenger</x:v>
      </x:c>
      <x:c r="G316" t="str" s="2">
        <x:v>Heritage Housing of Oklahoma City</x:v>
      </x:c>
      <x:c r="H316" t="str" s="2">
        <x:v>Steve Castell</x:v>
      </x:c>
      <x:c r="I316" s="0"/>
      <x:c r="J316" t="str" s="2">
        <x:v>Steve Castell</x:v>
      </x:c>
      <x:c r="K316" t="n" s="2">
        <x:v>5</x:v>
      </x:c>
      <x:c r="L316" t="str" s="2">
        <x:v>1.1</x:v>
      </x:c>
      <x:c r="M316" t="str" s="2">
        <x:v>Dead</x:v>
      </x:c>
      <x:c r="N316" t="str" s="2">
        <x:v>Deal Created</x:v>
      </x:c>
      <x:c r="O316" s="0"/>
      <x:c r="P316" s="6">
        <x:v>46221</x:v>
      </x:c>
      <x:c r="Q316" s="6">
        <x:v>46221.72472048611</x:v>
      </x:c>
      <x:c r="R316" s="0"/>
      <x:c r="S316" s="0"/>
      <x:c r="T316" s="0"/>
      <x:c r="U316" s="0"/>
      <x:c r="V316" s="0"/>
      <x:c r="W316" s="0"/>
      <x:c r="X316" t="str" s="2">
        <x:v>8702790484</x:v>
      </x:c>
      <x:c r="Y316" t="str" s="2">
        <x:v>8702790484</x:v>
      </x:c>
      <x:c r="Z316" s="6">
        <x:v>46238.978755752316</x:v>
      </x:c>
      <x:c r="AA316" t="str" s="2">
        <x:v>Steve Castell</x:v>
      </x:c>
      <x:c r="AB316" s="6">
        <x:v>46221.724722025465</x:v>
      </x:c>
      <x:c r="AC316" t="n" s="2">
        <x:v>38598</x:v>
      </x:c>
      <x:c r="AD316" s="0"/>
      <x:c r="AE316" s="0"/>
      <x:c r="AF316" s="0"/>
      <x:c r="AG316" s="0"/>
      <x:c r="AH316" s="0"/>
      <x:c r="AI316" s="0"/>
      <x:c r="AJ316" s="0"/>
      <x:c r="AK316" s="0"/>
    </x:row>
    <x:row r="317">
      <x:c r="A317" t="str" s="2">
        <x:f>=HYPERLINK("https://rsms.futurehomex.com/lead/38599", "David Booker")</x:f>
      </x:c>
      <x:c r="B317" t="n" s="2">
        <x:v>87</x:v>
      </x:c>
      <x:c r="C317" t="str" s="2">
        <x:v>0/3</x:v>
      </x:c>
      <x:c r="D317" t="str" s="2">
        <x:f>=""</x:f>
      </x:c>
      <x:c r="E317" s="0"/>
      <x:c r="F317" t="str" s="2">
        <x:v>Meta Marketplace</x:v>
      </x:c>
      <x:c r="G317" t="str" s="2">
        <x:v>Heritage Housing of Minden</x:v>
      </x:c>
      <x:c r="H317" t="str" s="2">
        <x:v>Patrick Schuchart</x:v>
      </x:c>
      <x:c r="I317" t="str" s="2">
        <x:v>Karol Romero</x:v>
      </x:c>
      <x:c r="J317" t="str" s="2">
        <x:v>Patrick Schuchart</x:v>
      </x:c>
      <x:c r="K317" t="n" s="2">
        <x:v>9</x:v>
      </x:c>
      <x:c r="L317" t="str" s="2">
        <x:v>1.2</x:v>
      </x:c>
      <x:c r="M317" t="str" s="2">
        <x:v>Inactive</x:v>
      </x:c>
      <x:c r="N317" t="str" s="2">
        <x:v>Deal Created</x:v>
      </x:c>
      <x:c r="O317" s="0"/>
      <x:c r="P317" s="6">
        <x:v>46221</x:v>
      </x:c>
      <x:c r="Q317" s="6">
        <x:v>46224.69611855324</x:v>
      </x:c>
      <x:c r="R317" s="0"/>
      <x:c r="S317" s="0"/>
      <x:c r="T317" s="0"/>
      <x:c r="U317" s="0"/>
      <x:c r="V317" s="0"/>
      <x:c r="W317" s="0"/>
      <x:c r="X317" t="str" s="2">
        <x:v>3184139057</x:v>
      </x:c>
      <x:c r="Y317" t="str" s="2">
        <x:v>dbooker505@gmail.com</x:v>
      </x:c>
      <x:c r="Z317" s="6">
        <x:v>46294.885343483795</x:v>
      </x:c>
      <x:c r="AA317" t="str" s="2">
        <x:v>Kyla Brown</x:v>
      </x:c>
      <x:c r="AB317" s="6">
        <x:v>46221.72882268519</x:v>
      </x:c>
      <x:c r="AC317" t="n" s="2">
        <x:v>38599</x:v>
      </x:c>
      <x:c r="AD317" s="0"/>
      <x:c r="AE317" s="0"/>
      <x:c r="AF317" s="0"/>
      <x:c r="AG317" s="7">
        <x:v>2000</x:v>
      </x:c>
      <x:c r="AH317" s="0"/>
      <x:c r="AI317" t="str" s="2" xml:space="preserve">
        <x:v>595 </x:v>
      </x:c>
      <x:c r="AJ317" s="0"/>
      <x:c r="AK317" s="0"/>
    </x:row>
    <x:row r="318">
      <x:c r="A318" t="str" s="2">
        <x:f>=HYPERLINK("https://rsms.futurehomex.com/lead/38601", "Jaheim Simon")</x:f>
      </x:c>
      <x:c r="B318" t="n" s="2">
        <x:v>87</x:v>
      </x:c>
      <x:c r="C318" t="str" s="2">
        <x:v/>
      </x:c>
      <x:c r="D318" t="str" s="2">
        <x:f>="CASH"</x:f>
      </x:c>
      <x:c r="E318" t="str" s="2">
        <x:v>Destiny Faith Simon</x:v>
      </x:c>
      <x:c r="F318" t="str" s="2">
        <x:v>Walk-in</x:v>
      </x:c>
      <x:c r="G318" t="str" s="2">
        <x:v>Heritage Housing of Jennings</x:v>
      </x:c>
      <x:c r="H318" t="str" s="2">
        <x:v>Marty Fontenot</x:v>
      </x:c>
      <x:c r="I318" s="0"/>
      <x:c r="J318" s="0"/>
      <x:c r="K318" t="n" s="2">
        <x:v>100</x:v>
      </x:c>
      <x:c r="L318" t="str" s="2">
        <x:v>6.2</x:v>
      </x:c>
      <x:c r="M318" t="str" s="2">
        <x:v>Closed</x:v>
      </x:c>
      <x:c r="N318" t="str" s="2">
        <x:v>Delivered</x:v>
      </x:c>
      <x:c r="O318" s="6">
        <x:v>46225</x:v>
      </x:c>
      <x:c r="P318" s="6">
        <x:v>46221</x:v>
      </x:c>
      <x:c r="Q318" s="6">
        <x:v>46240.82522947917</x:v>
      </x:c>
      <x:c r="R318" s="0"/>
      <x:c r="S318" s="6">
        <x:v>46228</x:v>
      </x:c>
      <x:c r="T318" s="6">
        <x:v>46230</x:v>
      </x:c>
      <x:c r="U318" s="6">
        <x:v>46225</x:v>
      </x:c>
      <x:c r="V318" s="6">
        <x:v>46225</x:v>
      </x:c>
      <x:c r="W318" s="6">
        <x:v>46228</x:v>
      </x:c>
      <x:c r="X318" t="str" s="2">
        <x:v>3372490148</x:v>
      </x:c>
      <x:c r="Y318" t="str" s="2">
        <x:v>jaheimsimon51@gmail.com</x:v>
      </x:c>
      <x:c r="Z318" s="6">
        <x:v>46227.95415868056</x:v>
      </x:c>
      <x:c r="AA318" t="str" s="2">
        <x:v>Tina Dallas</x:v>
      </x:c>
      <x:c r="AB318" s="6">
        <x:v>46221.75631315972</x:v>
      </x:c>
      <x:c r="AC318" t="n" s="2">
        <x:v>38601</x:v>
      </x:c>
      <x:c r="AD318" t="str" s="2">
        <x:v>Doublewide</x:v>
      </x:c>
      <x:c r="AE318" s="0"/>
      <x:c r="AF318" s="7">
        <x:v>119080.51</x:v>
      </x:c>
      <x:c r="AG318" s="7">
        <x:v>119580.51</x:v>
      </x:c>
      <x:c r="AH318" s="7">
        <x:v>119580.51</x:v>
      </x:c>
      <x:c r="AI318" s="0"/>
      <x:c r="AJ318" s="0"/>
      <x:c r="AK318" t="str" s="6">
        <x:v>2026-07-24</x:v>
      </x:c>
    </x:row>
    <x:row r="319">
      <x:c r="A319" t="str" s="2">
        <x:f>=HYPERLINK("https://rsms.futurehomex.com/lead/38602", "Coby Gaspard")</x:f>
      </x:c>
      <x:c r="B319" t="n" s="2">
        <x:v>87</x:v>
      </x:c>
      <x:c r="C319" t="str" s="2">
        <x:v>0/1</x:v>
      </x:c>
      <x:c r="D319" t="str" s="2">
        <x:f>=""</x:f>
      </x:c>
      <x:c r="E319" s="0"/>
      <x:c r="F319" t="str" s="2">
        <x:v>Walk-in</x:v>
      </x:c>
      <x:c r="G319" t="str" s="2">
        <x:v>Heritage Housing of Jennings</x:v>
      </x:c>
      <x:c r="H319" t="str" s="2">
        <x:v>Mervin Leslie Smith</x:v>
      </x:c>
      <x:c r="I319" s="0"/>
      <x:c r="J319" s="0"/>
      <x:c r="K319" t="n" s="2">
        <x:v>38</x:v>
      </x:c>
      <x:c r="L319" t="str" s="2">
        <x:v>3.2</x:v>
      </x:c>
      <x:c r="M319" t="str" s="2">
        <x:v>Dead</x:v>
      </x:c>
      <x:c r="N319" t="str" s="2">
        <x:v>Application</x:v>
      </x:c>
      <x:c r="O319" s="0"/>
      <x:c r="P319" s="6">
        <x:v>46221</x:v>
      </x:c>
      <x:c r="Q319" s="6">
        <x:v>46280.68655755787</x:v>
      </x:c>
      <x:c r="R319" s="0"/>
      <x:c r="S319" s="6">
        <x:v>46221</x:v>
      </x:c>
      <x:c r="T319" s="6">
        <x:v>46228</x:v>
      </x:c>
      <x:c r="U319" s="0"/>
      <x:c r="V319" s="0"/>
      <x:c r="W319" s="0"/>
      <x:c r="X319" t="str" s="2">
        <x:v>3374006290</x:v>
      </x:c>
      <x:c r="Y319" t="str" s="2">
        <x:v>gaspardcoby1@gmail.com</x:v>
      </x:c>
      <x:c r="Z319" s="6">
        <x:v>46280.687727083336</x:v>
      </x:c>
      <x:c r="AA319" t="str" s="2">
        <x:v>Mervin Leslie Smith</x:v>
      </x:c>
      <x:c r="AB319" s="6">
        <x:v>46221.75654702546</x:v>
      </x:c>
      <x:c r="AC319" t="n" s="2">
        <x:v>38602</x:v>
      </x:c>
      <x:c r="AD319" t="str" s="2">
        <x:v>Singlewide</x:v>
      </x:c>
      <x:c r="AE319" t="str" s="2">
        <x:v>Legacy Housing Corporation</x:v>
      </x:c>
      <x:c r="AF319" s="7">
        <x:v>11492</x:v>
      </x:c>
      <x:c r="AG319" s="7">
        <x:v>11492</x:v>
      </x:c>
      <x:c r="AH319" s="0"/>
      <x:c r="AI319" s="0"/>
      <x:c r="AJ319" s="0"/>
      <x:c r="AK319" s="0"/>
    </x:row>
    <x:row r="320">
      <x:c r="A320" t="str" s="2">
        <x:f>=HYPERLINK("https://rsms.futurehomex.com/lead/38603", "Rylinn Staffort")</x:f>
      </x:c>
      <x:c r="B320" t="n" s="2">
        <x:v>87</x:v>
      </x:c>
      <x:c r="C320" t="str" s="2">
        <x:v>1/1</x:v>
      </x:c>
      <x:c r="D320" t="str" s="2">
        <x:f>=""</x:f>
      </x:c>
      <x:c r="E320" s="0"/>
      <x:c r="F320" t="str" s="2">
        <x:v>Facebook Messenger</x:v>
      </x:c>
      <x:c r="G320" t="str" s="2">
        <x:v>Heritage Housing of Oklahoma City</x:v>
      </x:c>
      <x:c r="H320" t="str" s="2">
        <x:v>Eva Misheva</x:v>
      </x:c>
      <x:c r="I320" s="0"/>
      <x:c r="J320" s="0"/>
      <x:c r="K320" t="n" s="2">
        <x:v>5</x:v>
      </x:c>
      <x:c r="L320" t="str" s="2">
        <x:v>1.1</x:v>
      </x:c>
      <x:c r="M320" t="str" s="2">
        <x:v>Tentative</x:v>
      </x:c>
      <x:c r="N320" t="str" s="2">
        <x:v>Prospect</x:v>
      </x:c>
      <x:c r="O320" s="0"/>
      <x:c r="P320" s="6">
        <x:v>46221</x:v>
      </x:c>
      <x:c r="Q320" s="6">
        <x:v>46221.76409826389</x:v>
      </x:c>
      <x:c r="R320" s="0"/>
      <x:c r="S320" s="6">
        <x:v>46221</x:v>
      </x:c>
      <x:c r="T320" s="0"/>
      <x:c r="U320" s="0"/>
      <x:c r="V320" s="0"/>
      <x:c r="W320" s="0"/>
      <x:c r="X320" t="str" s="2">
        <x:v>4056549371</x:v>
      </x:c>
      <x:c r="Y320" t="str" s="2">
        <x:v>RylinnmStaffort@yahoo.com</x:v>
      </x:c>
      <x:c r="Z320" s="6">
        <x:v>46263.78914918981</x:v>
      </x:c>
      <x:c r="AA320" t="str" s="2">
        <x:v>Eva Misheva</x:v>
      </x:c>
      <x:c r="AB320" s="6">
        <x:v>46221.76409991898</x:v>
      </x:c>
      <x:c r="AC320" t="n" s="2">
        <x:v>38603</x:v>
      </x:c>
      <x:c r="AD320" s="0"/>
      <x:c r="AE320" s="0"/>
      <x:c r="AF320" s="0"/>
      <x:c r="AG320" s="0"/>
      <x:c r="AH320" s="0"/>
      <x:c r="AI320" s="0"/>
      <x:c r="AJ320" s="0"/>
      <x:c r="AK320" s="0"/>
    </x:row>
    <x:row r="321">
      <x:c r="A321" t="str" s="2">
        <x:f>=HYPERLINK("https://rsms.futurehomex.com/lead/38604", "Justyn Wintters")</x:f>
      </x:c>
      <x:c r="B321" t="n" s="2">
        <x:v>87</x:v>
      </x:c>
      <x:c r="C321" t="str" s="2">
        <x:v>0/4</x:v>
      </x:c>
      <x:c r="D321" t="str" s="2">
        <x:f>=""</x:f>
      </x:c>
      <x:c r="E321" s="0"/>
      <x:c r="F321" t="str" s="2">
        <x:v>Facebook Messenger</x:v>
      </x:c>
      <x:c r="G321" t="str" s="2">
        <x:v>Heritage Housing Mt Pleasant</x:v>
      </x:c>
      <x:c r="H321" t="str" s="2">
        <x:v>Yarelis Torres</x:v>
      </x:c>
      <x:c r="I321" s="0"/>
      <x:c r="J321" t="str" s="2">
        <x:v>Yarelis Torres</x:v>
      </x:c>
      <x:c r="K321" t="n" s="2">
        <x:v>100</x:v>
      </x:c>
      <x:c r="L321" t="str" s="2">
        <x:v>6.2</x:v>
      </x:c>
      <x:c r="M321" t="str" s="2">
        <x:v>Closed</x:v>
      </x:c>
      <x:c r="N321" t="str" s="2">
        <x:v>Delivered</x:v>
      </x:c>
      <x:c r="O321" s="6">
        <x:v>46227</x:v>
      </x:c>
      <x:c r="P321" s="6">
        <x:v>46221</x:v>
      </x:c>
      <x:c r="Q321" s="6">
        <x:v>46237.685123379626</x:v>
      </x:c>
      <x:c r="R321" s="0"/>
      <x:c r="S321" s="6">
        <x:v>46214</x:v>
      </x:c>
      <x:c r="T321" s="6">
        <x:v>46214</x:v>
      </x:c>
      <x:c r="U321" s="6">
        <x:v>46224</x:v>
      </x:c>
      <x:c r="V321" s="6">
        <x:v>46224</x:v>
      </x:c>
      <x:c r="W321" s="6">
        <x:v>46230</x:v>
      </x:c>
      <x:c r="X321" t="str" s="2">
        <x:v>9038416911</x:v>
      </x:c>
      <x:c r="Y321" t="str" s="2">
        <x:v>jwintters10@gmail.com</x:v>
      </x:c>
      <x:c r="Z321" s="6">
        <x:v>46227.82219236111</x:v>
      </x:c>
      <x:c r="AA321" t="str" s="2">
        <x:v>Kristin Breedlove</x:v>
      </x:c>
      <x:c r="AB321" s="6">
        <x:v>46221.7754190625</x:v>
      </x:c>
      <x:c r="AC321" t="n" s="2">
        <x:v>38604</x:v>
      </x:c>
      <x:c r="AD321" t="str" s="2">
        <x:v>Singlewide</x:v>
      </x:c>
      <x:c r="AE321" t="str" s="2">
        <x:v>Legacy Housing Corporation</x:v>
      </x:c>
      <x:c r="AF321" s="7">
        <x:v>8748.5</x:v>
      </x:c>
      <x:c r="AG321" s="7">
        <x:v>8748.5</x:v>
      </x:c>
      <x:c r="AH321" s="7">
        <x:v>8748</x:v>
      </x:c>
      <x:c r="AI321" s="0"/>
      <x:c r="AJ321" s="0"/>
      <x:c r="AK321" s="0"/>
    </x:row>
    <x:row r="322">
      <x:c r="A322" t="str" s="2">
        <x:f>=HYPERLINK("https://rsms.futurehomex.com/lead/38605", "Alondan Turner")</x:f>
      </x:c>
      <x:c r="B322" t="n" s="2">
        <x:v>87</x:v>
      </x:c>
      <x:c r="C322" t="str" s="2">
        <x:v/>
      </x:c>
      <x:c r="D322" t="str" s="2">
        <x:f>=""</x:f>
      </x:c>
      <x:c r="E322" s="0"/>
      <x:c r="F322" t="str" s="2">
        <x:v>Walk-in</x:v>
      </x:c>
      <x:c r="G322" t="str" s="2">
        <x:v>Heritage Housing of Asheboro</x:v>
      </x:c>
      <x:c r="H322" t="str" s="2">
        <x:v>Maria Lopez</x:v>
      </x:c>
      <x:c r="I322" s="0"/>
      <x:c r="J322" s="0"/>
      <x:c r="K322" t="n" s="2">
        <x:v>21</x:v>
      </x:c>
      <x:c r="L322" t="str" s="2">
        <x:v>2.1</x:v>
      </x:c>
      <x:c r="M322" t="str" s="2">
        <x:v>Tentative</x:v>
      </x:c>
      <x:c r="N322" t="str" s="2">
        <x:v>Qualified</x:v>
      </x:c>
      <x:c r="O322" s="0"/>
      <x:c r="P322" s="6">
        <x:v>46221</x:v>
      </x:c>
      <x:c r="Q322" s="6">
        <x:v>46249.646117627315</x:v>
      </x:c>
      <x:c r="R322" s="0"/>
      <x:c r="S322" s="0"/>
      <x:c r="T322" s="0"/>
      <x:c r="U322" s="0"/>
      <x:c r="V322" s="0"/>
      <x:c r="W322" s="0"/>
      <x:c r="X322" t="str" s="2">
        <x:v>2057174089</x:v>
      </x:c>
      <x:c r="Y322" t="str" s="2">
        <x:v>angelturner@windstream.net</x:v>
      </x:c>
      <x:c r="Z322" s="6">
        <x:v>46249.646105706015</x:v>
      </x:c>
      <x:c r="AA322" t="str" s="2">
        <x:v>Jeremy Jacques</x:v>
      </x:c>
      <x:c r="AB322" s="6">
        <x:v>46221.78453938657</x:v>
      </x:c>
      <x:c r="AC322" t="n" s="2">
        <x:v>38605</x:v>
      </x:c>
      <x:c r="AD322" s="0"/>
      <x:c r="AE322" s="0"/>
      <x:c r="AF322" s="0"/>
      <x:c r="AG322" s="0"/>
      <x:c r="AH322" s="0"/>
      <x:c r="AI322" s="0"/>
      <x:c r="AJ322" s="0"/>
      <x:c r="AK322" s="0"/>
    </x:row>
    <x:row r="323">
      <x:c r="A323" t="str" s="2">
        <x:f>=HYPERLINK("https://rsms.futurehomex.com/lead/38606", "Noah Maynard")</x:f>
      </x:c>
      <x:c r="B323" t="n" s="2">
        <x:v>87</x:v>
      </x:c>
      <x:c r="C323" t="str" s="2">
        <x:v/>
      </x:c>
      <x:c r="D323" t="str" s="2">
        <x:f>=""</x:f>
      </x:c>
      <x:c r="E323" s="0"/>
      <x:c r="F323" t="str" s="2">
        <x:v>Walk-in</x:v>
      </x:c>
      <x:c r="G323" t="str" s="2">
        <x:v>Heritage Housing of Asheboro</x:v>
      </x:c>
      <x:c r="H323" t="str" s="2">
        <x:v>Maria Lopez</x:v>
      </x:c>
      <x:c r="I323" s="0"/>
      <x:c r="J323" s="0"/>
      <x:c r="K323" t="n" s="2">
        <x:v>21</x:v>
      </x:c>
      <x:c r="L323" t="str" s="2">
        <x:v>2.1</x:v>
      </x:c>
      <x:c r="M323" t="str" s="2">
        <x:v>Tentative</x:v>
      </x:c>
      <x:c r="N323" t="str" s="2">
        <x:v>Qualified</x:v>
      </x:c>
      <x:c r="O323" s="0"/>
      <x:c r="P323" s="6">
        <x:v>46221</x:v>
      </x:c>
      <x:c r="Q323" s="6">
        <x:v>46249.64516820602</x:v>
      </x:c>
      <x:c r="R323" s="0"/>
      <x:c r="S323" s="0"/>
      <x:c r="T323" s="0"/>
      <x:c r="U323" s="0"/>
      <x:c r="V323" s="0"/>
      <x:c r="W323" s="0"/>
      <x:c r="X323" t="str" s="2">
        <x:v>7432062087</x:v>
      </x:c>
      <x:c r="Y323" t="str" s="2">
        <x:v>maynardwv1@gmail.com</x:v>
      </x:c>
      <x:c r="Z323" s="6">
        <x:v>46270.644228703706</x:v>
      </x:c>
      <x:c r="AA323" t="str" s="2">
        <x:v>Maria Lopez</x:v>
      </x:c>
      <x:c r="AB323" s="6">
        <x:v>46221.807169872685</x:v>
      </x:c>
      <x:c r="AC323" t="n" s="2">
        <x:v>38606</x:v>
      </x:c>
      <x:c r="AD323" s="0"/>
      <x:c r="AE323" s="0"/>
      <x:c r="AF323" s="0"/>
      <x:c r="AG323" s="0"/>
      <x:c r="AH323" s="0"/>
      <x:c r="AI323" s="0"/>
      <x:c r="AJ323" s="0"/>
      <x:c r="AK323" s="0"/>
    </x:row>
    <x:row r="324">
      <x:c r="A324" t="str" s="2">
        <x:f>=HYPERLINK("https://rsms.futurehomex.com/lead/38607", "Raven Asas")</x:f>
      </x:c>
      <x:c r="B324" t="n" s="2">
        <x:v>87</x:v>
      </x:c>
      <x:c r="C324" t="str" s="2">
        <x:v/>
      </x:c>
      <x:c r="D324" t="str" s="2">
        <x:f>=""</x:f>
      </x:c>
      <x:c r="E324" s="0"/>
      <x:c r="F324" t="str" s="2">
        <x:v>META Marketplace</x:v>
      </x:c>
      <x:c r="G324" t="str" s="2">
        <x:v>Heritage Housing Mt Pleasant</x:v>
      </x:c>
      <x:c r="H324" t="str" s="2">
        <x:v>Yarelis Torres</x:v>
      </x:c>
      <x:c r="I324" s="0"/>
      <x:c r="J324" t="str" s="2">
        <x:v>Yarelis Torres</x:v>
      </x:c>
      <x:c r="K324" t="n" s="2">
        <x:v>5</x:v>
      </x:c>
      <x:c r="L324" t="str" s="2">
        <x:v>1.1</x:v>
      </x:c>
      <x:c r="M324" t="str" s="2">
        <x:v>Tentative</x:v>
      </x:c>
      <x:c r="N324" t="str" s="2">
        <x:v>Deal Created</x:v>
      </x:c>
      <x:c r="O324" s="0"/>
      <x:c r="P324" s="6">
        <x:v>46221</x:v>
      </x:c>
      <x:c r="Q324" s="6">
        <x:v>46221.80806466435</x:v>
      </x:c>
      <x:c r="R324" s="0"/>
      <x:c r="S324" s="0"/>
      <x:c r="T324" s="0"/>
      <x:c r="U324" s="0"/>
      <x:c r="V324" s="0"/>
      <x:c r="W324" s="0"/>
      <x:c r="X324" t="str" s="2">
        <x:v>9032414740</x:v>
      </x:c>
      <x:c r="Y324" t="str" s="2">
        <x:v>9032414740</x:v>
      </x:c>
      <x:c r="Z324" s="6">
        <x:v>46221.93531079861</x:v>
      </x:c>
      <x:c r="AA324" t="str" s="2">
        <x:v>Yarelis Torres</x:v>
      </x:c>
      <x:c r="AB324" s="6">
        <x:v>46221.80806631944</x:v>
      </x:c>
      <x:c r="AC324" t="n" s="2">
        <x:v>38607</x:v>
      </x:c>
      <x:c r="AD324" s="0"/>
      <x:c r="AE324" s="0"/>
      <x:c r="AF324" s="0"/>
      <x:c r="AG324" s="0"/>
      <x:c r="AH324" s="0"/>
      <x:c r="AI324" s="0"/>
      <x:c r="AJ324" s="0"/>
      <x:c r="AK324" s="0"/>
    </x:row>
    <x:row r="325">
      <x:c r="A325" t="str" s="2">
        <x:f>=HYPERLINK("https://rsms.futurehomex.com/lead/38608", "Andrease Smith")</x:f>
      </x:c>
      <x:c r="B325" t="n" s="2">
        <x:v>87</x:v>
      </x:c>
      <x:c r="C325" t="str" s="2">
        <x:v/>
      </x:c>
      <x:c r="D325" t="str" s="2">
        <x:f>=""</x:f>
      </x:c>
      <x:c r="E325" s="0"/>
      <x:c r="F325" t="str" s="2">
        <x:v>Walk-in</x:v>
      </x:c>
      <x:c r="G325" t="str" s="2">
        <x:v>Heritage Housing of Augusta</x:v>
      </x:c>
      <x:c r="H325" t="str" s="2">
        <x:v>Faye Lively</x:v>
      </x:c>
      <x:c r="I325" s="0"/>
      <x:c r="J325" t="str" s="2">
        <x:v>Faye Lively</x:v>
      </x:c>
      <x:c r="K325" t="n" s="2">
        <x:v>5</x:v>
      </x:c>
      <x:c r="L325" t="str" s="2">
        <x:v>1.1</x:v>
      </x:c>
      <x:c r="M325" t="str" s="2">
        <x:v>Tentative</x:v>
      </x:c>
      <x:c r="N325" t="str" s="2">
        <x:v>Deal Created</x:v>
      </x:c>
      <x:c r="O325" s="0"/>
      <x:c r="P325" s="6">
        <x:v>46221</x:v>
      </x:c>
      <x:c r="Q325" s="6">
        <x:v>46221.813334108796</x:v>
      </x:c>
      <x:c r="R325" s="0"/>
      <x:c r="S325" s="0"/>
      <x:c r="T325" s="0"/>
      <x:c r="U325" s="0"/>
      <x:c r="V325" s="0"/>
      <x:c r="W325" s="0"/>
      <x:c r="X325" t="str" s="2">
        <x:v>7063609602</x:v>
      </x:c>
      <x:c r="Y325" t="str" s="2">
        <x:v>7063609602</x:v>
      </x:c>
      <x:c r="Z325" s="6">
        <x:v>46221.81455358796</x:v>
      </x:c>
      <x:c r="AA325" t="str" s="2">
        <x:v>Kyara Casanova</x:v>
      </x:c>
      <x:c r="AB325" s="6">
        <x:v>46221.81333773148</x:v>
      </x:c>
      <x:c r="AC325" t="n" s="2">
        <x:v>38608</x:v>
      </x:c>
      <x:c r="AD325" s="0"/>
      <x:c r="AE325" s="0"/>
      <x:c r="AF325" s="0"/>
      <x:c r="AG325" s="0"/>
      <x:c r="AH325" s="0"/>
      <x:c r="AI325" s="0"/>
      <x:c r="AJ325" s="0"/>
      <x:c r="AK325" s="0"/>
    </x:row>
    <x:row r="326">
      <x:c r="A326" t="str" s="2">
        <x:f>=HYPERLINK("https://rsms.futurehomex.com/lead/38609", "Irlandy Cuadra Salazar")</x:f>
      </x:c>
      <x:c r="B326" t="n" s="2">
        <x:v>87</x:v>
      </x:c>
      <x:c r="C326" t="str" s="2">
        <x:v>1/18</x:v>
      </x:c>
      <x:c r="D326" t="str" s="2">
        <x:f>=""</x:f>
      </x:c>
      <x:c r="E326" t="str" s="2">
        <x:v>Carolina Cruz Landeros</x:v>
      </x:c>
      <x:c r="F326" t="str" s="2">
        <x:v>Meta Ads - Forms</x:v>
      </x:c>
      <x:c r="G326" t="str" s="2">
        <x:v>Legacy Housing Corp. DBA Americasa</x:v>
      </x:c>
      <x:c r="H326" t="str" s="2">
        <x:v>Joey Marquez</x:v>
      </x:c>
      <x:c r="I326" t="str" s="2">
        <x:v>Karol Romero</x:v>
      </x:c>
      <x:c r="J326" s="0"/>
      <x:c r="K326" t="n" s="2">
        <x:v>59</x:v>
      </x:c>
      <x:c r="L326" t="str" s="2">
        <x:v>4.3</x:v>
      </x:c>
      <x:c r="M326" t="str" s="2">
        <x:v>Inactive</x:v>
      </x:c>
      <x:c r="N326" t="str" s="2">
        <x:v>Loan Approved</x:v>
      </x:c>
      <x:c r="O326" s="0"/>
      <x:c r="P326" s="6">
        <x:v>46221</x:v>
      </x:c>
      <x:c r="Q326" s="6">
        <x:v>46225.70408819444</x:v>
      </x:c>
      <x:c r="R326" s="0"/>
      <x:c r="S326" s="6">
        <x:v>46221</x:v>
      </x:c>
      <x:c r="T326" s="6">
        <x:v>46221</x:v>
      </x:c>
      <x:c r="U326" s="6">
        <x:v>46223</x:v>
      </x:c>
      <x:c r="V326" s="6">
        <x:v>46224</x:v>
      </x:c>
      <x:c r="W326" s="0"/>
      <x:c r="X326" t="str" s="2">
        <x:v>2818180655</x:v>
      </x:c>
      <x:c r="Y326" t="str" s="2">
        <x:v>landycris80@gmail.com</x:v>
      </x:c>
      <x:c r="Z326" s="6">
        <x:v>46305.89201894676</x:v>
      </x:c>
      <x:c r="AA326" t="str" s="2">
        <x:v>Angelica Mendoza </x:v>
      </x:c>
      <x:c r="AB326" s="6">
        <x:v>46221.81476068287</x:v>
      </x:c>
      <x:c r="AC326" t="n" s="2">
        <x:v>38609</x:v>
      </x:c>
      <x:c r="AD326" t="str" s="2">
        <x:v>Doublewide</x:v>
      </x:c>
      <x:c r="AE326" t="str" s="2">
        <x:v>Legacy Housing Corporation</x:v>
      </x:c>
      <x:c r="AF326" s="7">
        <x:v>20500</x:v>
      </x:c>
      <x:c r="AG326" s="7">
        <x:v>13660</x:v>
      </x:c>
      <x:c r="AH326" s="7">
        <x:v>0</x:v>
      </x:c>
      <x:c r="AI326" s="0"/>
      <x:c r="AJ326" s="0"/>
      <x:c r="AK326" s="0"/>
    </x:row>
    <x:row r="327">
      <x:c r="A327" t="str" s="2">
        <x:f>=HYPERLINK("https://rsms.futurehomex.com/lead/38610", "KAYMIL &amp; Isiah Mcpherson")</x:f>
      </x:c>
      <x:c r="B327" t="n" s="2">
        <x:v>87</x:v>
      </x:c>
      <x:c r="C327" t="str" s="2">
        <x:v>1/1</x:v>
      </x:c>
      <x:c r="D327" t="str" s="2">
        <x:f>=""</x:f>
      </x:c>
      <x:c r="E327" s="0"/>
      <x:c r="F327" t="str" s="2">
        <x:v>Walk-in</x:v>
      </x:c>
      <x:c r="G327" t="str" s="2">
        <x:v>Heritage Housing of Oklahoma City</x:v>
      </x:c>
      <x:c r="H327" t="str" s="2">
        <x:v>Eva Misheva</x:v>
      </x:c>
      <x:c r="I327" s="0"/>
      <x:c r="J327" s="0"/>
      <x:c r="K327" t="n" s="2">
        <x:v>5</x:v>
      </x:c>
      <x:c r="L327" t="str" s="2">
        <x:v>1.1</x:v>
      </x:c>
      <x:c r="M327" t="str" s="2">
        <x:v>Tentative</x:v>
      </x:c>
      <x:c r="N327" t="str" s="2">
        <x:v>Prospect</x:v>
      </x:c>
      <x:c r="O327" s="0"/>
      <x:c r="P327" s="6">
        <x:v>46221</x:v>
      </x:c>
      <x:c r="Q327" s="6">
        <x:v>46221.85337295139</x:v>
      </x:c>
      <x:c r="R327" s="0"/>
      <x:c r="S327" s="0"/>
      <x:c r="T327" s="0"/>
      <x:c r="U327" s="0"/>
      <x:c r="V327" s="0"/>
      <x:c r="W327" s="0"/>
      <x:c r="X327" t="str" s="2">
        <x:v>4059866904</x:v>
      </x:c>
      <x:c r="Y327" t="str" s="2">
        <x:v>4059866904</x:v>
      </x:c>
      <x:c r="Z327" s="6">
        <x:v>46229.86398912037</x:v>
      </x:c>
      <x:c r="AA327" t="str" s="2">
        <x:v>Eva Misheva</x:v>
      </x:c>
      <x:c r="AB327" s="6">
        <x:v>46221.85337523148</x:v>
      </x:c>
      <x:c r="AC327" t="n" s="2">
        <x:v>38610</x:v>
      </x:c>
      <x:c r="AD327" s="0"/>
      <x:c r="AE327" s="0"/>
      <x:c r="AF327" s="0"/>
      <x:c r="AG327" s="0"/>
      <x:c r="AH327" s="0"/>
      <x:c r="AI327" s="0"/>
      <x:c r="AJ327" s="0"/>
      <x:c r="AK327" s="0"/>
    </x:row>
    <x:row r="328">
      <x:c r="A328" t="str" s="2">
        <x:f>=HYPERLINK("https://rsms.futurehomex.com/lead/38611", "Julie Kichler")</x:f>
      </x:c>
      <x:c r="B328" t="n" s="2">
        <x:v>87</x:v>
      </x:c>
      <x:c r="C328" t="str" s="2">
        <x:v>0/2</x:v>
      </x:c>
      <x:c r="D328" t="str" s="2">
        <x:f>=""</x:f>
      </x:c>
      <x:c r="E328" s="0"/>
      <x:c r="F328" t="str" s="2">
        <x:v>Facebook Messenger</x:v>
      </x:c>
      <x:c r="G328" t="str" s="2">
        <x:v>Heritage Housing of Oklahoma City</x:v>
      </x:c>
      <x:c r="H328" t="str" s="2">
        <x:v>Steve Castell</x:v>
      </x:c>
      <x:c r="I328" s="0"/>
      <x:c r="J328" t="str" s="2">
        <x:v>Steve Castell</x:v>
      </x:c>
      <x:c r="K328" t="n" s="2">
        <x:v>5</x:v>
      </x:c>
      <x:c r="L328" t="str" s="2">
        <x:v>1.1</x:v>
      </x:c>
      <x:c r="M328" t="str" s="2">
        <x:v>Dead</x:v>
      </x:c>
      <x:c r="N328" t="str" s="2">
        <x:v>Deal Created</x:v>
      </x:c>
      <x:c r="O328" s="0"/>
      <x:c r="P328" s="6">
        <x:v>46221</x:v>
      </x:c>
      <x:c r="Q328" s="6">
        <x:v>46221.914614733796</x:v>
      </x:c>
      <x:c r="R328" s="0"/>
      <x:c r="S328" s="0"/>
      <x:c r="T328" s="0"/>
      <x:c r="U328" s="0"/>
      <x:c r="V328" s="0"/>
      <x:c r="W328" s="0"/>
      <x:c r="X328" t="str" s="2">
        <x:v>6207048015</x:v>
      </x:c>
      <x:c r="Y328" t="str" s="2">
        <x:v>julie_kilcher1988@yahoo.com</x:v>
      </x:c>
      <x:c r="Z328" s="6">
        <x:v>46287.937806284725</x:v>
      </x:c>
      <x:c r="AA328" t="str" s="2">
        <x:v>Steve Castell</x:v>
      </x:c>
      <x:c r="AB328" s="6">
        <x:v>46221.86185501157</x:v>
      </x:c>
      <x:c r="AC328" t="n" s="2">
        <x:v>38611</x:v>
      </x:c>
      <x:c r="AD328" s="0"/>
      <x:c r="AE328" s="0"/>
      <x:c r="AF328" s="0"/>
      <x:c r="AG328" s="0"/>
      <x:c r="AH328" s="0"/>
      <x:c r="AI328" s="0"/>
      <x:c r="AJ328" s="0"/>
      <x:c r="AK328" s="0"/>
    </x:row>
    <x:row r="329">
      <x:c r="A329" t="str" s="2">
        <x:f>=HYPERLINK("https://rsms.futurehomex.com/lead/38612", "Kiley Self")</x:f>
      </x:c>
      <x:c r="B329" t="n" s="2">
        <x:v>87</x:v>
      </x:c>
      <x:c r="C329" t="str" s="2">
        <x:v>0/3</x:v>
      </x:c>
      <x:c r="D329" t="str" s="2">
        <x:f>=""</x:f>
      </x:c>
      <x:c r="E329" s="0"/>
      <x:c r="F329" t="str" s="2">
        <x:v>Meta Ads - Forms</x:v>
      </x:c>
      <x:c r="G329" t="str" s="2">
        <x:v>Heritage Housing of Oklahoma City</x:v>
      </x:c>
      <x:c r="H329" t="str" s="2">
        <x:v>Steve Castell</x:v>
      </x:c>
      <x:c r="I329" s="0"/>
      <x:c r="J329" s="0"/>
      <x:c r="K329" t="n" s="2">
        <x:v>5</x:v>
      </x:c>
      <x:c r="L329" t="str" s="2">
        <x:v>1.1</x:v>
      </x:c>
      <x:c r="M329" t="str" s="2">
        <x:v>Inactive</x:v>
      </x:c>
      <x:c r="N329" t="str" s="2">
        <x:v>Prospect</x:v>
      </x:c>
      <x:c r="O329" s="0"/>
      <x:c r="P329" s="6">
        <x:v>46221</x:v>
      </x:c>
      <x:c r="Q329" s="6">
        <x:v>46221.875645949076</x:v>
      </x:c>
      <x:c r="R329" s="0"/>
      <x:c r="S329" s="0"/>
      <x:c r="T329" s="0"/>
      <x:c r="U329" s="0"/>
      <x:c r="V329" s="0"/>
      <x:c r="W329" s="0"/>
      <x:c r="X329" t="str" s="2">
        <x:v>9183976691</x:v>
      </x:c>
      <x:c r="Y329" t="str" s="2">
        <x:v>k_ylove07@icloud.com</x:v>
      </x:c>
      <x:c r="Z329" s="6">
        <x:v>46235.98914664352</x:v>
      </x:c>
      <x:c r="AA329" t="str" s="2">
        <x:v>Steve Castell</x:v>
      </x:c>
      <x:c r="AB329" s="6">
        <x:v>46221.87564695602</x:v>
      </x:c>
      <x:c r="AC329" t="n" s="2">
        <x:v>38612</x:v>
      </x:c>
      <x:c r="AD329" s="0"/>
      <x:c r="AE329" s="0"/>
      <x:c r="AF329" s="0"/>
      <x:c r="AG329" s="0"/>
      <x:c r="AH329" s="0"/>
      <x:c r="AI329" s="0"/>
      <x:c r="AJ329" s="0"/>
      <x:c r="AK329" s="0"/>
    </x:row>
    <x:row r="330">
      <x:c r="A330" t="str" s="2">
        <x:f>=HYPERLINK("https://rsms.futurehomex.com/lead/38613", "Brandon Breaux")</x:f>
      </x:c>
      <x:c r="B330" t="n" s="2">
        <x:v>87</x:v>
      </x:c>
      <x:c r="C330" t="str" s="2">
        <x:v/>
      </x:c>
      <x:c r="D330" t="str" s="2">
        <x:f>=""</x:f>
      </x:c>
      <x:c r="E330" s="0"/>
      <x:c r="F330" t="str" s="2">
        <x:v>Walk-in</x:v>
      </x:c>
      <x:c r="G330" t="str" s="2">
        <x:v>Heritage Housing of Jennings</x:v>
      </x:c>
      <x:c r="H330" t="str" s="2">
        <x:v>Mervin Leslie Smith</x:v>
      </x:c>
      <x:c r="I330" s="0"/>
      <x:c r="J330" s="0"/>
      <x:c r="K330" t="n" s="2">
        <x:v>5</x:v>
      </x:c>
      <x:c r="L330" t="str" s="2">
        <x:v>1.1</x:v>
      </x:c>
      <x:c r="M330" t="str" s="2">
        <x:v>Dead</x:v>
      </x:c>
      <x:c r="N330" t="str" s="2">
        <x:v>Prospect</x:v>
      </x:c>
      <x:c r="O330" s="0"/>
      <x:c r="P330" s="6">
        <x:v>46221</x:v>
      </x:c>
      <x:c r="Q330" s="6">
        <x:v>46232.78405798611</x:v>
      </x:c>
      <x:c r="R330" s="0"/>
      <x:c r="S330" s="0"/>
      <x:c r="T330" s="0"/>
      <x:c r="U330" s="0"/>
      <x:c r="V330" s="0"/>
      <x:c r="W330" s="0"/>
      <x:c r="X330" t="str" s="2">
        <x:v>3375637602</x:v>
      </x:c>
      <x:c r="Y330" t="str" s="2">
        <x:v>breaux.brandon@icloud.com</x:v>
      </x:c>
      <x:c r="Z330" s="6">
        <x:v>46265.68273503472</x:v>
      </x:c>
      <x:c r="AA330" t="str" s="2">
        <x:v>Mervin Leslie Smith</x:v>
      </x:c>
      <x:c r="AB330" s="6">
        <x:v>46221.89913877315</x:v>
      </x:c>
      <x:c r="AC330" t="n" s="2">
        <x:v>38613</x:v>
      </x:c>
      <x:c r="AD330" s="0"/>
      <x:c r="AE330" s="0"/>
      <x:c r="AF330" s="0"/>
      <x:c r="AG330" s="0"/>
      <x:c r="AH330" s="0"/>
      <x:c r="AI330" s="0"/>
      <x:c r="AJ330" s="0"/>
      <x:c r="AK330" s="0"/>
    </x:row>
    <x:row r="331">
      <x:c r="A331" t="str" s="2">
        <x:f>=HYPERLINK("https://rsms.futurehomex.com/lead/38614", "Robert Andrews")</x:f>
      </x:c>
      <x:c r="B331" t="n" s="2">
        <x:v>87</x:v>
      </x:c>
      <x:c r="C331" t="str" s="2">
        <x:v>1/2</x:v>
      </x:c>
      <x:c r="D331" t="str" s="2">
        <x:f>=""</x:f>
      </x:c>
      <x:c r="E331" t="str" s="2">
        <x:v>Katie Andrews</x:v>
      </x:c>
      <x:c r="F331" t="str" s="2">
        <x:v>Walk-in</x:v>
      </x:c>
      <x:c r="G331" t="str" s="2">
        <x:v>Heritage Housing of Oklahoma City</x:v>
      </x:c>
      <x:c r="H331" t="str" s="2">
        <x:v>Eva Misheva</x:v>
      </x:c>
      <x:c r="I331" s="0"/>
      <x:c r="J331" s="0"/>
      <x:c r="K331" t="n" s="2">
        <x:v>59</x:v>
      </x:c>
      <x:c r="L331" t="str" s="2">
        <x:v>4.3</x:v>
      </x:c>
      <x:c r="M331" t="str" s="2">
        <x:v>Tentative</x:v>
      </x:c>
      <x:c r="N331" t="str" s="2">
        <x:v>Loan Approved</x:v>
      </x:c>
      <x:c r="O331" s="0"/>
      <x:c r="P331" s="6">
        <x:v>46221</x:v>
      </x:c>
      <x:c r="Q331" s="6">
        <x:v>46225.884776770836</x:v>
      </x:c>
      <x:c r="R331" s="0"/>
      <x:c r="S331" s="6">
        <x:v>46221</x:v>
      </x:c>
      <x:c r="T331" s="6">
        <x:v>46224</x:v>
      </x:c>
      <x:c r="U331" s="6">
        <x:v>46226</x:v>
      </x:c>
      <x:c r="V331" s="6">
        <x:v>46226</x:v>
      </x:c>
      <x:c r="W331" s="0"/>
      <x:c r="X331" t="str" s="2">
        <x:v>9186503964</x:v>
      </x:c>
      <x:c r="Y331" t="str" s="2">
        <x:v>papa.and.mamabear7419@gmail.com</x:v>
      </x:c>
      <x:c r="Z331" s="6">
        <x:v>46235.589046875</x:v>
      </x:c>
      <x:c r="AA331" t="str" s="2">
        <x:v>Eva Misheva</x:v>
      </x:c>
      <x:c r="AB331" s="6">
        <x:v>46221.97050347222</x:v>
      </x:c>
      <x:c r="AC331" t="n" s="2">
        <x:v>38614</x:v>
      </x:c>
      <x:c r="AD331" s="0"/>
      <x:c r="AE331" s="0"/>
      <x:c r="AF331" s="0"/>
      <x:c r="AG331" s="7">
        <x:v>0</x:v>
      </x:c>
      <x:c r="AH331" s="0"/>
      <x:c r="AI331" s="0"/>
      <x:c r="AJ331" s="0"/>
      <x:c r="AK331" s="0"/>
    </x:row>
    <x:row r="332">
      <x:c r="A332" t="str" s="2">
        <x:f>=HYPERLINK("https://rsms.futurehomex.com/lead/38615", "Mimi Turner")</x:f>
      </x:c>
      <x:c r="B332" t="n" s="2">
        <x:v>87</x:v>
      </x:c>
      <x:c r="C332" t="str" s="2">
        <x:v/>
      </x:c>
      <x:c r="D332" t="str" s="2">
        <x:f>=""</x:f>
      </x:c>
      <x:c r="E332" s="0"/>
      <x:c r="F332" t="str" s="2">
        <x:v>META Marketplace</x:v>
      </x:c>
      <x:c r="G332" t="str" s="2">
        <x:v>Heritage Housing Mt Pleasant</x:v>
      </x:c>
      <x:c r="H332" t="str" s="2">
        <x:v>Yarelis Torres</x:v>
      </x:c>
      <x:c r="I332" s="0"/>
      <x:c r="J332" t="str" s="2">
        <x:v>Yarelis Torres</x:v>
      </x:c>
      <x:c r="K332" t="n" s="2">
        <x:v>5</x:v>
      </x:c>
      <x:c r="L332" t="str" s="2">
        <x:v>1.1</x:v>
      </x:c>
      <x:c r="M332" t="str" s="2">
        <x:v>Tentative</x:v>
      </x:c>
      <x:c r="N332" t="str" s="2">
        <x:v>Deal Created</x:v>
      </x:c>
      <x:c r="O332" s="0"/>
      <x:c r="P332" s="6">
        <x:v>46221</x:v>
      </x:c>
      <x:c r="Q332" s="6">
        <x:v>46221.99064822917</x:v>
      </x:c>
      <x:c r="R332" s="0"/>
      <x:c r="S332" s="0"/>
      <x:c r="T332" s="0"/>
      <x:c r="U332" s="0"/>
      <x:c r="V332" s="0"/>
      <x:c r="W332" s="0"/>
      <x:c r="X332" t="str" s="2">
        <x:v>8702925490</x:v>
      </x:c>
      <x:c r="Y332" t="str" s="2">
        <x:v>8702925490</x:v>
      </x:c>
      <x:c r="Z332" s="6">
        <x:v>46224.06646898148</x:v>
      </x:c>
      <x:c r="AA332" t="str" s="2">
        <x:v>Yarelis Torres</x:v>
      </x:c>
      <x:c r="AB332" s="6">
        <x:v>46221.99064984954</x:v>
      </x:c>
      <x:c r="AC332" t="n" s="2">
        <x:v>38615</x:v>
      </x:c>
      <x:c r="AD332" s="0"/>
      <x:c r="AE332" s="0"/>
      <x:c r="AF332" s="0"/>
      <x:c r="AG332" s="0"/>
      <x:c r="AH332" s="0"/>
      <x:c r="AI332" s="0"/>
      <x:c r="AJ332" s="0"/>
      <x:c r="AK332" s="0"/>
    </x:row>
    <x:row r="333">
      <x:c r="A333" t="str" s="2">
        <x:f>=HYPERLINK("https://rsms.futurehomex.com/lead/38617", "Jose Medrano Carillo")</x:f>
      </x:c>
      <x:c r="B333" t="n" s="2">
        <x:v>86</x:v>
      </x:c>
      <x:c r="C333" t="str" s="2">
        <x:v>1/1</x:v>
      </x:c>
      <x:c r="D333" t="str" s="2">
        <x:f>=""</x:f>
      </x:c>
      <x:c r="E333" s="0"/>
      <x:c r="F333" t="str" s="2">
        <x:v>Facebook Messenger</x:v>
      </x:c>
      <x:c r="G333" t="str" s="2">
        <x:v>Heritage Housing of Oklahoma City</x:v>
      </x:c>
      <x:c r="H333" t="str" s="2">
        <x:v>Eva Misheva</x:v>
      </x:c>
      <x:c r="I333" s="0"/>
      <x:c r="J333" s="0"/>
      <x:c r="K333" t="n" s="2">
        <x:v>5</x:v>
      </x:c>
      <x:c r="L333" t="str" s="2">
        <x:v>1.1</x:v>
      </x:c>
      <x:c r="M333" t="str" s="2">
        <x:v>Tentative</x:v>
      </x:c>
      <x:c r="N333" t="str" s="2">
        <x:v>Prospect</x:v>
      </x:c>
      <x:c r="O333" s="0"/>
      <x:c r="P333" s="6">
        <x:v>46222</x:v>
      </x:c>
      <x:c r="Q333" s="6">
        <x:v>46222.925132986114</x:v>
      </x:c>
      <x:c r="R333" s="0"/>
      <x:c r="S333" s="0"/>
      <x:c r="T333" s="0"/>
      <x:c r="U333" s="0"/>
      <x:c r="V333" s="0"/>
      <x:c r="W333" s="0"/>
      <x:c r="X333" t="str" s="2">
        <x:v>4055008139</x:v>
      </x:c>
      <x:c r="Y333" t="str" s="2">
        <x:v>poder8501@gmail.com</x:v>
      </x:c>
      <x:c r="Z333" s="6">
        <x:v>46222.925630011574</x:v>
      </x:c>
      <x:c r="AA333" t="str" s="2">
        <x:v>Eva Misheva</x:v>
      </x:c>
      <x:c r="AB333" s="6">
        <x:v>46222.925134606485</x:v>
      </x:c>
      <x:c r="AC333" t="n" s="2">
        <x:v>38617</x:v>
      </x:c>
      <x:c r="AD333" s="0"/>
      <x:c r="AE333" s="0"/>
      <x:c r="AF333" s="0"/>
      <x:c r="AG333" s="0"/>
      <x:c r="AH333" s="0"/>
      <x:c r="AI333" s="0"/>
      <x:c r="AJ333" s="0"/>
      <x:c r="AK333" s="0"/>
    </x:row>
    <x:row r="334">
      <x:c r="A334" t="str" s="2">
        <x:f>=HYPERLINK("https://rsms.futurehomex.com/lead/38619", "Pamela Aguirre")</x:f>
      </x:c>
      <x:c r="B334" t="n" s="2">
        <x:v>85</x:v>
      </x:c>
      <x:c r="C334" t="str" s="2">
        <x:v>0/1</x:v>
      </x:c>
      <x:c r="D334" t="str" s="2">
        <x:f>=""</x:f>
      </x:c>
      <x:c r="E334" s="0"/>
      <x:c r="F334" t="str" s="2">
        <x:v>WhatsApp</x:v>
      </x:c>
      <x:c r="G334" t="str" s="2">
        <x:v>Legacy Housing Corp. DBA Americasa</x:v>
      </x:c>
      <x:c r="H334" t="str" s="2">
        <x:v>Joey Marquez</x:v>
      </x:c>
      <x:c r="I334" t="str" s="2">
        <x:v>Karol Romero</x:v>
      </x:c>
      <x:c r="J334" s="0"/>
      <x:c r="K334" t="n" s="2">
        <x:v>5</x:v>
      </x:c>
      <x:c r="L334" t="str" s="2">
        <x:v>1.1</x:v>
      </x:c>
      <x:c r="M334" t="str" s="2">
        <x:v>Tentative</x:v>
      </x:c>
      <x:c r="N334" t="str" s="2">
        <x:v>Prospect</x:v>
      </x:c>
      <x:c r="O334" s="0"/>
      <x:c r="P334" s="6">
        <x:v>46223</x:v>
      </x:c>
      <x:c r="Q334" s="6">
        <x:v>46223.81232349537</x:v>
      </x:c>
      <x:c r="R334" s="0"/>
      <x:c r="S334" s="0"/>
      <x:c r="T334" s="0"/>
      <x:c r="U334" s="0"/>
      <x:c r="V334" s="0"/>
      <x:c r="W334" s="0"/>
      <x:c r="X334" t="str" s="2">
        <x:v>3468021203</x:v>
      </x:c>
      <x:c r="Y334" t="str" s="2">
        <x:v>3468021203</x:v>
      </x:c>
      <x:c r="Z334" s="6">
        <x:v>46223.81531041666</x:v>
      </x:c>
      <x:c r="AA334" t="str" s="2">
        <x:v>Victoria Sanchez</x:v>
      </x:c>
      <x:c r="AB334" s="6">
        <x:v>46223.07133653935</x:v>
      </x:c>
      <x:c r="AC334" t="n" s="2">
        <x:v>38619</x:v>
      </x:c>
      <x:c r="AD334" s="0"/>
      <x:c r="AE334" s="0"/>
      <x:c r="AF334" s="0"/>
      <x:c r="AG334" s="0"/>
      <x:c r="AH334" s="0"/>
      <x:c r="AI334" s="0"/>
      <x:c r="AJ334" s="0"/>
      <x:c r="AK334" s="0"/>
    </x:row>
    <x:row r="335">
      <x:c r="A335" t="str" s="2">
        <x:f>=HYPERLINK("https://rsms.futurehomex.com/lead/38620", "MARISOL Cruz")</x:f>
      </x:c>
      <x:c r="B335" t="n" s="2">
        <x:v>85</x:v>
      </x:c>
      <x:c r="C335" t="str" s="2">
        <x:v>0/4</x:v>
      </x:c>
      <x:c r="D335" t="str" s="2">
        <x:f>=""</x:f>
      </x:c>
      <x:c r="E335" s="0"/>
      <x:c r="F335" t="str" s="2">
        <x:v>Financing Form</x:v>
      </x:c>
      <x:c r="G335" t="str" s="2">
        <x:v>Legacy Housing Corp. DBA Americasa</x:v>
      </x:c>
      <x:c r="H335" t="str" s="2">
        <x:v>Joey Marquez</x:v>
      </x:c>
      <x:c r="I335" t="str" s="2">
        <x:v>Karol Romero</x:v>
      </x:c>
      <x:c r="J335" s="0"/>
      <x:c r="K335" t="n" s="2">
        <x:v>5</x:v>
      </x:c>
      <x:c r="L335" t="str" s="2">
        <x:v>1.1</x:v>
      </x:c>
      <x:c r="M335" t="str" s="2">
        <x:v>Tentative</x:v>
      </x:c>
      <x:c r="N335" t="str" s="2">
        <x:v>Prospect</x:v>
      </x:c>
      <x:c r="O335" s="0"/>
      <x:c r="P335" s="6">
        <x:v>46223</x:v>
      </x:c>
      <x:c r="Q335" s="6">
        <x:v>46252.621363275466</x:v>
      </x:c>
      <x:c r="R335" s="0"/>
      <x:c r="S335" s="0"/>
      <x:c r="T335" s="0"/>
      <x:c r="U335" s="0"/>
      <x:c r="V335" s="0"/>
      <x:c r="W335" s="0"/>
      <x:c r="X335" t="str" s="2">
        <x:v>8326137695</x:v>
      </x:c>
      <x:c r="Y335" t="str" s="2">
        <x:v>aris81cruz@gmail.com</x:v>
      </x:c>
      <x:c r="Z335" s="6">
        <x:v>46289.63802893519</x:v>
      </x:c>
      <x:c r="AA335" t="str" s="2">
        <x:v>Joey Marquez</x:v>
      </x:c>
      <x:c r="AB335" s="6">
        <x:v>46223.077521527775</x:v>
      </x:c>
      <x:c r="AC335" t="n" s="2">
        <x:v>38620</x:v>
      </x:c>
      <x:c r="AD335" s="0"/>
      <x:c r="AE335" s="0"/>
      <x:c r="AF335" s="0"/>
      <x:c r="AG335" s="0"/>
      <x:c r="AH335" s="0"/>
      <x:c r="AI335" s="0"/>
      <x:c r="AJ335" s="0"/>
      <x:c r="AK335" s="0"/>
    </x:row>
    <x:row r="336">
      <x:c r="A336" t="str" s="2">
        <x:f>=HYPERLINK("https://rsms.futurehomex.com/lead/38621", "Yurisleydis Alvarez")</x:f>
      </x:c>
      <x:c r="B336" t="n" s="2">
        <x:v>85</x:v>
      </x:c>
      <x:c r="C336" t="str" s="2">
        <x:v>0/2</x:v>
      </x:c>
      <x:c r="D336" t="str" s="2">
        <x:f>=""</x:f>
      </x:c>
      <x:c r="E336" s="0"/>
      <x:c r="F336" t="str" s="2">
        <x:v>Website</x:v>
      </x:c>
      <x:c r="G336" t="str" s="2">
        <x:v>Legacy Housing Corp. DBA Americasa</x:v>
      </x:c>
      <x:c r="H336" t="str" s="2">
        <x:v>Joey Marquez</x:v>
      </x:c>
      <x:c r="I336" t="str" s="2">
        <x:v>Karol Romero</x:v>
      </x:c>
      <x:c r="J336" s="0"/>
      <x:c r="K336" t="n" s="2">
        <x:v>5</x:v>
      </x:c>
      <x:c r="L336" t="str" s="2">
        <x:v>1.1</x:v>
      </x:c>
      <x:c r="M336" t="str" s="2">
        <x:v>Tentative</x:v>
      </x:c>
      <x:c r="N336" t="str" s="2">
        <x:v>Prospect</x:v>
      </x:c>
      <x:c r="O336" s="0"/>
      <x:c r="P336" s="6">
        <x:v>46223</x:v>
      </x:c>
      <x:c r="Q336" s="6">
        <x:v>46232.87248958334</x:v>
      </x:c>
      <x:c r="R336" s="0"/>
      <x:c r="S336" s="0"/>
      <x:c r="T336" s="0"/>
      <x:c r="U336" s="0"/>
      <x:c r="V336" s="0"/>
      <x:c r="W336" s="0"/>
      <x:c r="X336" t="str" s="2">
        <x:v>3463706517</x:v>
      </x:c>
      <x:c r="Y336" t="str" s="2">
        <x:v>alvarezyurisleydis@gmail.com</x:v>
      </x:c>
      <x:c r="Z336" s="6">
        <x:v>46296.74754950232</x:v>
      </x:c>
      <x:c r="AA336" t="str" s="2">
        <x:v>Joey Marquez</x:v>
      </x:c>
      <x:c r="AB336" s="6">
        <x:v>46223.07898515046</x:v>
      </x:c>
      <x:c r="AC336" t="n" s="2">
        <x:v>38621</x:v>
      </x:c>
      <x:c r="AD336" s="0"/>
      <x:c r="AE336" s="0"/>
      <x:c r="AF336" s="0"/>
      <x:c r="AG336" s="0"/>
      <x:c r="AH336" s="0"/>
      <x:c r="AI336" s="0"/>
      <x:c r="AJ336" s="0"/>
      <x:c r="AK336" s="0"/>
    </x:row>
    <x:row r="337">
      <x:c r="A337" t="str" s="2">
        <x:f>=HYPERLINK("https://rsms.futurehomex.com/lead/38622", "Ana Lopez")</x:f>
      </x:c>
      <x:c r="B337" t="n" s="2">
        <x:v>85</x:v>
      </x:c>
      <x:c r="C337" t="str" s="2">
        <x:v>1/3</x:v>
      </x:c>
      <x:c r="D337" t="str" s="2">
        <x:f>=""</x:f>
      </x:c>
      <x:c r="E337" s="0"/>
      <x:c r="F337" t="str" s="2">
        <x:v>Meta Marketplace</x:v>
      </x:c>
      <x:c r="G337" t="str" s="2">
        <x:v>Legacy Housing Corp. DBA Americasa</x:v>
      </x:c>
      <x:c r="H337" t="str" s="2">
        <x:v>Joey Marquez</x:v>
      </x:c>
      <x:c r="I337" t="str" s="2">
        <x:v>Karol Romero</x:v>
      </x:c>
      <x:c r="J337" s="0"/>
      <x:c r="K337" t="n" s="2">
        <x:v>5</x:v>
      </x:c>
      <x:c r="L337" t="str" s="2">
        <x:v>1.1</x:v>
      </x:c>
      <x:c r="M337" t="str" s="2">
        <x:v>Tentative</x:v>
      </x:c>
      <x:c r="N337" t="str" s="2">
        <x:v>Prospect</x:v>
      </x:c>
      <x:c r="O337" s="0"/>
      <x:c r="P337" s="6">
        <x:v>46223</x:v>
      </x:c>
      <x:c r="Q337" s="6">
        <x:v>46251.69911886574</x:v>
      </x:c>
      <x:c r="R337" s="0"/>
      <x:c r="S337" s="0"/>
      <x:c r="T337" s="0"/>
      <x:c r="U337" s="0"/>
      <x:c r="V337" s="0"/>
      <x:c r="W337" s="0"/>
      <x:c r="X337" t="str" s="2">
        <x:v>3462130273</x:v>
      </x:c>
      <x:c r="Y337" t="str" s="2">
        <x:v>3462130273</x:v>
      </x:c>
      <x:c r="Z337" s="6">
        <x:v>46287.83613599537</x:v>
      </x:c>
      <x:c r="AA337" t="str" s="2">
        <x:v>Joey Marquez</x:v>
      </x:c>
      <x:c r="AB337" s="6">
        <x:v>46223.08126238426</x:v>
      </x:c>
      <x:c r="AC337" t="n" s="2">
        <x:v>38622</x:v>
      </x:c>
      <x:c r="AD337" s="0"/>
      <x:c r="AE337" s="0"/>
      <x:c r="AF337" s="0"/>
      <x:c r="AG337" s="0"/>
      <x:c r="AH337" s="0"/>
      <x:c r="AI337" s="0"/>
      <x:c r="AJ337" s="0"/>
      <x:c r="AK337" s="0"/>
    </x:row>
    <x:row r="338">
      <x:c r="A338" t="str" s="2">
        <x:f>=HYPERLINK("https://rsms.futurehomex.com/lead/38623", "BERNABE CORDOVA")</x:f>
      </x:c>
      <x:c r="B338" t="n" s="2">
        <x:v>85</x:v>
      </x:c>
      <x:c r="C338" t="str" s="2">
        <x:v>0/2</x:v>
      </x:c>
      <x:c r="D338" t="str" s="2">
        <x:f>="38623"</x:f>
      </x:c>
      <x:c r="E338" s="0"/>
      <x:c r="F338" t="str" s="2">
        <x:v>META Marketplace</x:v>
      </x:c>
      <x:c r="G338" t="str" s="2">
        <x:v>Heritage Housing Mt Pleasant</x:v>
      </x:c>
      <x:c r="H338" t="str" s="2">
        <x:v>Elias Gallardo</x:v>
      </x:c>
      <x:c r="I338" s="0"/>
      <x:c r="J338" t="str" s="2">
        <x:v>Elias Gallardo</x:v>
      </x:c>
      <x:c r="K338" t="n" s="2">
        <x:v>59</x:v>
      </x:c>
      <x:c r="L338" t="str" s="2">
        <x:v>4.3</x:v>
      </x:c>
      <x:c r="M338" t="str" s="2">
        <x:v>Dead</x:v>
      </x:c>
      <x:c r="N338" t="str" s="2">
        <x:v>Loan Approved</x:v>
      </x:c>
      <x:c r="O338" s="0"/>
      <x:c r="P338" s="6">
        <x:v>46223</x:v>
      </x:c>
      <x:c r="Q338" s="6">
        <x:v>46227.84374880787</x:v>
      </x:c>
      <x:c r="R338" s="0"/>
      <x:c r="S338" s="6">
        <x:v>46221</x:v>
      </x:c>
      <x:c r="T338" s="6">
        <x:v>46223</x:v>
      </x:c>
      <x:c r="U338" s="6">
        <x:v>46225</x:v>
      </x:c>
      <x:c r="V338" s="6">
        <x:v>46227</x:v>
      </x:c>
      <x:c r="W338" s="0"/>
      <x:c r="X338" t="str" s="2">
        <x:v>9033874205</x:v>
      </x:c>
      <x:c r="Y338" t="str" s="2">
        <x:v>9033874205</x:v>
      </x:c>
      <x:c r="Z338" s="6">
        <x:v>46226.74746226852</x:v>
      </x:c>
      <x:c r="AA338" t="str" s="2">
        <x:v>Sarahi Vazquez</x:v>
      </x:c>
      <x:c r="AB338" s="6">
        <x:v>46223.586605324075</x:v>
      </x:c>
      <x:c r="AC338" t="n" s="2">
        <x:v>38623</x:v>
      </x:c>
      <x:c r="AD338" t="str" s="2">
        <x:v>Doublewide</x:v>
      </x:c>
      <x:c r="AE338" t="str" s="2">
        <x:v>Legacy Housing Corporation</x:v>
      </x:c>
      <x:c r="AF338" s="7">
        <x:v>20073</x:v>
      </x:c>
      <x:c r="AG338" s="7">
        <x:v>13382.5</x:v>
      </x:c>
      <x:c r="AH338" s="0"/>
      <x:c r="AI338" s="0"/>
      <x:c r="AJ338" s="0"/>
      <x:c r="AK338" s="0"/>
    </x:row>
    <x:row r="339">
      <x:c r="A339" t="str" s="2">
        <x:f>=HYPERLINK("https://rsms.futurehomex.com/lead/38624", "Valerie Bushnell")</x:f>
      </x:c>
      <x:c r="B339" t="n" s="2">
        <x:v>85</x:v>
      </x:c>
      <x:c r="C339" t="str" s="2">
        <x:v>1/1</x:v>
      </x:c>
      <x:c r="D339" t="str" s="2">
        <x:f>=""</x:f>
      </x:c>
      <x:c r="E339" s="0"/>
      <x:c r="F339" t="str" s="2">
        <x:v>Website</x:v>
      </x:c>
      <x:c r="G339" t="str" s="2">
        <x:v>Heritage Housing of Jennings</x:v>
      </x:c>
      <x:c r="H339" t="str" s="2">
        <x:v>Mervin Leslie Smith</x:v>
      </x:c>
      <x:c r="I339" s="0"/>
      <x:c r="J339" t="str" s="2">
        <x:v>Mervin Leslie Smith</x:v>
      </x:c>
      <x:c r="K339" t="n" s="2">
        <x:v>5</x:v>
      </x:c>
      <x:c r="L339" t="str" s="2">
        <x:v>1.1</x:v>
      </x:c>
      <x:c r="M339" t="str" s="2">
        <x:v>Inactive</x:v>
      </x:c>
      <x:c r="N339" t="str" s="2">
        <x:v>Prospect</x:v>
      </x:c>
      <x:c r="O339" s="0"/>
      <x:c r="P339" s="6">
        <x:v>46223</x:v>
      </x:c>
      <x:c r="Q339" s="6">
        <x:v>46223.59389806713</x:v>
      </x:c>
      <x:c r="R339" s="0"/>
      <x:c r="S339" s="0"/>
      <x:c r="T339" s="0"/>
      <x:c r="U339" s="0"/>
      <x:c r="V339" s="0"/>
      <x:c r="W339" s="0"/>
      <x:c r="X339" t="str" s="2">
        <x:v>3373900482</x:v>
      </x:c>
      <x:c r="Y339" t="str" s="2">
        <x:v>Taegiginugent@gmail.com</x:v>
      </x:c>
      <x:c r="Z339" s="6">
        <x:v>46223.67977028935</x:v>
      </x:c>
      <x:c r="AA339" t="str" s="2">
        <x:v>Mervin Leslie Smith</x:v>
      </x:c>
      <x:c r="AB339" s="6">
        <x:v>46223.59389846065</x:v>
      </x:c>
      <x:c r="AC339" t="n" s="2">
        <x:v>38624</x:v>
      </x:c>
      <x:c r="AD339" s="0"/>
      <x:c r="AE339" s="0"/>
      <x:c r="AF339" s="0"/>
      <x:c r="AG339" s="0"/>
      <x:c r="AH339" s="0"/>
      <x:c r="AI339" s="0"/>
      <x:c r="AJ339" s="0"/>
      <x:c r="AK339" s="0"/>
    </x:row>
    <x:row r="340">
      <x:c r="A340" t="str" s="2">
        <x:f>=HYPERLINK("https://rsms.futurehomex.com/lead/38625", "Jordan Dees")</x:f>
      </x:c>
      <x:c r="B340" t="n" s="2">
        <x:v>85</x:v>
      </x:c>
      <x:c r="C340" t="str" s="2">
        <x:v>0/4</x:v>
      </x:c>
      <x:c r="D340" t="str" s="2">
        <x:f>=""</x:f>
      </x:c>
      <x:c r="E340" t="str" s="2">
        <x:v>Cameron Dees</x:v>
      </x:c>
      <x:c r="F340" t="str" s="2">
        <x:v>Facebook Messenger</x:v>
      </x:c>
      <x:c r="G340" t="str" s="2">
        <x:v>Heritage Housing of Greenville</x:v>
      </x:c>
      <x:c r="H340" t="str" s="2">
        <x:v>Greg Christman</x:v>
      </x:c>
      <x:c r="I340" s="0"/>
      <x:c r="J340" s="0"/>
      <x:c r="K340" t="n" s="2">
        <x:v>5</x:v>
      </x:c>
      <x:c r="L340" t="str" s="2">
        <x:v>1.1</x:v>
      </x:c>
      <x:c r="M340" t="str" s="2">
        <x:v>Dead</x:v>
      </x:c>
      <x:c r="N340" t="str" s="2">
        <x:v>Prospect</x:v>
      </x:c>
      <x:c r="O340" s="0"/>
      <x:c r="P340" s="6">
        <x:v>46223</x:v>
      </x:c>
      <x:c r="Q340" s="6">
        <x:v>46223.59713938658</x:v>
      </x:c>
      <x:c r="R340" s="0"/>
      <x:c r="S340" s="6">
        <x:v>46221</x:v>
      </x:c>
      <x:c r="T340" s="0"/>
      <x:c r="U340" s="0"/>
      <x:c r="V340" s="0"/>
      <x:c r="W340" s="0"/>
      <x:c r="X340" t="str" s="2">
        <x:v>5418916125</x:v>
      </x:c>
      <x:c r="Y340" t="str" s="2">
        <x:v>Bambidees@gmail.com</x:v>
      </x:c>
      <x:c r="Z340" s="6">
        <x:v>46294.597353703706</x:v>
      </x:c>
      <x:c r="AA340" t="str" s="2">
        <x:v>Greg Christman</x:v>
      </x:c>
      <x:c r="AB340" s="6">
        <x:v>46223.59676901621</x:v>
      </x:c>
      <x:c r="AC340" t="n" s="2">
        <x:v>38625</x:v>
      </x:c>
      <x:c r="AD340" s="0"/>
      <x:c r="AE340" s="0"/>
      <x:c r="AF340" s="0"/>
      <x:c r="AG340" s="0"/>
      <x:c r="AH340" s="0"/>
      <x:c r="AI340" s="0"/>
      <x:c r="AJ340" s="0"/>
      <x:c r="AK340" s="0"/>
    </x:row>
    <x:row r="341">
      <x:c r="A341" t="str" s="2">
        <x:f>=HYPERLINK("https://rsms.futurehomex.com/lead/38626", "Taylor Norment")</x:f>
      </x:c>
      <x:c r="B341" t="n" s="2">
        <x:v>85</x:v>
      </x:c>
      <x:c r="C341" t="str" s="2">
        <x:v>0/2</x:v>
      </x:c>
      <x:c r="D341" t="str" s="2">
        <x:f>=""</x:f>
      </x:c>
      <x:c r="E341" s="0"/>
      <x:c r="F341" t="str" s="2">
        <x:v>Website</x:v>
      </x:c>
      <x:c r="G341" t="str" s="2">
        <x:v>Heritage Housing of Minden</x:v>
      </x:c>
      <x:c r="H341" t="str" s="2">
        <x:v>Patrick Schuchart</x:v>
      </x:c>
      <x:c r="I341" s="0"/>
      <x:c r="J341" t="str" s="2">
        <x:v>Patrick Schuchart</x:v>
      </x:c>
      <x:c r="K341" t="n" s="2">
        <x:v>5</x:v>
      </x:c>
      <x:c r="L341" t="str" s="2">
        <x:v>1.1</x:v>
      </x:c>
      <x:c r="M341" t="str" s="2">
        <x:v>Tentative</x:v>
      </x:c>
      <x:c r="N341" t="str" s="2">
        <x:v>Prospect</x:v>
      </x:c>
      <x:c r="O341" s="0"/>
      <x:c r="P341" s="6">
        <x:v>46223</x:v>
      </x:c>
      <x:c r="Q341" s="6">
        <x:v>46223.59710439815</x:v>
      </x:c>
      <x:c r="R341" s="0"/>
      <x:c r="S341" s="0"/>
      <x:c r="T341" s="0"/>
      <x:c r="U341" s="0"/>
      <x:c r="V341" s="0"/>
      <x:c r="W341" s="0"/>
      <x:c r="X341" t="str" s="2">
        <x:v>3184333364</x:v>
      </x:c>
      <x:c r="Y341" t="str" s="2">
        <x:v>tayloranorment24@gmail.com</x:v>
      </x:c>
      <x:c r="Z341" s="6">
        <x:v>46294.889078506945</x:v>
      </x:c>
      <x:c r="AA341" t="str" s="2">
        <x:v>Kyla Brown</x:v>
      </x:c>
      <x:c r="AB341" s="6">
        <x:v>46223.597104594905</x:v>
      </x:c>
      <x:c r="AC341" t="n" s="2">
        <x:v>38626</x:v>
      </x:c>
      <x:c r="AD341" s="0"/>
      <x:c r="AE341" s="0"/>
      <x:c r="AF341" s="0"/>
      <x:c r="AG341" s="0"/>
      <x:c r="AH341" s="0"/>
      <x:c r="AI341" s="0"/>
      <x:c r="AJ341" s="0"/>
      <x:c r="AK341" s="0"/>
    </x:row>
    <x:row r="342">
      <x:c r="A342" t="str" s="2">
        <x:f>=HYPERLINK("https://rsms.futurehomex.com/lead/38628", "Josie Gray-Smith")</x:f>
      </x:c>
      <x:c r="B342" t="n" s="2">
        <x:v>85</x:v>
      </x:c>
      <x:c r="C342" t="str" s="2">
        <x:v>1/1</x:v>
      </x:c>
      <x:c r="D342" t="str" s="2">
        <x:f>=""</x:f>
      </x:c>
      <x:c r="E342" s="0"/>
      <x:c r="F342" t="str" s="2">
        <x:v>Financing Form</x:v>
      </x:c>
      <x:c r="G342" t="str" s="2">
        <x:v>Heritage Housing of Jennings</x:v>
      </x:c>
      <x:c r="H342" t="str" s="2">
        <x:v>Clint O'Neal</x:v>
      </x:c>
      <x:c r="I342" s="0"/>
      <x:c r="J342" t="str" s="2">
        <x:v>Clint O'Neal</x:v>
      </x:c>
      <x:c r="K342" t="n" s="2">
        <x:v>5</x:v>
      </x:c>
      <x:c r="L342" t="str" s="2">
        <x:v>1.1</x:v>
      </x:c>
      <x:c r="M342" t="str" s="2">
        <x:v>Tentative</x:v>
      </x:c>
      <x:c r="N342" t="str" s="2">
        <x:v>Deal Created</x:v>
      </x:c>
      <x:c r="O342" s="0"/>
      <x:c r="P342" s="6">
        <x:v>46223</x:v>
      </x:c>
      <x:c r="Q342" s="6">
        <x:v>46223.66685107639</x:v>
      </x:c>
      <x:c r="R342" s="0"/>
      <x:c r="S342" s="0"/>
      <x:c r="T342" s="0"/>
      <x:c r="U342" s="0"/>
      <x:c r="V342" s="0"/>
      <x:c r="W342" s="0"/>
      <x:c r="X342" t="str" s="2">
        <x:v>7199855150</x:v>
      </x:c>
      <x:c r="Y342" t="str" s="2">
        <x:v>josiemeents@gmail.com</x:v>
      </x:c>
      <x:c r="Z342" s="6">
        <x:v>46223.67102288194</x:v>
      </x:c>
      <x:c r="AA342" t="str" s="2">
        <x:v>Clint O'Neal</x:v>
      </x:c>
      <x:c r="AB342" s="6">
        <x:v>46223.66685181713</x:v>
      </x:c>
      <x:c r="AC342" t="n" s="2">
        <x:v>38628</x:v>
      </x:c>
      <x:c r="AD342" s="0"/>
      <x:c r="AE342" s="0"/>
      <x:c r="AF342" s="0"/>
      <x:c r="AG342" s="0"/>
      <x:c r="AH342" s="0"/>
      <x:c r="AI342" s="0"/>
      <x:c r="AJ342" s="0"/>
      <x:c r="AK342" s="0"/>
    </x:row>
    <x:row r="343">
      <x:c r="A343" t="str" s="2">
        <x:f>=HYPERLINK("https://rsms.futurehomex.com/lead/38629", "James Newsome")</x:f>
      </x:c>
      <x:c r="B343" t="n" s="2">
        <x:v>85</x:v>
      </x:c>
      <x:c r="C343" t="str" s="2">
        <x:v/>
      </x:c>
      <x:c r="D343" t="str" s="2">
        <x:f>=""</x:f>
      </x:c>
      <x:c r="E343" s="0"/>
      <x:c r="F343" t="str" s="2">
        <x:v>Other</x:v>
      </x:c>
      <x:c r="G343" t="str" s="2">
        <x:v>Heritage Housing of Augusta</x:v>
      </x:c>
      <x:c r="H343" t="str" s="2">
        <x:v>Faye Lively</x:v>
      </x:c>
      <x:c r="I343" s="0"/>
      <x:c r="J343" t="str" s="2">
        <x:v>Faye Lively</x:v>
      </x:c>
      <x:c r="K343" t="n" s="2">
        <x:v>9</x:v>
      </x:c>
      <x:c r="L343" t="str" s="2">
        <x:v>1.2</x:v>
      </x:c>
      <x:c r="M343" t="str" s="2">
        <x:v>Tentative</x:v>
      </x:c>
      <x:c r="N343" t="str" s="2">
        <x:v>Deal Created</x:v>
      </x:c>
      <x:c r="O343" s="0"/>
      <x:c r="P343" s="6">
        <x:v>46223</x:v>
      </x:c>
      <x:c r="Q343" s="6">
        <x:v>46223.670160532405</x:v>
      </x:c>
      <x:c r="R343" s="0"/>
      <x:c r="S343" s="0"/>
      <x:c r="T343" s="0"/>
      <x:c r="U343" s="0"/>
      <x:c r="V343" s="0"/>
      <x:c r="W343" s="0"/>
      <x:c r="X343" t="str" s="2">
        <x:v>7069627848</x:v>
      </x:c>
      <x:c r="Y343" t="str" s="2">
        <x:v>peggymichevy@aol.com</x:v>
      </x:c>
      <x:c r="Z343" s="6">
        <x:v>46223.67029008102</x:v>
      </x:c>
      <x:c r="AA343" t="str" s="2">
        <x:v>Kyara Casanova</x:v>
      </x:c>
      <x:c r="AB343" s="6">
        <x:v>46233.824257141205</x:v>
      </x:c>
      <x:c r="AC343" t="n" s="2">
        <x:v>38629</x:v>
      </x:c>
      <x:c r="AD343" s="0"/>
      <x:c r="AE343" s="0"/>
      <x:c r="AF343" s="0"/>
      <x:c r="AG343" s="0"/>
      <x:c r="AH343" s="0"/>
      <x:c r="AI343" s="0"/>
      <x:c r="AJ343" s="0"/>
      <x:c r="AK343" s="0"/>
    </x:row>
    <x:row r="344">
      <x:c r="A344" t="str" s="2">
        <x:f>=HYPERLINK("https://rsms.futurehomex.com/lead/38631", "Sheila Jones")</x:f>
      </x:c>
      <x:c r="B344" t="n" s="2">
        <x:v>85</x:v>
      </x:c>
      <x:c r="C344" t="str" s="2">
        <x:v>1/4</x:v>
      </x:c>
      <x:c r="D344" t="str" s="2">
        <x:f>=""</x:f>
      </x:c>
      <x:c r="E344" s="0"/>
      <x:c r="F344" t="str" s="2">
        <x:v>Financing Form</x:v>
      </x:c>
      <x:c r="G344" t="str" s="2">
        <x:v>Legacy Housing Corp. DBA Americasa</x:v>
      </x:c>
      <x:c r="H344" t="str" s="2">
        <x:v>Jose Parada</x:v>
      </x:c>
      <x:c r="I344" t="str" s="2">
        <x:v>Karol Romero</x:v>
      </x:c>
      <x:c r="J344" t="str" s="2">
        <x:v>Justin Johnson</x:v>
      </x:c>
      <x:c r="K344" t="n" s="2">
        <x:v>5</x:v>
      </x:c>
      <x:c r="L344" t="str" s="2">
        <x:v>1.1</x:v>
      </x:c>
      <x:c r="M344" t="str" s="2">
        <x:v>Inactive</x:v>
      </x:c>
      <x:c r="N344" t="str" s="2">
        <x:v>Deal Created</x:v>
      </x:c>
      <x:c r="O344" s="0"/>
      <x:c r="P344" s="6">
        <x:v>46223</x:v>
      </x:c>
      <x:c r="Q344" s="6">
        <x:v>46234.659204166666</x:v>
      </x:c>
      <x:c r="R344" s="0"/>
      <x:c r="S344" s="0"/>
      <x:c r="T344" s="0"/>
      <x:c r="U344" s="0"/>
      <x:c r="V344" s="0"/>
      <x:c r="W344" s="0"/>
      <x:c r="X344" t="str" s="2">
        <x:v>2816845433</x:v>
      </x:c>
      <x:c r="Y344" t="str" s="2">
        <x:v>annjone72@gmail.com</x:v>
      </x:c>
      <x:c r="Z344" s="6">
        <x:v>46239.76009552083</x:v>
      </x:c>
      <x:c r="AA344" t="str" s="2">
        <x:v>Angelica Mendoza </x:v>
      </x:c>
      <x:c r="AB344" s="6">
        <x:v>46234.614222766206</x:v>
      </x:c>
      <x:c r="AC344" t="n" s="2">
        <x:v>38631</x:v>
      </x:c>
      <x:c r="AD344" s="0"/>
      <x:c r="AE344" s="0"/>
      <x:c r="AF344" s="0"/>
      <x:c r="AG344" s="7">
        <x:v>6800</x:v>
      </x:c>
      <x:c r="AH344" s="0"/>
      <x:c r="AI344" t="str" s="2">
        <x:v>427</x:v>
      </x:c>
      <x:c r="AJ344" s="0"/>
      <x:c r="AK344" s="0"/>
    </x:row>
    <x:row r="345">
      <x:c r="A345" t="str" s="2">
        <x:f>=HYPERLINK("https://rsms.futurehomex.com/lead/38632", "April Guidry")</x:f>
      </x:c>
      <x:c r="B345" t="n" s="2">
        <x:v>85</x:v>
      </x:c>
      <x:c r="C345" t="str" s="2">
        <x:v>0/1</x:v>
      </x:c>
      <x:c r="D345" t="str" s="2">
        <x:f>=""</x:f>
      </x:c>
      <x:c r="E345" s="0"/>
      <x:c r="F345" t="str" s="2">
        <x:v>Other</x:v>
      </x:c>
      <x:c r="G345" t="str" s="2">
        <x:v>Heritage Housing of Jennings</x:v>
      </x:c>
      <x:c r="H345" t="str" s="2">
        <x:v>Drew Dogay</x:v>
      </x:c>
      <x:c r="I345" s="0"/>
      <x:c r="J345" s="0"/>
      <x:c r="K345" t="n" s="2">
        <x:v>38</x:v>
      </x:c>
      <x:c r="L345" t="str" s="2">
        <x:v>3.2</x:v>
      </x:c>
      <x:c r="M345" t="str" s="2">
        <x:v>Dead</x:v>
      </x:c>
      <x:c r="N345" t="str" s="2">
        <x:v>Application</x:v>
      </x:c>
      <x:c r="O345" s="0"/>
      <x:c r="P345" s="6">
        <x:v>46223</x:v>
      </x:c>
      <x:c r="Q345" s="6">
        <x:v>46223.76239085648</x:v>
      </x:c>
      <x:c r="R345" s="0"/>
      <x:c r="S345" s="6">
        <x:v>46223</x:v>
      </x:c>
      <x:c r="T345" s="0"/>
      <x:c r="U345" s="0"/>
      <x:c r="V345" s="0"/>
      <x:c r="W345" s="0"/>
      <x:c r="X345" t="str" s="2">
        <x:v>3372505805</x:v>
      </x:c>
      <x:c r="Y345" t="str" s="2">
        <x:v>julia41684@gmail.com</x:v>
      </x:c>
      <x:c r="Z345" s="6">
        <x:v>46301.91289216435</x:v>
      </x:c>
      <x:c r="AA345" t="str" s="2">
        <x:v>Tina Dallas</x:v>
      </x:c>
      <x:c r="AB345" s="6">
        <x:v>46231.89279799769</x:v>
      </x:c>
      <x:c r="AC345" t="n" s="2">
        <x:v>38632</x:v>
      </x:c>
      <x:c r="AD345" t="str" s="2">
        <x:v>Singlewide</x:v>
      </x:c>
      <x:c r="AE345" t="str" s="2">
        <x:v>Legacy Housing Corporation</x:v>
      </x:c>
      <x:c r="AF345" s="7">
        <x:v>6700</x:v>
      </x:c>
      <x:c r="AG345" s="7">
        <x:v>6700</x:v>
      </x:c>
      <x:c r="AH345" s="7">
        <x:v>-1</x:v>
      </x:c>
      <x:c r="AI345" s="0"/>
      <x:c r="AJ345" s="0"/>
      <x:c r="AK345" s="0"/>
    </x:row>
    <x:row r="346">
      <x:c r="A346" t="str" s="2">
        <x:f>=HYPERLINK("https://rsms.futurehomex.com/lead/38634", "Christian Supernaw")</x:f>
      </x:c>
      <x:c r="B346" t="n" s="2">
        <x:v>85</x:v>
      </x:c>
      <x:c r="C346" t="str" s="2">
        <x:v/>
      </x:c>
      <x:c r="D346" t="str" s="2">
        <x:f>=""</x:f>
      </x:c>
      <x:c r="E346" s="0"/>
      <x:c r="F346" t="str" s="2">
        <x:v>HH - Tulsa</x:v>
      </x:c>
      <x:c r="G346" t="str" s="2">
        <x:v>Heritage Housing of Tulsa</x:v>
      </x:c>
      <x:c r="H346" t="str" s="2">
        <x:v>Derek Searcy</x:v>
      </x:c>
      <x:c r="I346" t="str" s="2">
        <x:v>Karol Romero</x:v>
      </x:c>
      <x:c r="J346" t="str" s="2">
        <x:v>Jenna Fransisco</x:v>
      </x:c>
      <x:c r="K346" t="n" s="2">
        <x:v>5</x:v>
      </x:c>
      <x:c r="L346" t="str" s="2">
        <x:v>1.1</x:v>
      </x:c>
      <x:c r="M346" t="str" s="2">
        <x:v>Inactive</x:v>
      </x:c>
      <x:c r="N346" t="str" s="2">
        <x:v>Deal Created</x:v>
      </x:c>
      <x:c r="O346" s="0"/>
      <x:c r="P346" s="6">
        <x:v>46223</x:v>
      </x:c>
      <x:c r="Q346" s="6">
        <x:v>46223.72090659722</x:v>
      </x:c>
      <x:c r="R346" s="0"/>
      <x:c r="S346" s="0"/>
      <x:c r="T346" s="0"/>
      <x:c r="U346" s="0"/>
      <x:c r="V346" s="0"/>
      <x:c r="W346" s="0"/>
      <x:c r="X346" t="str" s="2">
        <x:v>9189497239</x:v>
      </x:c>
      <x:c r="Y346" t="str" s="2">
        <x:v>9189497239</x:v>
      </x:c>
      <x:c r="Z346" s="6">
        <x:v>46223.72126681713</x:v>
      </x:c>
      <x:c r="AA346" t="str" s="2">
        <x:v>Brittany Cobb</x:v>
      </x:c>
      <x:c r="AB346" s="6">
        <x:v>46223.720908414354</x:v>
      </x:c>
      <x:c r="AC346" t="n" s="2">
        <x:v>38634</x:v>
      </x:c>
      <x:c r="AD346" s="0"/>
      <x:c r="AE346" s="0"/>
      <x:c r="AF346" s="0"/>
      <x:c r="AG346" s="0"/>
      <x:c r="AH346" s="0"/>
      <x:c r="AI346" s="0"/>
      <x:c r="AJ346" s="0"/>
      <x:c r="AK346" s="0"/>
    </x:row>
    <x:row r="347">
      <x:c r="A347" t="str" s="2">
        <x:f>=HYPERLINK("https://rsms.futurehomex.com/lead/38636", "Robert Stark")</x:f>
      </x:c>
      <x:c r="B347" t="n" s="2">
        <x:v>85</x:v>
      </x:c>
      <x:c r="C347" t="str" s="2">
        <x:v/>
      </x:c>
      <x:c r="D347" t="str" s="2">
        <x:f>=""</x:f>
      </x:c>
      <x:c r="E347" s="0"/>
      <x:c r="F347" t="str" s="2">
        <x:v>Walk-in</x:v>
      </x:c>
      <x:c r="G347" t="str" s="2">
        <x:v>Heritage Housing of Jennings</x:v>
      </x:c>
      <x:c r="H347" t="str" s="2">
        <x:v>Mervin Leslie Smith</x:v>
      </x:c>
      <x:c r="I347" s="0"/>
      <x:c r="J347" s="0"/>
      <x:c r="K347" t="n" s="2">
        <x:v>5</x:v>
      </x:c>
      <x:c r="L347" t="str" s="2">
        <x:v>1.1</x:v>
      </x:c>
      <x:c r="M347" t="str" s="2">
        <x:v>Dead</x:v>
      </x:c>
      <x:c r="N347" t="str" s="2">
        <x:v>Deal Created</x:v>
      </x:c>
      <x:c r="O347" s="0"/>
      <x:c r="P347" s="6">
        <x:v>46223</x:v>
      </x:c>
      <x:c r="Q347" s="6">
        <x:v>46233.83490648148</x:v>
      </x:c>
      <x:c r="R347" s="0"/>
      <x:c r="S347" s="0"/>
      <x:c r="T347" s="0"/>
      <x:c r="U347" s="0"/>
      <x:c r="V347" s="0"/>
      <x:c r="W347" s="0"/>
      <x:c r="X347" t="str" s="2">
        <x:v>3372630740</x:v>
      </x:c>
      <x:c r="Y347" t="str" s="2">
        <x:v>robertstark532@gmail.com</x:v>
      </x:c>
      <x:c r="Z347" s="0"/>
      <x:c r="AA347" s="0"/>
      <x:c r="AB347" s="6">
        <x:v>46223.729395636576</x:v>
      </x:c>
      <x:c r="AC347" t="n" s="2">
        <x:v>38636</x:v>
      </x:c>
      <x:c r="AD347" s="0"/>
      <x:c r="AE347" s="0"/>
      <x:c r="AF347" s="0"/>
      <x:c r="AG347" s="7">
        <x:v>7000</x:v>
      </x:c>
      <x:c r="AH347" s="0"/>
      <x:c r="AI347" s="0"/>
      <x:c r="AJ347" s="0"/>
      <x:c r="AK347" s="0"/>
    </x:row>
    <x:row r="348">
      <x:c r="A348" t="str" s="2">
        <x:f>=HYPERLINK("https://rsms.futurehomex.com/lead/38637", "Charleston Parker")</x:f>
      </x:c>
      <x:c r="B348" t="n" s="2">
        <x:v>85</x:v>
      </x:c>
      <x:c r="C348" t="str" s="2">
        <x:v/>
      </x:c>
      <x:c r="D348" t="str" s="2">
        <x:f>=""</x:f>
      </x:c>
      <x:c r="E348" s="0"/>
      <x:c r="F348" t="str" s="2">
        <x:v>Facebook Messenger</x:v>
      </x:c>
      <x:c r="G348" t="str" s="2">
        <x:v>Heritage Housing of Albany</x:v>
      </x:c>
      <x:c r="H348" t="str" s="2">
        <x:v>Justin Johnson</x:v>
      </x:c>
      <x:c r="I348" s="0"/>
      <x:c r="J348" t="str" s="2">
        <x:v>Justin Johnson</x:v>
      </x:c>
      <x:c r="K348" t="n" s="2">
        <x:v>5</x:v>
      </x:c>
      <x:c r="L348" t="str" s="2">
        <x:v>1.1</x:v>
      </x:c>
      <x:c r="M348" t="str" s="2">
        <x:v>Tentative</x:v>
      </x:c>
      <x:c r="N348" t="str" s="2">
        <x:v>Deal Created</x:v>
      </x:c>
      <x:c r="O348" s="0"/>
      <x:c r="P348" s="6">
        <x:v>46223</x:v>
      </x:c>
      <x:c r="Q348" s="6">
        <x:v>46247.81711269676</x:v>
      </x:c>
      <x:c r="R348" s="0"/>
      <x:c r="S348" s="0"/>
      <x:c r="T348" s="0"/>
      <x:c r="U348" s="0"/>
      <x:c r="V348" s="0"/>
      <x:c r="W348" s="0"/>
      <x:c r="X348" t="str" s="2">
        <x:v>4782531874</x:v>
      </x:c>
      <x:c r="Y348" t="str" s="2">
        <x:v>4782531874</x:v>
      </x:c>
      <x:c r="Z348" s="6">
        <x:v>46223.756514699075</x:v>
      </x:c>
      <x:c r="AA348" t="str" s="2">
        <x:v>Justin Johnson</x:v>
      </x:c>
      <x:c r="AB348" s="6">
        <x:v>46223.7482209838</x:v>
      </x:c>
      <x:c r="AC348" t="n" s="2">
        <x:v>38637</x:v>
      </x:c>
      <x:c r="AD348" s="0"/>
      <x:c r="AE348" s="0"/>
      <x:c r="AF348" s="0"/>
      <x:c r="AG348" s="0"/>
      <x:c r="AH348" s="0"/>
      <x:c r="AI348" s="0"/>
      <x:c r="AJ348" s="0"/>
      <x:c r="AK348" s="0"/>
    </x:row>
    <x:row r="349">
      <x:c r="A349" t="str" s="2">
        <x:f>=HYPERLINK("https://rsms.futurehomex.com/lead/38638", "James Tomlin")</x:f>
      </x:c>
      <x:c r="B349" t="n" s="2">
        <x:v>85</x:v>
      </x:c>
      <x:c r="C349" t="str" s="2">
        <x:v/>
      </x:c>
      <x:c r="D349" t="str" s="2">
        <x:f>=""</x:f>
      </x:c>
      <x:c r="E349" s="0"/>
      <x:c r="F349" t="str" s="2">
        <x:v>Walk-in</x:v>
      </x:c>
      <x:c r="G349" t="str" s="2">
        <x:v>Heritage Housing of Asheboro</x:v>
      </x:c>
      <x:c r="H349" t="str" s="2">
        <x:v>Maria Lopez</x:v>
      </x:c>
      <x:c r="I349" s="0"/>
      <x:c r="J349" s="0"/>
      <x:c r="K349" t="n" s="2">
        <x:v>21</x:v>
      </x:c>
      <x:c r="L349" t="str" s="2">
        <x:v>2.1</x:v>
      </x:c>
      <x:c r="M349" t="str" s="2">
        <x:v>Tentative</x:v>
      </x:c>
      <x:c r="N349" t="str" s="2">
        <x:v>Qualified</x:v>
      </x:c>
      <x:c r="O349" s="0"/>
      <x:c r="P349" s="6">
        <x:v>46223</x:v>
      </x:c>
      <x:c r="Q349" s="6">
        <x:v>46238.70401959491</x:v>
      </x:c>
      <x:c r="R349" s="0"/>
      <x:c r="S349" s="6">
        <x:v>46223</x:v>
      </x:c>
      <x:c r="T349" s="0"/>
      <x:c r="U349" s="0"/>
      <x:c r="V349" s="0"/>
      <x:c r="W349" s="0"/>
      <x:c r="X349" t="str" s="2">
        <x:v>3364652380</x:v>
      </x:c>
      <x:c r="Y349" t="str" s="2">
        <x:v>jamestomlin37@gmail.com</x:v>
      </x:c>
      <x:c r="Z349" s="6">
        <x:v>46238.70400509259</x:v>
      </x:c>
      <x:c r="AA349" t="str" s="2">
        <x:v>Jeremy Jacques</x:v>
      </x:c>
      <x:c r="AB349" s="6">
        <x:v>46223.77359887731</x:v>
      </x:c>
      <x:c r="AC349" t="n" s="2">
        <x:v>38638</x:v>
      </x:c>
      <x:c r="AD349" s="0"/>
      <x:c r="AE349" s="0"/>
      <x:c r="AF349" s="0"/>
      <x:c r="AG349" s="0"/>
      <x:c r="AH349" s="0"/>
      <x:c r="AI349" s="0"/>
      <x:c r="AJ349" s="0"/>
      <x:c r="AK349" s="0"/>
    </x:row>
    <x:row r="350">
      <x:c r="A350" t="str" s="2">
        <x:f>=HYPERLINK("https://rsms.futurehomex.com/lead/38639", "Curtis Cavin")</x:f>
      </x:c>
      <x:c r="B350" t="n" s="2">
        <x:v>85</x:v>
      </x:c>
      <x:c r="C350" t="str" s="2">
        <x:v/>
      </x:c>
      <x:c r="D350" t="str" s="2">
        <x:f>=""</x:f>
      </x:c>
      <x:c r="E350" s="0"/>
      <x:c r="F350" t="str" s="2">
        <x:v>META Marketplace</x:v>
      </x:c>
      <x:c r="G350" t="str" s="2">
        <x:v>Heritage Housing Mt Pleasant</x:v>
      </x:c>
      <x:c r="H350" t="str" s="2">
        <x:v>Yarelis Torres</x:v>
      </x:c>
      <x:c r="I350" s="0"/>
      <x:c r="J350" t="str" s="2">
        <x:v>Yarelis Torres</x:v>
      </x:c>
      <x:c r="K350" t="n" s="2">
        <x:v>5</x:v>
      </x:c>
      <x:c r="L350" t="str" s="2">
        <x:v>1.1</x:v>
      </x:c>
      <x:c r="M350" t="str" s="2">
        <x:v>Dead</x:v>
      </x:c>
      <x:c r="N350" t="str" s="2">
        <x:v>Deal Created</x:v>
      </x:c>
      <x:c r="O350" s="0"/>
      <x:c r="P350" s="6">
        <x:v>46223</x:v>
      </x:c>
      <x:c r="Q350" s="6">
        <x:v>46228.746829282405</x:v>
      </x:c>
      <x:c r="R350" s="0"/>
      <x:c r="S350" s="0"/>
      <x:c r="T350" s="0"/>
      <x:c r="U350" s="0"/>
      <x:c r="V350" s="0"/>
      <x:c r="W350" s="0"/>
      <x:c r="X350" t="str" s="2">
        <x:v>9033559512</x:v>
      </x:c>
      <x:c r="Y350" t="str" s="2">
        <x:v>flashmobilerv@gmail.com</x:v>
      </x:c>
      <x:c r="Z350" s="6">
        <x:v>46245.89528020834</x:v>
      </x:c>
      <x:c r="AA350" t="str" s="2">
        <x:v>Yarelis Torres</x:v>
      </x:c>
      <x:c r="AB350" s="6">
        <x:v>46223.77576068287</x:v>
      </x:c>
      <x:c r="AC350" t="n" s="2">
        <x:v>38639</x:v>
      </x:c>
      <x:c r="AD350" s="0"/>
      <x:c r="AE350" s="0"/>
      <x:c r="AF350" s="0"/>
      <x:c r="AG350" s="0"/>
      <x:c r="AH350" s="0"/>
      <x:c r="AI350" s="0"/>
      <x:c r="AJ350" s="0"/>
      <x:c r="AK350" s="0"/>
    </x:row>
    <x:row r="351">
      <x:c r="A351" t="str" s="2">
        <x:f>=HYPERLINK("https://rsms.futurehomex.com/lead/38643", "Jamee Kemp")</x:f>
      </x:c>
      <x:c r="B351" t="n" s="2">
        <x:v>85</x:v>
      </x:c>
      <x:c r="C351" t="str" s="2">
        <x:v/>
      </x:c>
      <x:c r="D351" t="str" s="2">
        <x:f>=""</x:f>
      </x:c>
      <x:c r="E351" s="0"/>
      <x:c r="F351" t="str" s="2">
        <x:v>Meta Ads - Forms</x:v>
      </x:c>
      <x:c r="G351" t="str" s="2">
        <x:v>Heritage Housing of Tulsa</x:v>
      </x:c>
      <x:c r="H351" t="str" s="2">
        <x:v>Derek Searcy</x:v>
      </x:c>
      <x:c r="I351" s="0"/>
      <x:c r="J351" t="str" s="2">
        <x:v>Jenna Fransisco</x:v>
      </x:c>
      <x:c r="K351" t="n" s="2">
        <x:v>5</x:v>
      </x:c>
      <x:c r="L351" t="str" s="2">
        <x:v>1.1</x:v>
      </x:c>
      <x:c r="M351" t="str" s="2">
        <x:v>Inactive</x:v>
      </x:c>
      <x:c r="N351" t="str" s="2">
        <x:v>Prospect</x:v>
      </x:c>
      <x:c r="O351" s="0"/>
      <x:c r="P351" s="6">
        <x:v>46223</x:v>
      </x:c>
      <x:c r="Q351" s="6">
        <x:v>46223.861735300925</x:v>
      </x:c>
      <x:c r="R351" s="0"/>
      <x:c r="S351" s="0"/>
      <x:c r="T351" s="0"/>
      <x:c r="U351" s="0"/>
      <x:c r="V351" s="0"/>
      <x:c r="W351" s="0"/>
      <x:c r="X351" t="str" s="2">
        <x:v>8166058050</x:v>
      </x:c>
      <x:c r="Y351" t="str" s="2">
        <x:v>jaymeekemp@yahoo.com</x:v>
      </x:c>
      <x:c r="Z351" s="0"/>
      <x:c r="AA351" s="0"/>
      <x:c r="AB351" s="6">
        <x:v>46223.861735844905</x:v>
      </x:c>
      <x:c r="AC351" t="n" s="2">
        <x:v>38643</x:v>
      </x:c>
      <x:c r="AD351" s="0"/>
      <x:c r="AE351" s="0"/>
      <x:c r="AF351" s="0"/>
      <x:c r="AG351" s="0"/>
      <x:c r="AH351" s="0"/>
      <x:c r="AI351" s="0"/>
      <x:c r="AJ351" s="0"/>
      <x:c r="AK351" s="0"/>
    </x:row>
    <x:row r="352">
      <x:c r="A352" t="str" s="2">
        <x:f>=HYPERLINK("https://rsms.futurehomex.com/lead/38644", "Charles Thompson")</x:f>
      </x:c>
      <x:c r="B352" t="n" s="2">
        <x:v>85</x:v>
      </x:c>
      <x:c r="C352" t="str" s="2">
        <x:v>0/1</x:v>
      </x:c>
      <x:c r="D352" t="str" s="2">
        <x:f>=""</x:f>
      </x:c>
      <x:c r="E352" s="0"/>
      <x:c r="F352" t="str" s="2">
        <x:v>Walk-in</x:v>
      </x:c>
      <x:c r="G352" t="str" s="2">
        <x:v>Heritage Housing of Minden</x:v>
      </x:c>
      <x:c r="H352" t="str" s="2">
        <x:v>Patrick Schuchart</x:v>
      </x:c>
      <x:c r="I352" t="str" s="2">
        <x:v>Karol Romero</x:v>
      </x:c>
      <x:c r="J352" t="str" s="2">
        <x:v>Patrick Schuchart</x:v>
      </x:c>
      <x:c r="K352" t="n" s="2">
        <x:v>5</x:v>
      </x:c>
      <x:c r="L352" t="str" s="2">
        <x:v>1.1</x:v>
      </x:c>
      <x:c r="M352" t="str" s="2">
        <x:v>Active</x:v>
      </x:c>
      <x:c r="N352" t="str" s="2">
        <x:v>Deal Created</x:v>
      </x:c>
      <x:c r="O352" s="0"/>
      <x:c r="P352" s="6">
        <x:v>46223</x:v>
      </x:c>
      <x:c r="Q352" s="6">
        <x:v>46223.89050559028</x:v>
      </x:c>
      <x:c r="R352" s="0"/>
      <x:c r="S352" s="6">
        <x:v>46223</x:v>
      </x:c>
      <x:c r="T352" s="0"/>
      <x:c r="U352" s="0"/>
      <x:c r="V352" s="0"/>
      <x:c r="W352" s="0"/>
      <x:c r="X352" t="str" s="2">
        <x:v>3185052639</x:v>
      </x:c>
      <x:c r="Y352" t="str" s="2">
        <x:v>3185052639</x:v>
      </x:c>
      <x:c r="Z352" s="6">
        <x:v>46295.87701068287</x:v>
      </x:c>
      <x:c r="AA352" t="str" s="2">
        <x:v>Kyla Brown</x:v>
      </x:c>
      <x:c r="AB352" s="6">
        <x:v>46223.89050725695</x:v>
      </x:c>
      <x:c r="AC352" t="n" s="2">
        <x:v>38644</x:v>
      </x:c>
      <x:c r="AD352" s="0"/>
      <x:c r="AE352" s="0"/>
      <x:c r="AF352" s="0"/>
      <x:c r="AG352" s="0"/>
      <x:c r="AH352" s="0"/>
      <x:c r="AI352" s="0"/>
      <x:c r="AJ352" s="0"/>
      <x:c r="AK352" s="0"/>
    </x:row>
    <x:row r="353">
      <x:c r="A353" t="str" s="2">
        <x:f>=HYPERLINK("https://rsms.futurehomex.com/lead/38649", "Jadyn &amp; Kade Stewart")</x:f>
      </x:c>
      <x:c r="B353" t="n" s="2">
        <x:v>84</x:v>
      </x:c>
      <x:c r="C353" t="str" s="2">
        <x:v>0/2</x:v>
      </x:c>
      <x:c r="D353" t="str" s="2">
        <x:f>=""</x:f>
      </x:c>
      <x:c r="E353" s="0"/>
      <x:c r="F353" t="str" s="2">
        <x:v>Financing Form</x:v>
      </x:c>
      <x:c r="G353" t="str" s="2">
        <x:v>Heritage Housing of Oklahoma City</x:v>
      </x:c>
      <x:c r="H353" t="str" s="2">
        <x:v>Steve Castell</x:v>
      </x:c>
      <x:c r="I353" s="0"/>
      <x:c r="J353" s="0"/>
      <x:c r="K353" t="n" s="2">
        <x:v>5</x:v>
      </x:c>
      <x:c r="L353" t="str" s="2">
        <x:v>1.1</x:v>
      </x:c>
      <x:c r="M353" t="str" s="2">
        <x:v>Dead</x:v>
      </x:c>
      <x:c r="N353" t="str" s="2">
        <x:v>Prospect</x:v>
      </x:c>
      <x:c r="O353" s="0"/>
      <x:c r="P353" s="6">
        <x:v>46224</x:v>
      </x:c>
      <x:c r="Q353" s="6">
        <x:v>46224.06381998843</x:v>
      </x:c>
      <x:c r="R353" t="str" s="2">
        <x:v>Karla Brizuela</x:v>
      </x:c>
      <x:c r="S353" s="0"/>
      <x:c r="T353" s="0"/>
      <x:c r="U353" s="0"/>
      <x:c r="V353" s="0"/>
      <x:c r="W353" s="0"/>
      <x:c r="X353" t="str" s="2">
        <x:v>5808604089</x:v>
      </x:c>
      <x:c r="Y353" t="str" s="2">
        <x:v>jadynstewart06@gmail.com</x:v>
      </x:c>
      <x:c r="Z353" s="6">
        <x:v>46234.96119320602</x:v>
      </x:c>
      <x:c r="AA353" t="str" s="2">
        <x:v>Steve Castell</x:v>
      </x:c>
      <x:c r="AB353" s="6">
        <x:v>46224.06382109954</x:v>
      </x:c>
      <x:c r="AC353" t="n" s="2">
        <x:v>38649</x:v>
      </x:c>
      <x:c r="AD353" s="0"/>
      <x:c r="AE353" s="0"/>
      <x:c r="AF353" s="0"/>
      <x:c r="AG353" s="0"/>
      <x:c r="AH353" s="0"/>
      <x:c r="AI353" s="0"/>
      <x:c r="AJ353" s="0"/>
      <x:c r="AK353" s="0"/>
    </x:row>
    <x:row r="354">
      <x:c r="A354" t="str" s="2">
        <x:f>=HYPERLINK("https://rsms.futurehomex.com/lead/38650", "Alvin Putman, Jr.")</x:f>
      </x:c>
      <x:c r="B354" t="n" s="2">
        <x:v>84</x:v>
      </x:c>
      <x:c r="C354" t="str" s="2">
        <x:v/>
      </x:c>
      <x:c r="D354" t="str" s="2">
        <x:f>=""</x:f>
      </x:c>
      <x:c r="E354" s="0"/>
      <x:c r="F354" t="str" s="2">
        <x:v>Canton</x:v>
      </x:c>
      <x:c r="G354" t="str" s="2">
        <x:v>Heritage Housing of Canton</x:v>
      </x:c>
      <x:c r="H354" t="str" s="2">
        <x:v>Adriana Jaimes-Martinez</x:v>
      </x:c>
      <x:c r="I354" s="0"/>
      <x:c r="J354" s="0"/>
      <x:c r="K354" t="n" s="2">
        <x:v>38</x:v>
      </x:c>
      <x:c r="L354" t="str" s="2">
        <x:v>3.2</x:v>
      </x:c>
      <x:c r="M354" t="str" s="2">
        <x:v>Dead</x:v>
      </x:c>
      <x:c r="N354" t="str" s="2">
        <x:v>Application</x:v>
      </x:c>
      <x:c r="O354" s="0"/>
      <x:c r="P354" s="6">
        <x:v>46224</x:v>
      </x:c>
      <x:c r="Q354" s="6">
        <x:v>46224.614163969905</x:v>
      </x:c>
      <x:c r="R354" s="0"/>
      <x:c r="S354" s="6">
        <x:v>46223</x:v>
      </x:c>
      <x:c r="T354" s="6">
        <x:v>46223</x:v>
      </x:c>
      <x:c r="U354" s="6">
        <x:v>46224</x:v>
      </x:c>
      <x:c r="V354" s="0"/>
      <x:c r="W354" s="0"/>
      <x:c r="X354" t="str" s="2">
        <x:v>9722078410</x:v>
      </x:c>
      <x:c r="Y354" t="str" s="2">
        <x:v>ghputman45@gmail.com</x:v>
      </x:c>
      <x:c r="Z354" s="6">
        <x:v>46224.59958217593</x:v>
      </x:c>
      <x:c r="AA354" t="str" s="2">
        <x:v>Melanie Auclair</x:v>
      </x:c>
      <x:c r="AB354" s="6">
        <x:v>46224.569313078704</x:v>
      </x:c>
      <x:c r="AC354" t="n" s="2">
        <x:v>38650</x:v>
      </x:c>
      <x:c r="AD354" t="str" s="2">
        <x:v>Doublewide</x:v>
      </x:c>
      <x:c r="AE354" t="str" s="2">
        <x:v>21st Mortgage Corporation</x:v>
      </x:c>
      <x:c r="AF354" s="7">
        <x:v>12900</x:v>
      </x:c>
      <x:c r="AG354" s="7">
        <x:v>11000</x:v>
      </x:c>
      <x:c r="AH354" s="0"/>
      <x:c r="AI354" s="0"/>
      <x:c r="AJ354" s="0"/>
      <x:c r="AK354" s="0"/>
    </x:row>
    <x:row r="355">
      <x:c r="A355" t="str" s="2">
        <x:f>=HYPERLINK("https://rsms.futurehomex.com/lead/38651", "Lashanda Little")</x:f>
      </x:c>
      <x:c r="B355" t="n" s="2">
        <x:v>84</x:v>
      </x:c>
      <x:c r="C355" t="str" s="2">
        <x:v>0/2</x:v>
      </x:c>
      <x:c r="D355" t="str" s="2">
        <x:f>=""</x:f>
      </x:c>
      <x:c r="E355" t="str" s="2">
        <x:v>John Williams</x:v>
      </x:c>
      <x:c r="F355" t="str" s="2">
        <x:v>Meta Ads - Forms</x:v>
      </x:c>
      <x:c r="G355" t="str" s="2">
        <x:v>Heritage Housing of Augusta</x:v>
      </x:c>
      <x:c r="H355" t="str" s="2">
        <x:v>Jennifer Johnson</x:v>
      </x:c>
      <x:c r="I355" t="str" s="2">
        <x:v>Karol Romero</x:v>
      </x:c>
      <x:c r="J355" t="str" s="2">
        <x:v>Jennifer Johnson</x:v>
      </x:c>
      <x:c r="K355" t="n" s="2">
        <x:v>38</x:v>
      </x:c>
      <x:c r="L355" t="str" s="2">
        <x:v>3.2</x:v>
      </x:c>
      <x:c r="M355" t="str" s="2">
        <x:v>Inactive</x:v>
      </x:c>
      <x:c r="N355" t="str" s="2">
        <x:v>Application</x:v>
      </x:c>
      <x:c r="O355" s="0"/>
      <x:c r="P355" s="6">
        <x:v>46224</x:v>
      </x:c>
      <x:c r="Q355" s="6">
        <x:v>46233.60402662037</x:v>
      </x:c>
      <x:c r="R355" s="0"/>
      <x:c r="S355" s="6">
        <x:v>46227</x:v>
      </x:c>
      <x:c r="T355" s="6">
        <x:v>46224</x:v>
      </x:c>
      <x:c r="U355" s="0"/>
      <x:c r="V355" s="0"/>
      <x:c r="W355" s="0"/>
      <x:c r="X355" t="str" s="2">
        <x:v>6625498548</x:v>
      </x:c>
      <x:c r="Y355" t="str" s="2">
        <x:v>lashandalittle@yahoo.com</x:v>
      </x:c>
      <x:c r="Z355" s="6">
        <x:v>46233.6052340625</x:v>
      </x:c>
      <x:c r="AA355" t="str" s="2">
        <x:v>Alex Jones</x:v>
      </x:c>
      <x:c r="AB355" s="6">
        <x:v>46224.57872118056</x:v>
      </x:c>
      <x:c r="AC355" t="n" s="2">
        <x:v>38651</x:v>
      </x:c>
      <x:c r="AD355" t="str" s="2">
        <x:v>Singlewide</x:v>
      </x:c>
      <x:c r="AE355" s="0"/>
      <x:c r="AF355" s="0"/>
      <x:c r="AG355" s="7">
        <x:v>500</x:v>
      </x:c>
      <x:c r="AH355" s="0"/>
      <x:c r="AI355" t="str" s="2">
        <x:v>501</x:v>
      </x:c>
      <x:c r="AJ355" s="0"/>
      <x:c r="AK355" s="0"/>
    </x:row>
    <x:row r="356">
      <x:c r="A356" t="str" s="2">
        <x:f>=HYPERLINK("https://rsms.futurehomex.com/lead/38653", "Charlotte Merritt")</x:f>
      </x:c>
      <x:c r="B356" t="n" s="2">
        <x:v>84</x:v>
      </x:c>
      <x:c r="C356" t="str" s="2">
        <x:v/>
      </x:c>
      <x:c r="D356" t="str" s="2">
        <x:f>=""</x:f>
      </x:c>
      <x:c r="E356" s="0"/>
      <x:c r="F356" t="str" s="2">
        <x:v>Facebook Messenger</x:v>
      </x:c>
      <x:c r="G356" t="str" s="2">
        <x:v>Heritage Housing of Albany</x:v>
      </x:c>
      <x:c r="H356" t="str" s="2">
        <x:v>Justin Johnson</x:v>
      </x:c>
      <x:c r="I356" s="0"/>
      <x:c r="J356" t="str" s="2">
        <x:v>Justin Johnson</x:v>
      </x:c>
      <x:c r="K356" t="n" s="2">
        <x:v>5</x:v>
      </x:c>
      <x:c r="L356" t="str" s="2">
        <x:v>1.1</x:v>
      </x:c>
      <x:c r="M356" t="str" s="2">
        <x:v>Tentative</x:v>
      </x:c>
      <x:c r="N356" t="str" s="2">
        <x:v>Deal Created</x:v>
      </x:c>
      <x:c r="O356" s="0"/>
      <x:c r="P356" s="6">
        <x:v>46224</x:v>
      </x:c>
      <x:c r="Q356" s="6">
        <x:v>46224.59673553241</x:v>
      </x:c>
      <x:c r="R356" s="0"/>
      <x:c r="S356" s="0"/>
      <x:c r="T356" s="0"/>
      <x:c r="U356" s="0"/>
      <x:c r="V356" s="0"/>
      <x:c r="W356" s="0"/>
      <x:c r="X356" t="str" s="2">
        <x:v>9122534627</x:v>
      </x:c>
      <x:c r="Y356" t="str" s="2">
        <x:v>9122534627</x:v>
      </x:c>
      <x:c r="Z356" s="6">
        <x:v>46224.599491354165</x:v>
      </x:c>
      <x:c r="AA356" t="str" s="2">
        <x:v>Justin Johnson</x:v>
      </x:c>
      <x:c r="AB356" s="6">
        <x:v>46224.59673738426</x:v>
      </x:c>
      <x:c r="AC356" t="n" s="2">
        <x:v>38653</x:v>
      </x:c>
      <x:c r="AD356" s="0"/>
      <x:c r="AE356" s="0"/>
      <x:c r="AF356" s="0"/>
      <x:c r="AG356" s="0"/>
      <x:c r="AH356" s="0"/>
      <x:c r="AI356" s="0"/>
      <x:c r="AJ356" s="0"/>
      <x:c r="AK356" s="0"/>
    </x:row>
    <x:row r="357">
      <x:c r="A357" t="str" s="2">
        <x:f>=HYPERLINK("https://rsms.futurehomex.com/lead/38654", "Gregorio Rivera")</x:f>
      </x:c>
      <x:c r="B357" t="n" s="2">
        <x:v>84</x:v>
      </x:c>
      <x:c r="C357" t="str" s="2">
        <x:v>0/1</x:v>
      </x:c>
      <x:c r="D357" t="str" s="2">
        <x:f>=""</x:f>
      </x:c>
      <x:c r="E357" s="0"/>
      <x:c r="F357" t="str" s="2">
        <x:v>Meta Marketplace</x:v>
      </x:c>
      <x:c r="G357" t="str" s="2">
        <x:v>Heritage Housing of Greenville</x:v>
      </x:c>
      <x:c r="H357" t="str" s="2">
        <x:v>Oscar Osorio</x:v>
      </x:c>
      <x:c r="I357" s="0"/>
      <x:c r="J357" t="str" s="2">
        <x:v>Oscar Osorio</x:v>
      </x:c>
      <x:c r="K357" t="n" s="2">
        <x:v>59</x:v>
      </x:c>
      <x:c r="L357" t="str" s="2">
        <x:v>4.3</x:v>
      </x:c>
      <x:c r="M357" t="str" s="2">
        <x:v>Active</x:v>
      </x:c>
      <x:c r="N357" t="str" s="2">
        <x:v>Loan Approved</x:v>
      </x:c>
      <x:c r="O357" s="0"/>
      <x:c r="P357" s="6">
        <x:v>46224</x:v>
      </x:c>
      <x:c r="Q357" s="6">
        <x:v>46237.66529837963</x:v>
      </x:c>
      <x:c r="R357" s="0"/>
      <x:c r="S357" s="6">
        <x:v>46221</x:v>
      </x:c>
      <x:c r="T357" s="6">
        <x:v>46224</x:v>
      </x:c>
      <x:c r="U357" s="6">
        <x:v>46238</x:v>
      </x:c>
      <x:c r="V357" s="6">
        <x:v>46241</x:v>
      </x:c>
      <x:c r="W357" s="0"/>
      <x:c r="X357" t="str" s="2">
        <x:v>9728252437</x:v>
      </x:c>
      <x:c r="Y357" t="str" s="2">
        <x:v>Gregoriorivera029@gmail.com</x:v>
      </x:c>
      <x:c r="Z357" s="6">
        <x:v>46238.489971331015</x:v>
      </x:c>
      <x:c r="AA357" t="str" s="2">
        <x:v>Brandie Sartor</x:v>
      </x:c>
      <x:c r="AB357" s="6">
        <x:v>46224.6854465625</x:v>
      </x:c>
      <x:c r="AC357" t="n" s="2">
        <x:v>38654</x:v>
      </x:c>
      <x:c r="AD357" t="str" s="2">
        <x:v>Doublewide</x:v>
      </x:c>
      <x:c r="AE357" t="str" s="2">
        <x:v>Legacy Housing Corporation</x:v>
      </x:c>
      <x:c r="AF357" s="7">
        <x:v>15296</x:v>
      </x:c>
      <x:c r="AG357" s="7">
        <x:v>15296</x:v>
      </x:c>
      <x:c r="AH357" s="7">
        <x:v>1500</x:v>
      </x:c>
      <x:c r="AI357" s="0"/>
      <x:c r="AJ357" s="0"/>
      <x:c r="AK357" s="0"/>
    </x:row>
    <x:row r="358">
      <x:c r="A358" t="str" s="2">
        <x:f>=HYPERLINK("https://rsms.futurehomex.com/lead/38655", "Raye Cole")</x:f>
      </x:c>
      <x:c r="B358" t="n" s="2">
        <x:v>84</x:v>
      </x:c>
      <x:c r="C358" t="str" s="2">
        <x:v>0/3</x:v>
      </x:c>
      <x:c r="D358" t="str" s="2">
        <x:f>=""</x:f>
      </x:c>
      <x:c r="E358" s="0"/>
      <x:c r="F358" t="str" s="2">
        <x:v>HH - Minden</x:v>
      </x:c>
      <x:c r="G358" t="str" s="2">
        <x:v>Heritage Housing of Minden</x:v>
      </x:c>
      <x:c r="H358" t="str" s="2">
        <x:v>Patrick Schuchart</x:v>
      </x:c>
      <x:c r="I358" t="str" s="2">
        <x:v>Karol Romero</x:v>
      </x:c>
      <x:c r="J358" t="str" s="2">
        <x:v>Patrick Schuchart</x:v>
      </x:c>
      <x:c r="K358" t="n" s="2">
        <x:v>34</x:v>
      </x:c>
      <x:c r="L358" t="str" s="2">
        <x:v>2.4</x:v>
      </x:c>
      <x:c r="M358" t="str" s="2">
        <x:v>Inactive</x:v>
      </x:c>
      <x:c r="N358" t="str" s="2">
        <x:v>Deal approval</x:v>
      </x:c>
      <x:c r="O358" s="0"/>
      <x:c r="P358" s="6">
        <x:v>46224</x:v>
      </x:c>
      <x:c r="Q358" s="6">
        <x:v>46225.78292893519</x:v>
      </x:c>
      <x:c r="R358" s="0"/>
      <x:c r="S358" s="0"/>
      <x:c r="T358" s="0"/>
      <x:c r="U358" s="0"/>
      <x:c r="V358" s="0"/>
      <x:c r="W358" s="0"/>
      <x:c r="X358" t="str" s="2">
        <x:v>5055443685</x:v>
      </x:c>
      <x:c r="Y358" t="str" s="2">
        <x:v>5055443685</x:v>
      </x:c>
      <x:c r="Z358" s="6">
        <x:v>46294.888985150465</x:v>
      </x:c>
      <x:c r="AA358" t="str" s="2">
        <x:v>Kyla Brown</x:v>
      </x:c>
      <x:c r="AB358" s="6">
        <x:v>46224.741425266206</x:v>
      </x:c>
      <x:c r="AC358" t="n" s="2">
        <x:v>38655</x:v>
      </x:c>
      <x:c r="AD358" t="str" s="2">
        <x:v>Singlewide</x:v>
      </x:c>
      <x:c r="AE358" s="0"/>
      <x:c r="AF358" s="0"/>
      <x:c r="AG358" s="0"/>
      <x:c r="AH358" s="0"/>
      <x:c r="AI358" s="0"/>
      <x:c r="AJ358" s="0"/>
      <x:c r="AK358" s="0"/>
    </x:row>
    <x:row r="359">
      <x:c r="A359" t="str" s="2">
        <x:f>=HYPERLINK("https://rsms.futurehomex.com/lead/38657", "Rhonda Peterson")</x:f>
      </x:c>
      <x:c r="B359" t="n" s="2">
        <x:v>84</x:v>
      </x:c>
      <x:c r="C359" t="str" s="2">
        <x:v/>
      </x:c>
      <x:c r="D359" t="str" s="2">
        <x:f>=""</x:f>
      </x:c>
      <x:c r="E359" s="0"/>
      <x:c r="F359" t="str" s="2">
        <x:v>Facebook Messenger</x:v>
      </x:c>
      <x:c r="G359" t="str" s="2">
        <x:v>Heritage Housing of Albany</x:v>
      </x:c>
      <x:c r="H359" t="str" s="2">
        <x:v>Justin Johnson</x:v>
      </x:c>
      <x:c r="I359" s="0"/>
      <x:c r="J359" t="str" s="2">
        <x:v>Justin Johnson</x:v>
      </x:c>
      <x:c r="K359" t="n" s="2">
        <x:v>5</x:v>
      </x:c>
      <x:c r="L359" t="str" s="2">
        <x:v>1.1</x:v>
      </x:c>
      <x:c r="M359" t="str" s="2">
        <x:v>Active</x:v>
      </x:c>
      <x:c r="N359" t="str" s="2">
        <x:v>Deal Created</x:v>
      </x:c>
      <x:c r="O359" s="0"/>
      <x:c r="P359" s="6">
        <x:v>46224</x:v>
      </x:c>
      <x:c r="Q359" s="6">
        <x:v>46247.81478943287</x:v>
      </x:c>
      <x:c r="R359" s="0"/>
      <x:c r="S359" s="0"/>
      <x:c r="T359" s="0"/>
      <x:c r="U359" s="0"/>
      <x:c r="V359" s="0"/>
      <x:c r="W359" s="0"/>
      <x:c r="X359" t="str" s="2">
        <x:v>6782093632</x:v>
      </x:c>
      <x:c r="Y359" t="str" s="2">
        <x:v>6782093632</x:v>
      </x:c>
      <x:c r="Z359" s="6">
        <x:v>46224.74220586805</x:v>
      </x:c>
      <x:c r="AA359" t="str" s="2">
        <x:v>Justin Johnson</x:v>
      </x:c>
      <x:c r="AB359" s="6">
        <x:v>46224.74077696759</x:v>
      </x:c>
      <x:c r="AC359" t="n" s="2">
        <x:v>38657</x:v>
      </x:c>
      <x:c r="AD359" s="0"/>
      <x:c r="AE359" s="0"/>
      <x:c r="AF359" s="0"/>
      <x:c r="AG359" s="0"/>
      <x:c r="AH359" s="0"/>
      <x:c r="AI359" s="0"/>
      <x:c r="AJ359" s="0"/>
      <x:c r="AK359" s="0"/>
    </x:row>
    <x:row r="360">
      <x:c r="A360" t="str" s="2">
        <x:f>=HYPERLINK("https://rsms.futurehomex.com/lead/38659", "RICKY MIRELES")</x:f>
      </x:c>
      <x:c r="B360" t="n" s="2">
        <x:v>84</x:v>
      </x:c>
      <x:c r="C360" t="str" s="2">
        <x:v/>
      </x:c>
      <x:c r="D360" t="str" s="2">
        <x:f>=""</x:f>
      </x:c>
      <x:c r="E360" s="0"/>
      <x:c r="F360" t="str" s="2">
        <x:v>Walk-in</x:v>
      </x:c>
      <x:c r="G360" t="str" s="2">
        <x:v>Legacy Housing Corp. DBA Americasa</x:v>
      </x:c>
      <x:c r="H360" t="str" s="2">
        <x:v>Jose Parada</x:v>
      </x:c>
      <x:c r="I360" s="0"/>
      <x:c r="J360" s="0"/>
      <x:c r="K360" t="n" s="2">
        <x:v>5</x:v>
      </x:c>
      <x:c r="L360" t="str" s="2">
        <x:v>1.1</x:v>
      </x:c>
      <x:c r="M360" t="str" s="2">
        <x:v>Tentative</x:v>
      </x:c>
      <x:c r="N360" t="str" s="2">
        <x:v>Prospect</x:v>
      </x:c>
      <x:c r="O360" s="0"/>
      <x:c r="P360" s="6">
        <x:v>46224</x:v>
      </x:c>
      <x:c r="Q360" s="6">
        <x:v>46224.81198880787</x:v>
      </x:c>
      <x:c r="R360" s="0"/>
      <x:c r="S360" s="0"/>
      <x:c r="T360" s="0"/>
      <x:c r="U360" s="0"/>
      <x:c r="V360" s="0"/>
      <x:c r="W360" s="0"/>
      <x:c r="X360" t="str" s="2">
        <x:v>7135424438</x:v>
      </x:c>
      <x:c r="Y360" t="str" s="2">
        <x:v>deleon.marivel@yahoo.com</x:v>
      </x:c>
      <x:c r="Z360" s="0"/>
      <x:c r="AA360" s="0"/>
      <x:c r="AB360" s="6">
        <x:v>46224.81198935185</x:v>
      </x:c>
      <x:c r="AC360" t="n" s="2">
        <x:v>38659</x:v>
      </x:c>
      <x:c r="AD360" s="0"/>
      <x:c r="AE360" s="0"/>
      <x:c r="AF360" s="0"/>
      <x:c r="AG360" s="0"/>
      <x:c r="AH360" s="0"/>
      <x:c r="AI360" s="0"/>
      <x:c r="AJ360" s="0"/>
      <x:c r="AK360" s="0"/>
    </x:row>
    <x:row r="361">
      <x:c r="A361" t="str" s="2">
        <x:f>=HYPERLINK("https://rsms.futurehomex.com/lead/38660", "Jennifer Robinson")</x:f>
      </x:c>
      <x:c r="B361" t="n" s="2">
        <x:v>84</x:v>
      </x:c>
      <x:c r="C361" t="str" s="2">
        <x:v>0/4</x:v>
      </x:c>
      <x:c r="D361" t="str" s="2">
        <x:f>=""</x:f>
      </x:c>
      <x:c r="E361" s="0"/>
      <x:c r="F361" t="str" s="2">
        <x:v>Financing Form</x:v>
      </x:c>
      <x:c r="G361" t="str" s="2">
        <x:v>Heritage Housing of Jennings</x:v>
      </x:c>
      <x:c r="H361" t="str" s="2">
        <x:v>Clint O'Neal</x:v>
      </x:c>
      <x:c r="I361" s="0"/>
      <x:c r="J361" t="str" s="2">
        <x:v>Clint O'Neal</x:v>
      </x:c>
      <x:c r="K361" t="n" s="2">
        <x:v>5</x:v>
      </x:c>
      <x:c r="L361" t="str" s="2">
        <x:v>1.1</x:v>
      </x:c>
      <x:c r="M361" t="str" s="2">
        <x:v>Active</x:v>
      </x:c>
      <x:c r="N361" t="str" s="2">
        <x:v>Deal Created</x:v>
      </x:c>
      <x:c r="O361" s="0"/>
      <x:c r="P361" s="6">
        <x:v>46224</x:v>
      </x:c>
      <x:c r="Q361" s="6">
        <x:v>46224.81947809028</x:v>
      </x:c>
      <x:c r="R361" s="0"/>
      <x:c r="S361" s="0"/>
      <x:c r="T361" s="0"/>
      <x:c r="U361" s="0"/>
      <x:c r="V361" s="0"/>
      <x:c r="W361" s="0"/>
      <x:c r="X361" t="str" s="2">
        <x:v>561-310-8826</x:v>
      </x:c>
      <x:c r="Y361" t="str" s="2">
        <x:v>jrobinson22311@gmail.com</x:v>
      </x:c>
      <x:c r="Z361" s="6">
        <x:v>46273.74293017361</x:v>
      </x:c>
      <x:c r="AA361" t="str" s="2">
        <x:v>Clint O'Neal</x:v>
      </x:c>
      <x:c r="AB361" s="6">
        <x:v>46224.81805570602</x:v>
      </x:c>
      <x:c r="AC361" t="n" s="2">
        <x:v>38660</x:v>
      </x:c>
      <x:c r="AD361" s="0"/>
      <x:c r="AE361" s="0"/>
      <x:c r="AF361" s="0"/>
      <x:c r="AG361" s="0"/>
      <x:c r="AH361" s="0"/>
      <x:c r="AI361" s="0"/>
      <x:c r="AJ361" s="0"/>
      <x:c r="AK361" s="0"/>
    </x:row>
    <x:row r="362">
      <x:c r="A362" t="str" s="2">
        <x:f>=HYPERLINK("https://rsms.futurehomex.com/lead/38661", "Erika Matias")</x:f>
      </x:c>
      <x:c r="B362" t="n" s="2">
        <x:v>84</x:v>
      </x:c>
      <x:c r="C362" t="str" s="2">
        <x:v>0/2</x:v>
      </x:c>
      <x:c r="D362" t="str" s="2">
        <x:f>=""</x:f>
      </x:c>
      <x:c r="E362" t="str" s="2">
        <x:v>Edwin Matias</x:v>
      </x:c>
      <x:c r="F362" t="str" s="2">
        <x:v>Meta Marketplace</x:v>
      </x:c>
      <x:c r="G362" t="str" s="2">
        <x:v>Legacy Housing Corp. DBA Americasa</x:v>
      </x:c>
      <x:c r="H362" t="str" s="2">
        <x:v>Joey Marquez</x:v>
      </x:c>
      <x:c r="I362" t="str" s="2">
        <x:v>Karol Romero</x:v>
      </x:c>
      <x:c r="J362" t="str" s="2">
        <x:v>Rodrigo Ramirez</x:v>
      </x:c>
      <x:c r="K362" t="n" s="2">
        <x:v>5</x:v>
      </x:c>
      <x:c r="L362" t="str" s="2">
        <x:v>1.1</x:v>
      </x:c>
      <x:c r="M362" t="str" s="2">
        <x:v>Tentative</x:v>
      </x:c>
      <x:c r="N362" t="str" s="2">
        <x:v>Deal Created</x:v>
      </x:c>
      <x:c r="O362" s="0"/>
      <x:c r="P362" s="6">
        <x:v>46224</x:v>
      </x:c>
      <x:c r="Q362" s="6">
        <x:v>46224.84420829861</x:v>
      </x:c>
      <x:c r="R362" s="0"/>
      <x:c r="S362" s="6">
        <x:v>46224</x:v>
      </x:c>
      <x:c r="T362" s="0"/>
      <x:c r="U362" s="0"/>
      <x:c r="V362" s="0"/>
      <x:c r="W362" s="0"/>
      <x:c r="X362" t="str" s="2">
        <x:v>8324190921</x:v>
      </x:c>
      <x:c r="Y362" t="str" s="2">
        <x:v>8324190921</x:v>
      </x:c>
      <x:c r="Z362" s="6">
        <x:v>46290.79920894676</x:v>
      </x:c>
      <x:c r="AA362" t="str" s="2">
        <x:v>Joey Marquez</x:v>
      </x:c>
      <x:c r="AB362" s="6">
        <x:v>46224.843590358796</x:v>
      </x:c>
      <x:c r="AC362" t="n" s="2">
        <x:v>38661</x:v>
      </x:c>
      <x:c r="AD362" s="0"/>
      <x:c r="AE362" s="0"/>
      <x:c r="AF362" s="0"/>
      <x:c r="AG362" s="0"/>
      <x:c r="AH362" s="0"/>
      <x:c r="AI362" s="0"/>
      <x:c r="AJ362" s="0"/>
      <x:c r="AK362" s="0"/>
    </x:row>
    <x:row r="363">
      <x:c r="A363" t="str" s="2">
        <x:f>=HYPERLINK("https://rsms.futurehomex.com/lead/38663", "Antonio Bustamante")</x:f>
      </x:c>
      <x:c r="B363" t="n" s="2">
        <x:v>84</x:v>
      </x:c>
      <x:c r="C363" t="str" s="2">
        <x:v/>
      </x:c>
      <x:c r="D363" t="str" s="2">
        <x:f>=""</x:f>
      </x:c>
      <x:c r="E363" s="0"/>
      <x:c r="F363" t="str" s="2">
        <x:v>Walk-in</x:v>
      </x:c>
      <x:c r="G363" t="str" s="2">
        <x:v>Heritage Housing of Asheboro</x:v>
      </x:c>
      <x:c r="H363" t="str" s="2">
        <x:v>Maria Lopez</x:v>
      </x:c>
      <x:c r="I363" t="str" s="2">
        <x:v>Karol Romero</x:v>
      </x:c>
      <x:c r="J363" t="str" s="2">
        <x:v>Maria Lopez</x:v>
      </x:c>
      <x:c r="K363" t="n" s="2">
        <x:v>21</x:v>
      </x:c>
      <x:c r="L363" t="str" s="2">
        <x:v>2.1</x:v>
      </x:c>
      <x:c r="M363" t="str" s="2">
        <x:v>Tentative</x:v>
      </x:c>
      <x:c r="N363" t="str" s="2">
        <x:v>Qualified</x:v>
      </x:c>
      <x:c r="O363" s="0"/>
      <x:c r="P363" s="6">
        <x:v>46224</x:v>
      </x:c>
      <x:c r="Q363" s="6">
        <x:v>46238.70301886574</x:v>
      </x:c>
      <x:c r="R363" s="0"/>
      <x:c r="S363" s="6">
        <x:v>46223</x:v>
      </x:c>
      <x:c r="T363" s="0"/>
      <x:c r="U363" s="0"/>
      <x:c r="V363" s="0"/>
      <x:c r="W363" s="0"/>
      <x:c r="X363" t="str" s="2">
        <x:v>9198882374</x:v>
      </x:c>
      <x:c r="Y363" t="str" s="2">
        <x:v>antoniorambtte919@gmail.com</x:v>
      </x:c>
      <x:c r="Z363" s="6">
        <x:v>46238.70300443287</x:v>
      </x:c>
      <x:c r="AA363" t="str" s="2">
        <x:v>Jeremy Jacques</x:v>
      </x:c>
      <x:c r="AB363" s="6">
        <x:v>46224.87314471065</x:v>
      </x:c>
      <x:c r="AC363" t="n" s="2">
        <x:v>38663</x:v>
      </x:c>
      <x:c r="AD363" s="0"/>
      <x:c r="AE363" s="0"/>
      <x:c r="AF363" s="0"/>
      <x:c r="AG363" s="0"/>
      <x:c r="AH363" s="0"/>
      <x:c r="AI363" s="0"/>
      <x:c r="AJ363" s="0"/>
      <x:c r="AK363" s="0"/>
    </x:row>
    <x:row r="364">
      <x:c r="A364" t="str" s="2">
        <x:f>=HYPERLINK("https://rsms.futurehomex.com/lead/38665", "Rowena Gaines")</x:f>
      </x:c>
      <x:c r="B364" t="n" s="2">
        <x:v>84</x:v>
      </x:c>
      <x:c r="C364" t="str" s="2">
        <x:v/>
      </x:c>
      <x:c r="D364" t="str" s="2">
        <x:f>=""</x:f>
      </x:c>
      <x:c r="E364" s="0"/>
      <x:c r="F364" t="str" s="2">
        <x:v>Meta Ads - Forms</x:v>
      </x:c>
      <x:c r="G364" t="str" s="2">
        <x:v>Heritage Housing of Tulsa</x:v>
      </x:c>
      <x:c r="H364" t="str" s="2">
        <x:v>Jenna Fransisco</x:v>
      </x:c>
      <x:c r="I364" s="0"/>
      <x:c r="J364" t="str" s="2">
        <x:v>Jenna Fransisco</x:v>
      </x:c>
      <x:c r="K364" t="n" s="2">
        <x:v>5</x:v>
      </x:c>
      <x:c r="L364" t="str" s="2">
        <x:v>1.1</x:v>
      </x:c>
      <x:c r="M364" t="str" s="2">
        <x:v>Tentative</x:v>
      </x:c>
      <x:c r="N364" t="str" s="2">
        <x:v>Prospect</x:v>
      </x:c>
      <x:c r="O364" s="0"/>
      <x:c r="P364" s="6">
        <x:v>46224</x:v>
      </x:c>
      <x:c r="Q364" s="6">
        <x:v>46224.87911674769</x:v>
      </x:c>
      <x:c r="R364" s="0"/>
      <x:c r="S364" s="0"/>
      <x:c r="T364" s="0"/>
      <x:c r="U364" s="0"/>
      <x:c r="V364" s="0"/>
      <x:c r="W364" s="0"/>
      <x:c r="X364" t="str" s="2">
        <x:v>9186016455</x:v>
      </x:c>
      <x:c r="Y364" t="str" s="2">
        <x:v>rgailgaines@gmail.com</x:v>
      </x:c>
      <x:c r="Z364" s="0"/>
      <x:c r="AA364" s="0"/>
      <x:c r="AB364" s="6">
        <x:v>46224.87911721065</x:v>
      </x:c>
      <x:c r="AC364" t="n" s="2">
        <x:v>38665</x:v>
      </x:c>
      <x:c r="AD364" s="0"/>
      <x:c r="AE364" s="0"/>
      <x:c r="AF364" s="0"/>
      <x:c r="AG364" s="0"/>
      <x:c r="AH364" s="0"/>
      <x:c r="AI364" s="0"/>
      <x:c r="AJ364" s="0"/>
      <x:c r="AK364" s="0"/>
    </x:row>
    <x:row r="365">
      <x:c r="A365" t="str" s="2">
        <x:f>=HYPERLINK("https://rsms.futurehomex.com/lead/38666", "Roger Thiltgen")</x:f>
      </x:c>
      <x:c r="B365" t="n" s="2">
        <x:v>84</x:v>
      </x:c>
      <x:c r="C365" t="str" s="2">
        <x:v/>
      </x:c>
      <x:c r="D365" t="str" s="2">
        <x:f>="CASH"</x:f>
      </x:c>
      <x:c r="E365" s="0"/>
      <x:c r="F365" t="str" s="2">
        <x:v>Referrals</x:v>
      </x:c>
      <x:c r="G365" t="str" s="2">
        <x:v>Heritage Housing Gainesville</x:v>
      </x:c>
      <x:c r="H365" t="str" s="2">
        <x:v>John Schwichtenberg</x:v>
      </x:c>
      <x:c r="I365" s="0"/>
      <x:c r="J365" s="0"/>
      <x:c r="K365" t="n" s="2">
        <x:v>100</x:v>
      </x:c>
      <x:c r="L365" t="str" s="2">
        <x:v>6.2</x:v>
      </x:c>
      <x:c r="M365" t="str" s="2">
        <x:v>Closed</x:v>
      </x:c>
      <x:c r="N365" t="str" s="2">
        <x:v>Delivered</x:v>
      </x:c>
      <x:c r="O365" s="6">
        <x:v>46226</x:v>
      </x:c>
      <x:c r="P365" s="6">
        <x:v>46224</x:v>
      </x:c>
      <x:c r="Q365" s="6">
        <x:v>46226.75789302083</x:v>
      </x:c>
      <x:c r="R365" s="0"/>
      <x:c r="S365" s="0"/>
      <x:c r="T365" s="0"/>
      <x:c r="U365" s="6">
        <x:v>46224</x:v>
      </x:c>
      <x:c r="V365" s="0"/>
      <x:c r="W365" s="6">
        <x:v>46226</x:v>
      </x:c>
      <x:c r="X365" t="str" s="2">
        <x:v>9038199087</x:v>
      </x:c>
      <x:c r="Y365" t="str" s="2">
        <x:v>rthiltgen@aol.com</x:v>
      </x:c>
      <x:c r="Z365" s="6">
        <x:v>46226.754897997685</x:v>
      </x:c>
      <x:c r="AA365" t="str" s="2">
        <x:v>John Schwichtenberg</x:v>
      </x:c>
      <x:c r="AB365" s="6">
        <x:v>46224.89698090278</x:v>
      </x:c>
      <x:c r="AC365" t="n" s="2">
        <x:v>38666</x:v>
      </x:c>
      <x:c r="AD365" t="str" s="2">
        <x:v>Singlewide</x:v>
      </x:c>
      <x:c r="AE365" s="0"/>
      <x:c r="AF365" s="7">
        <x:v>72000</x:v>
      </x:c>
      <x:c r="AG365" s="7">
        <x:v>72000</x:v>
      </x:c>
      <x:c r="AH365" s="0"/>
      <x:c r="AI365" s="0"/>
      <x:c r="AJ365" s="0"/>
      <x:c r="AK365" s="0"/>
    </x:row>
    <x:row r="366">
      <x:c r="A366" t="str" s="2">
        <x:f>=HYPERLINK("https://rsms.futurehomex.com/lead/38667", "Dakotah Nygaard")</x:f>
      </x:c>
      <x:c r="B366" t="n" s="2">
        <x:v>84</x:v>
      </x:c>
      <x:c r="C366" t="str" s="2">
        <x:v>1/1</x:v>
      </x:c>
      <x:c r="D366" t="str" s="2">
        <x:f>=""</x:f>
      </x:c>
      <x:c r="E366" s="0"/>
      <x:c r="F366" t="str" s="2">
        <x:v>HH - Oklahoma City</x:v>
      </x:c>
      <x:c r="G366" t="str" s="2">
        <x:v>Heritage Housing of Oklahoma City</x:v>
      </x:c>
      <x:c r="H366" t="str" s="2">
        <x:v>Trey Rixleben</x:v>
      </x:c>
      <x:c r="I366" t="str" s="2">
        <x:v>Karol Romero</x:v>
      </x:c>
      <x:c r="J366" t="str" s="2">
        <x:v>Trey Rixleben</x:v>
      </x:c>
      <x:c r="K366" t="n" s="2">
        <x:v>5</x:v>
      </x:c>
      <x:c r="L366" t="str" s="2">
        <x:v>1.1</x:v>
      </x:c>
      <x:c r="M366" t="str" s="2">
        <x:v>Tentative</x:v>
      </x:c>
      <x:c r="N366" t="str" s="2">
        <x:v>Deal Created</x:v>
      </x:c>
      <x:c r="O366" s="0"/>
      <x:c r="P366" s="6">
        <x:v>46224</x:v>
      </x:c>
      <x:c r="Q366" s="6">
        <x:v>46290.82668515046</x:v>
      </x:c>
      <x:c r="R366" s="0"/>
      <x:c r="S366" s="6">
        <x:v>46229</x:v>
      </x:c>
      <x:c r="T366" s="0"/>
      <x:c r="U366" s="0"/>
      <x:c r="V366" s="0"/>
      <x:c r="W366" s="0"/>
      <x:c r="X366" t="str" s="2">
        <x:v>4054441702</x:v>
      </x:c>
      <x:c r="Y366" t="str" s="2">
        <x:v>coltscomplete@gmail.com</x:v>
      </x:c>
      <x:c r="Z366" s="6">
        <x:v>46290.827520520834</x:v>
      </x:c>
      <x:c r="AA366" t="str" s="2">
        <x:v>Trey Rixleben</x:v>
      </x:c>
      <x:c r="AB366" s="6">
        <x:v>46224.900834340275</x:v>
      </x:c>
      <x:c r="AC366" t="n" s="2">
        <x:v>38667</x:v>
      </x:c>
      <x:c r="AD366" s="0"/>
      <x:c r="AE366" s="0"/>
      <x:c r="AF366" s="0"/>
      <x:c r="AG366" s="0"/>
      <x:c r="AH366" s="0"/>
      <x:c r="AI366" s="0"/>
      <x:c r="AJ366" s="0"/>
      <x:c r="AK366" s="0"/>
    </x:row>
    <x:row r="367">
      <x:c r="A367" t="str" s="2">
        <x:f>=HYPERLINK("https://rsms.futurehomex.com/lead/38669", "Medd Chayston")</x:f>
      </x:c>
      <x:c r="B367" t="n" s="2">
        <x:v>84</x:v>
      </x:c>
      <x:c r="C367" t="str" s="2">
        <x:v>1/1</x:v>
      </x:c>
      <x:c r="D367" t="str" s="2">
        <x:f>=""</x:f>
      </x:c>
      <x:c r="E367" s="0"/>
      <x:c r="F367" t="str" s="2">
        <x:v>Walk-in</x:v>
      </x:c>
      <x:c r="G367" t="str" s="2">
        <x:v>Heritage Housing of Oklahoma City</x:v>
      </x:c>
      <x:c r="H367" t="str" s="2">
        <x:v>Alejandra Calderon</x:v>
      </x:c>
      <x:c r="I367" s="0"/>
      <x:c r="J367" t="str" s="2">
        <x:v>Steve Castell</x:v>
      </x:c>
      <x:c r="K367" t="n" s="2">
        <x:v>5</x:v>
      </x:c>
      <x:c r="L367" t="str" s="2">
        <x:v>1.1</x:v>
      </x:c>
      <x:c r="M367" t="str" s="2">
        <x:v>Tentative</x:v>
      </x:c>
      <x:c r="N367" t="str" s="2">
        <x:v>Deal Created</x:v>
      </x:c>
      <x:c r="O367" s="0"/>
      <x:c r="P367" s="6">
        <x:v>46224</x:v>
      </x:c>
      <x:c r="Q367" s="6">
        <x:v>46224.928477118054</x:v>
      </x:c>
      <x:c r="R367" t="str" s="2">
        <x:v>Trey Rixleben</x:v>
      </x:c>
      <x:c r="S367" s="6">
        <x:v>46224</x:v>
      </x:c>
      <x:c r="T367" s="0"/>
      <x:c r="U367" s="0"/>
      <x:c r="V367" s="0"/>
      <x:c r="W367" s="0"/>
      <x:c r="X367" t="str" s="2">
        <x:v>3086558019</x:v>
      </x:c>
      <x:c r="Y367" t="str" s="2">
        <x:v>chayston.04@yahoo.com</x:v>
      </x:c>
      <x:c r="Z367" s="6">
        <x:v>46228.817572569445</x:v>
      </x:c>
      <x:c r="AA367" t="str" s="2">
        <x:v>Karla Brizuela</x:v>
      </x:c>
      <x:c r="AB367" s="6">
        <x:v>46224.9284787037</x:v>
      </x:c>
      <x:c r="AC367" t="n" s="2">
        <x:v>38669</x:v>
      </x:c>
      <x:c r="AD367" s="0"/>
      <x:c r="AE367" s="0"/>
      <x:c r="AF367" s="0"/>
      <x:c r="AG367" s="0"/>
      <x:c r="AH367" s="0"/>
      <x:c r="AI367" s="0"/>
      <x:c r="AJ367" s="0"/>
      <x:c r="AK367" s="0"/>
    </x:row>
    <x:row r="368">
      <x:c r="A368" t="str" s="2">
        <x:f>=HYPERLINK("https://rsms.futurehomex.com/lead/38672", "Laura Borders")</x:f>
      </x:c>
      <x:c r="B368" t="n" s="2">
        <x:v>83</x:v>
      </x:c>
      <x:c r="C368" t="str" s="2">
        <x:v/>
      </x:c>
      <x:c r="D368" t="str" s="2">
        <x:f>=""</x:f>
      </x:c>
      <x:c r="E368" s="0"/>
      <x:c r="F368" t="str" s="2">
        <x:v>META Marketplace</x:v>
      </x:c>
      <x:c r="G368" t="str" s="2">
        <x:v>Heritage Housing Mt Pleasant</x:v>
      </x:c>
      <x:c r="H368" t="str" s="2">
        <x:v>Yarelis Torres</x:v>
      </x:c>
      <x:c r="I368" s="0"/>
      <x:c r="J368" t="str" s="2">
        <x:v>Yarelis Torres</x:v>
      </x:c>
      <x:c r="K368" t="n" s="2">
        <x:v>5</x:v>
      </x:c>
      <x:c r="L368" t="str" s="2">
        <x:v>1.1</x:v>
      </x:c>
      <x:c r="M368" t="str" s="2">
        <x:v>Tentative</x:v>
      </x:c>
      <x:c r="N368" t="str" s="2">
        <x:v>Deal Created</x:v>
      </x:c>
      <x:c r="O368" s="0"/>
      <x:c r="P368" s="6">
        <x:v>46225</x:v>
      </x:c>
      <x:c r="Q368" s="6">
        <x:v>46225.02741678241</x:v>
      </x:c>
      <x:c r="R368" s="0"/>
      <x:c r="S368" s="0"/>
      <x:c r="T368" s="0"/>
      <x:c r="U368" s="0"/>
      <x:c r="V368" s="0"/>
      <x:c r="W368" s="0"/>
      <x:c r="X368" t="str" s="2" xml:space="preserve">
        <x:v> 9032190130    </x:v>
      </x:c>
      <x:c r="Y368" t="str" s="2">
        <x:v>watsonborderslgail591@gmail.com</x:v>
      </x:c>
      <x:c r="Z368" s="6">
        <x:v>46225.03330231481</x:v>
      </x:c>
      <x:c r="AA368" t="str" s="2">
        <x:v>Yarelis Torres</x:v>
      </x:c>
      <x:c r="AB368" s="6">
        <x:v>46225.02741898148</x:v>
      </x:c>
      <x:c r="AC368" t="n" s="2">
        <x:v>38672</x:v>
      </x:c>
      <x:c r="AD368" s="0"/>
      <x:c r="AE368" s="0"/>
      <x:c r="AF368" s="0"/>
      <x:c r="AG368" s="0"/>
      <x:c r="AH368" s="0"/>
      <x:c r="AI368" s="0"/>
      <x:c r="AJ368" s="0"/>
      <x:c r="AK368" s="0"/>
    </x:row>
    <x:row r="369">
      <x:c r="A369" t="str" s="2">
        <x:f>=HYPERLINK("https://rsms.futurehomex.com/lead/38675", "Kendrick Crawford")</x:f>
      </x:c>
      <x:c r="B369" t="n" s="2">
        <x:v>83</x:v>
      </x:c>
      <x:c r="C369" t="str" s="2">
        <x:v>0/2</x:v>
      </x:c>
      <x:c r="D369" t="str" s="2">
        <x:f>=""</x:f>
      </x:c>
      <x:c r="E369" s="0"/>
      <x:c r="F369" t="str" s="2">
        <x:v>HH - Minden</x:v>
      </x:c>
      <x:c r="G369" t="str" s="2">
        <x:v>Heritage Housing of Minden</x:v>
      </x:c>
      <x:c r="H369" t="str" s="2">
        <x:v>Patrick Schuchart</x:v>
      </x:c>
      <x:c r="I369" t="str" s="2">
        <x:v>Karol Romero</x:v>
      </x:c>
      <x:c r="J369" t="str" s="2">
        <x:v>Patrick Schuchart</x:v>
      </x:c>
      <x:c r="K369" t="n" s="2">
        <x:v>5</x:v>
      </x:c>
      <x:c r="L369" t="str" s="2">
        <x:v>1.1</x:v>
      </x:c>
      <x:c r="M369" t="str" s="2">
        <x:v>Tentative</x:v>
      </x:c>
      <x:c r="N369" t="str" s="2">
        <x:v>Deal Created</x:v>
      </x:c>
      <x:c r="O369" s="0"/>
      <x:c r="P369" s="6">
        <x:v>46225</x:v>
      </x:c>
      <x:c r="Q369" s="6">
        <x:v>46225.593662928244</x:v>
      </x:c>
      <x:c r="R369" t="str" s="2">
        <x:v>Patrick Schuchart</x:v>
      </x:c>
      <x:c r="S369" s="0"/>
      <x:c r="T369" s="0"/>
      <x:c r="U369" s="0"/>
      <x:c r="V369" s="0"/>
      <x:c r="W369" s="0"/>
      <x:c r="X369" t="str" s="2">
        <x:v>3186072601</x:v>
      </x:c>
      <x:c r="Y369" t="str" s="2">
        <x:v>3186072601</x:v>
      </x:c>
      <x:c r="Z369" s="6">
        <x:v>46290.73969783565</x:v>
      </x:c>
      <x:c r="AA369" t="str" s="2">
        <x:v>Patrick Schuchart</x:v>
      </x:c>
      <x:c r="AB369" s="6">
        <x:v>46225.59366550926</x:v>
      </x:c>
      <x:c r="AC369" t="n" s="2">
        <x:v>38675</x:v>
      </x:c>
      <x:c r="AD369" s="0"/>
      <x:c r="AE369" s="0"/>
      <x:c r="AF369" s="0"/>
      <x:c r="AG369" s="0"/>
      <x:c r="AH369" s="0"/>
      <x:c r="AI369" s="0"/>
      <x:c r="AJ369" s="0"/>
      <x:c r="AK369" s="0"/>
    </x:row>
    <x:row r="370">
      <x:c r="A370" t="str" s="2">
        <x:f>=HYPERLINK("https://rsms.futurehomex.com/lead/38676", "Christian Test")</x:f>
      </x:c>
      <x:c r="B370" t="n" s="2">
        <x:v>83</x:v>
      </x:c>
      <x:c r="C370" t="str" s="2">
        <x:v/>
      </x:c>
      <x:c r="D370" t="str" s="2">
        <x:f>=""</x:f>
      </x:c>
      <x:c r="E370" s="0"/>
      <x:c r="F370" t="str" s="2">
        <x:v>Walk-in</x:v>
      </x:c>
      <x:c r="G370" t="str" s="2">
        <x:v>Heritage Housing of Augusta</x:v>
      </x:c>
      <x:c r="H370" t="str" s="2">
        <x:v>Alex Jones</x:v>
      </x:c>
      <x:c r="I370" s="0"/>
      <x:c r="J370" s="0"/>
      <x:c r="K370" t="n" s="2">
        <x:v>5</x:v>
      </x:c>
      <x:c r="L370" t="str" s="2">
        <x:v>1.1</x:v>
      </x:c>
      <x:c r="M370" t="str" s="2">
        <x:v>Dead</x:v>
      </x:c>
      <x:c r="N370" t="str" s="2">
        <x:v>Prospect</x:v>
      </x:c>
      <x:c r="O370" s="0"/>
      <x:c r="P370" s="6">
        <x:v>46225</x:v>
      </x:c>
      <x:c r="Q370" s="6">
        <x:v>46225.65735084491</x:v>
      </x:c>
      <x:c r="R370" s="0"/>
      <x:c r="S370" s="6">
        <x:v>46225</x:v>
      </x:c>
      <x:c r="T370" s="0"/>
      <x:c r="U370" s="0"/>
      <x:c r="V370" s="0"/>
      <x:c r="W370" s="0"/>
      <x:c r="X370" t="str" s="2">
        <x:v>8039913108</x:v>
      </x:c>
      <x:c r="Y370" t="str" s="2">
        <x:v>christian425601@gmail.com</x:v>
      </x:c>
      <x:c r="Z370" s="0"/>
      <x:c r="AA370" s="0"/>
      <x:c r="AB370" s="6">
        <x:v>46233.824631979165</x:v>
      </x:c>
      <x:c r="AC370" t="n" s="2">
        <x:v>38676</x:v>
      </x:c>
      <x:c r="AD370" s="0"/>
      <x:c r="AE370" s="0"/>
      <x:c r="AF370" s="0"/>
      <x:c r="AG370" s="0"/>
      <x:c r="AH370" s="0"/>
      <x:c r="AI370" s="0"/>
      <x:c r="AJ370" s="0"/>
      <x:c r="AK370" s="0"/>
    </x:row>
    <x:row r="371">
      <x:c r="A371" t="str" s="2">
        <x:f>=HYPERLINK("https://rsms.futurehomex.com/lead/38677", "SARAH GRANT")</x:f>
      </x:c>
      <x:c r="B371" t="n" s="2">
        <x:v>83</x:v>
      </x:c>
      <x:c r="C371" t="str" s="2">
        <x:v>0/1</x:v>
      </x:c>
      <x:c r="D371" t="str" s="2">
        <x:f>=""</x:f>
      </x:c>
      <x:c r="E371" s="0"/>
      <x:c r="F371" t="str" s="2">
        <x:v>Office Hot Calls</x:v>
      </x:c>
      <x:c r="G371" t="str" s="2">
        <x:v>Heritage Housing of Augusta</x:v>
      </x:c>
      <x:c r="H371" t="str" s="2">
        <x:v>Jennifer Johnson</x:v>
      </x:c>
      <x:c r="I371" t="str" s="2">
        <x:v>Karol Romero</x:v>
      </x:c>
      <x:c r="J371" t="str" s="2">
        <x:v>Jennifer Johnson</x:v>
      </x:c>
      <x:c r="K371" t="n" s="2">
        <x:v>5</x:v>
      </x:c>
      <x:c r="L371" t="str" s="2">
        <x:v>1.1</x:v>
      </x:c>
      <x:c r="M371" t="str" s="2">
        <x:v>Tentative</x:v>
      </x:c>
      <x:c r="N371" t="str" s="2">
        <x:v>Deal Created</x:v>
      </x:c>
      <x:c r="O371" s="0"/>
      <x:c r="P371" s="6">
        <x:v>46225</x:v>
      </x:c>
      <x:c r="Q371" s="6">
        <x:v>46225.66236574074</x:v>
      </x:c>
      <x:c r="R371" s="0"/>
      <x:c r="S371" s="0"/>
      <x:c r="T371" s="0"/>
      <x:c r="U371" s="0"/>
      <x:c r="V371" s="0"/>
      <x:c r="W371" s="0"/>
      <x:c r="X371" t="str" s="2">
        <x:v>7064661215</x:v>
      </x:c>
      <x:c r="Y371" t="str" s="2">
        <x:v>sarahgrant760@gmail.com</x:v>
      </x:c>
      <x:c r="Z371" s="6">
        <x:v>46235.707509988424</x:v>
      </x:c>
      <x:c r="AA371" t="str" s="2">
        <x:v>Alex Jones</x:v>
      </x:c>
      <x:c r="AB371" s="6">
        <x:v>46225.66236886574</x:v>
      </x:c>
      <x:c r="AC371" t="n" s="2">
        <x:v>38677</x:v>
      </x:c>
      <x:c r="AD371" s="0"/>
      <x:c r="AE371" s="0"/>
      <x:c r="AF371" s="0"/>
      <x:c r="AG371" s="0"/>
      <x:c r="AH371" s="0"/>
      <x:c r="AI371" s="0"/>
      <x:c r="AJ371" s="0"/>
      <x:c r="AK371" s="0"/>
    </x:row>
    <x:row r="372">
      <x:c r="A372" t="str" s="2">
        <x:f>=HYPERLINK("https://rsms.futurehomex.com/lead/38678", "Cinda Burge")</x:f>
      </x:c>
      <x:c r="B372" t="n" s="2">
        <x:v>83</x:v>
      </x:c>
      <x:c r="C372" t="str" s="2">
        <x:v>1/1</x:v>
      </x:c>
      <x:c r="D372" t="str" s="2">
        <x:f>=""</x:f>
      </x:c>
      <x:c r="E372" s="0"/>
      <x:c r="F372" t="str" s="2">
        <x:v>Walk-in</x:v>
      </x:c>
      <x:c r="G372" t="str" s="2">
        <x:v>Heritage Housing of Oklahoma City</x:v>
      </x:c>
      <x:c r="H372" t="str" s="2">
        <x:v>Trey Rixleben</x:v>
      </x:c>
      <x:c r="I372" s="0"/>
      <x:c r="J372" s="0"/>
      <x:c r="K372" t="n" s="2">
        <x:v>5</x:v>
      </x:c>
      <x:c r="L372" t="str" s="2">
        <x:v>1.1</x:v>
      </x:c>
      <x:c r="M372" t="str" s="2">
        <x:v>Inactive</x:v>
      </x:c>
      <x:c r="N372" t="str" s="2">
        <x:v>Deal Created</x:v>
      </x:c>
      <x:c r="O372" s="0"/>
      <x:c r="P372" s="6">
        <x:v>46225</x:v>
      </x:c>
      <x:c r="Q372" s="6">
        <x:v>46281.94344336806</x:v>
      </x:c>
      <x:c r="R372" s="0"/>
      <x:c r="S372" s="0"/>
      <x:c r="T372" s="0"/>
      <x:c r="U372" s="0"/>
      <x:c r="V372" s="0"/>
      <x:c r="W372" s="0"/>
      <x:c r="X372" t="str" s="2">
        <x:v>9189131022</x:v>
      </x:c>
      <x:c r="Y372" t="str" s="2">
        <x:v>cjburge@gmail.com</x:v>
      </x:c>
      <x:c r="Z372" s="6">
        <x:v>46281.94479591435</x:v>
      </x:c>
      <x:c r="AA372" t="str" s="2">
        <x:v>Trey Rixleben</x:v>
      </x:c>
      <x:c r="AB372" s="6">
        <x:v>46225.67207353009</x:v>
      </x:c>
      <x:c r="AC372" t="n" s="2">
        <x:v>38678</x:v>
      </x:c>
      <x:c r="AD372" s="0"/>
      <x:c r="AE372" s="0"/>
      <x:c r="AF372" s="0"/>
      <x:c r="AG372" s="0"/>
      <x:c r="AH372" s="0"/>
      <x:c r="AI372" s="0"/>
      <x:c r="AJ372" s="0"/>
      <x:c r="AK372" s="0"/>
    </x:row>
    <x:row r="373">
      <x:c r="A373" t="str" s="2">
        <x:f>=HYPERLINK("https://rsms.futurehomex.com/lead/38679", "Darlene Diana")</x:f>
      </x:c>
      <x:c r="B373" t="n" s="2">
        <x:v>83</x:v>
      </x:c>
      <x:c r="C373" t="str" s="2">
        <x:v>0/1</x:v>
      </x:c>
      <x:c r="D373" t="str" s="2">
        <x:f>=""</x:f>
      </x:c>
      <x:c r="E373" s="0"/>
      <x:c r="F373" t="str" s="2">
        <x:v>Walk-in</x:v>
      </x:c>
      <x:c r="G373" t="str" s="2">
        <x:v>Heritage Housing of Oklahoma City</x:v>
      </x:c>
      <x:c r="H373" t="str" s="2">
        <x:v>Alejandra Calderon</x:v>
      </x:c>
      <x:c r="I373" t="str" s="2">
        <x:v>Karol Romero</x:v>
      </x:c>
      <x:c r="J373" s="0"/>
      <x:c r="K373" t="n" s="2">
        <x:v>5</x:v>
      </x:c>
      <x:c r="L373" t="str" s="2">
        <x:v>1.1</x:v>
      </x:c>
      <x:c r="M373" t="str" s="2">
        <x:v>Dead</x:v>
      </x:c>
      <x:c r="N373" t="str" s="2">
        <x:v>Deal Created</x:v>
      </x:c>
      <x:c r="O373" s="0"/>
      <x:c r="P373" s="6">
        <x:v>46225</x:v>
      </x:c>
      <x:c r="Q373" s="6">
        <x:v>46225.67300686343</x:v>
      </x:c>
      <x:c r="R373" s="0"/>
      <x:c r="S373" s="0"/>
      <x:c r="T373" s="0"/>
      <x:c r="U373" s="0"/>
      <x:c r="V373" s="0"/>
      <x:c r="W373" s="0"/>
      <x:c r="X373" t="str" s="2">
        <x:v>4055341163</x:v>
      </x:c>
      <x:c r="Y373" t="str" s="2">
        <x:v>darlene562@gmail.com</x:v>
      </x:c>
      <x:c r="Z373" s="6">
        <x:v>46262.05105601852</x:v>
      </x:c>
      <x:c r="AA373" t="str" s="2">
        <x:v>Steve Castell</x:v>
      </x:c>
      <x:c r="AB373" s="6">
        <x:v>46225.67300844908</x:v>
      </x:c>
      <x:c r="AC373" t="n" s="2">
        <x:v>38679</x:v>
      </x:c>
      <x:c r="AD373" s="0"/>
      <x:c r="AE373" s="0"/>
      <x:c r="AF373" s="0"/>
      <x:c r="AG373" s="0"/>
      <x:c r="AH373" s="0"/>
      <x:c r="AI373" s="0"/>
      <x:c r="AJ373" s="0"/>
      <x:c r="AK373" s="0"/>
    </x:row>
    <x:row r="374">
      <x:c r="A374" t="str" s="2">
        <x:f>=HYPERLINK("https://rsms.futurehomex.com/lead/38680", "Gina Hatton")</x:f>
      </x:c>
      <x:c r="B374" t="n" s="2">
        <x:v>83</x:v>
      </x:c>
      <x:c r="C374" t="str" s="2">
        <x:v>0/2</x:v>
      </x:c>
      <x:c r="D374" t="str" s="2">
        <x:f>="Dead Deal"</x:f>
      </x:c>
      <x:c r="E374" s="0"/>
      <x:c r="F374" t="str" s="2">
        <x:v>Financing Form</x:v>
      </x:c>
      <x:c r="G374" t="str" s="2">
        <x:v>Heritage Housing of Augusta</x:v>
      </x:c>
      <x:c r="H374" t="str" s="2">
        <x:v>Jennifer Johnson</x:v>
      </x:c>
      <x:c r="I374" s="0"/>
      <x:c r="J374" t="str" s="2">
        <x:v>Jennifer Johnson</x:v>
      </x:c>
      <x:c r="K374" t="n" s="2">
        <x:v>59</x:v>
      </x:c>
      <x:c r="L374" t="str" s="2">
        <x:v>4.3</x:v>
      </x:c>
      <x:c r="M374" t="str" s="2">
        <x:v>Inactive</x:v>
      </x:c>
      <x:c r="N374" t="str" s="2">
        <x:v>Loan Approved</x:v>
      </x:c>
      <x:c r="O374" s="6">
        <x:v>46627</x:v>
      </x:c>
      <x:c r="P374" s="6">
        <x:v>46225</x:v>
      </x:c>
      <x:c r="Q374" s="6">
        <x:v>46227.55958263889</x:v>
      </x:c>
      <x:c r="R374" s="0"/>
      <x:c r="S374" s="6">
        <x:v>46225</x:v>
      </x:c>
      <x:c r="T374" s="0"/>
      <x:c r="U374" s="6">
        <x:v>46227</x:v>
      </x:c>
      <x:c r="V374" s="0"/>
      <x:c r="W374" s="0"/>
      <x:c r="X374" t="str" s="2">
        <x:v>4048043899</x:v>
      </x:c>
      <x:c r="Y374" t="str" s="2">
        <x:v>gina.l.hatton@gmail.com</x:v>
      </x:c>
      <x:c r="Z374" s="6">
        <x:v>46239.67176971065</x:v>
      </x:c>
      <x:c r="AA374" t="str" s="2">
        <x:v>Alex Jones</x:v>
      </x:c>
      <x:c r="AB374" s="6">
        <x:v>46225.68588792824</x:v>
      </x:c>
      <x:c r="AC374" t="n" s="2">
        <x:v>38680</x:v>
      </x:c>
      <x:c r="AD374" t="str" s="2">
        <x:v>Doublewide</x:v>
      </x:c>
      <x:c r="AE374" s="0"/>
      <x:c r="AF374" s="0"/>
      <x:c r="AG374" s="0"/>
      <x:c r="AH374" s="0"/>
      <x:c r="AI374" s="0"/>
      <x:c r="AJ374" s="0"/>
      <x:c r="AK374" s="0"/>
    </x:row>
    <x:row r="375">
      <x:c r="A375" t="str" s="2">
        <x:f>=HYPERLINK("https://rsms.futurehomex.com/lead/38681", "Wesley Head")</x:f>
      </x:c>
      <x:c r="B375" t="n" s="2">
        <x:v>83</x:v>
      </x:c>
      <x:c r="C375" t="str" s="2">
        <x:v/>
      </x:c>
      <x:c r="D375" t="str" s="2">
        <x:f>=""</x:f>
      </x:c>
      <x:c r="E375" s="0"/>
      <x:c r="F375" t="str" s="2">
        <x:v>META Marketplace</x:v>
      </x:c>
      <x:c r="G375" t="str" s="2">
        <x:v>Heritage Housing Mt Pleasant</x:v>
      </x:c>
      <x:c r="H375" t="str" s="2">
        <x:v>Yarelis Torres</x:v>
      </x:c>
      <x:c r="I375" s="0"/>
      <x:c r="J375" t="str" s="2">
        <x:v>Yarelis Torres</x:v>
      </x:c>
      <x:c r="K375" t="n" s="2">
        <x:v>5</x:v>
      </x:c>
      <x:c r="L375" t="str" s="2">
        <x:v>1.1</x:v>
      </x:c>
      <x:c r="M375" t="str" s="2">
        <x:v>Tentative</x:v>
      </x:c>
      <x:c r="N375" t="str" s="2">
        <x:v>Deal Created</x:v>
      </x:c>
      <x:c r="O375" s="0"/>
      <x:c r="P375" s="6">
        <x:v>46225</x:v>
      </x:c>
      <x:c r="Q375" s="6">
        <x:v>46265.888276122685</x:v>
      </x:c>
      <x:c r="R375" s="0"/>
      <x:c r="S375" s="0"/>
      <x:c r="T375" s="0"/>
      <x:c r="U375" s="0"/>
      <x:c r="V375" s="0"/>
      <x:c r="W375" s="0"/>
      <x:c r="X375" t="str" s="2">
        <x:v>4173798477</x:v>
      </x:c>
      <x:c r="Y375" t="str" s="2">
        <x:v>weshead0008@gmail.com</x:v>
      </x:c>
      <x:c r="Z375" s="6">
        <x:v>46226.045583831015</x:v>
      </x:c>
      <x:c r="AA375" t="str" s="2">
        <x:v>Yarelis Torres</x:v>
      </x:c>
      <x:c r="AB375" s="6">
        <x:v>46225.69797954861</x:v>
      </x:c>
      <x:c r="AC375" t="n" s="2">
        <x:v>38681</x:v>
      </x:c>
      <x:c r="AD375" s="0"/>
      <x:c r="AE375" s="0"/>
      <x:c r="AF375" s="0"/>
      <x:c r="AG375" s="0"/>
      <x:c r="AH375" s="0"/>
      <x:c r="AI375" s="0"/>
      <x:c r="AJ375" s="0"/>
      <x:c r="AK375" s="0"/>
    </x:row>
    <x:row r="376">
      <x:c r="A376" t="str" s="2">
        <x:f>=HYPERLINK("https://rsms.futurehomex.com/lead/38684", "Luis Enrique Morales Arreola")</x:f>
      </x:c>
      <x:c r="B376" t="n" s="2">
        <x:v>83</x:v>
      </x:c>
      <x:c r="C376" t="str" s="2">
        <x:v>0/4</x:v>
      </x:c>
      <x:c r="D376" t="str" s="2">
        <x:f>=""</x:f>
      </x:c>
      <x:c r="E376" s="0"/>
      <x:c r="F376" t="str" s="2">
        <x:v>Facebook Messenger</x:v>
      </x:c>
      <x:c r="G376" t="str" s="2">
        <x:v>Heritage Housing of Oklahoma City</x:v>
      </x:c>
      <x:c r="H376" t="str" s="2">
        <x:v>Alejandra Calderon</x:v>
      </x:c>
      <x:c r="I376" t="str" s="2">
        <x:v>Karol Romero</x:v>
      </x:c>
      <x:c r="J376" t="str" s="2">
        <x:v>Steve Castell</x:v>
      </x:c>
      <x:c r="K376" t="n" s="2">
        <x:v>59</x:v>
      </x:c>
      <x:c r="L376" t="str" s="2">
        <x:v>4.3</x:v>
      </x:c>
      <x:c r="M376" t="str" s="2">
        <x:v>Dead</x:v>
      </x:c>
      <x:c r="N376" t="str" s="2">
        <x:v>Loan Approved</x:v>
      </x:c>
      <x:c r="O376" s="0"/>
      <x:c r="P376" s="6">
        <x:v>46225</x:v>
      </x:c>
      <x:c r="Q376" s="6">
        <x:v>46237.77278935185</x:v>
      </x:c>
      <x:c r="R376" s="0"/>
      <x:c r="S376" s="6">
        <x:v>46230</x:v>
      </x:c>
      <x:c r="T376" s="6">
        <x:v>46235</x:v>
      </x:c>
      <x:c r="U376" s="6">
        <x:v>46247</x:v>
      </x:c>
      <x:c r="V376" s="6">
        <x:v>46237</x:v>
      </x:c>
      <x:c r="W376" s="0"/>
      <x:c r="X376" t="str" s="2">
        <x:v>40055434281</x:v>
      </x:c>
      <x:c r="Y376" t="str" s="2">
        <x:v>luis.morales95@icloud.com</x:v>
      </x:c>
      <x:c r="Z376" s="6">
        <x:v>46260.96589753472</x:v>
      </x:c>
      <x:c r="AA376" t="str" s="2">
        <x:v>Alejandra Calderon</x:v>
      </x:c>
      <x:c r="AB376" s="6">
        <x:v>46225.74622314815</x:v>
      </x:c>
      <x:c r="AC376" t="n" s="2">
        <x:v>38684</x:v>
      </x:c>
      <x:c r="AD376" s="0"/>
      <x:c r="AE376" s="0"/>
      <x:c r="AF376" s="0"/>
      <x:c r="AG376" s="7">
        <x:v>10000</x:v>
      </x:c>
      <x:c r="AH376" s="0"/>
      <x:c r="AI376" t="str" s="2">
        <x:v>754</x:v>
      </x:c>
      <x:c r="AJ376" s="0"/>
      <x:c r="AK376" s="0"/>
    </x:row>
    <x:row r="377">
      <x:c r="A377" t="str" s="2">
        <x:f>=HYPERLINK("https://rsms.futurehomex.com/lead/38685", "Andrew Dodson")</x:f>
      </x:c>
      <x:c r="B377" t="n" s="2">
        <x:v>83</x:v>
      </x:c>
      <x:c r="C377" t="str" s="2">
        <x:v/>
      </x:c>
      <x:c r="D377" t="str" s="2">
        <x:f>=""</x:f>
      </x:c>
      <x:c r="E377" s="0"/>
      <x:c r="F377" t="str" s="2">
        <x:v>HH - Oklahoma City</x:v>
      </x:c>
      <x:c r="G377" t="str" s="2">
        <x:v>Heritage Housing of Oklahoma City</x:v>
      </x:c>
      <x:c r="H377" t="str" s="2">
        <x:v>Karla Brizuela</x:v>
      </x:c>
      <x:c r="I377" t="str" s="2">
        <x:v>Karol Romero</x:v>
      </x:c>
      <x:c r="J377" t="str" s="2">
        <x:v>Karla Brizuela</x:v>
      </x:c>
      <x:c r="K377" t="n" s="2">
        <x:v>5</x:v>
      </x:c>
      <x:c r="L377" t="str" s="2">
        <x:v>1.1</x:v>
      </x:c>
      <x:c r="M377" t="str" s="2">
        <x:v>Dead</x:v>
      </x:c>
      <x:c r="N377" t="str" s="2">
        <x:v>Deal Created</x:v>
      </x:c>
      <x:c r="O377" s="0"/>
      <x:c r="P377" s="6">
        <x:v>46225</x:v>
      </x:c>
      <x:c r="Q377" s="6">
        <x:v>46225.75908043981</x:v>
      </x:c>
      <x:c r="R377" s="0"/>
      <x:c r="S377" s="0"/>
      <x:c r="T377" s="0"/>
      <x:c r="U377" s="0"/>
      <x:c r="V377" s="0"/>
      <x:c r="W377" s="0"/>
      <x:c r="X377" t="str" s="2">
        <x:v>4057785491</x:v>
      </x:c>
      <x:c r="Y377" t="str" s="2">
        <x:v>4057785491</x:v>
      </x:c>
      <x:c r="Z377" s="6">
        <x:v>46232.840283020836</x:v>
      </x:c>
      <x:c r="AA377" t="str" s="2">
        <x:v>Karla Brizuela</x:v>
      </x:c>
      <x:c r="AB377" s="6">
        <x:v>46225.75908206018</x:v>
      </x:c>
      <x:c r="AC377" t="n" s="2">
        <x:v>38685</x:v>
      </x:c>
      <x:c r="AD377" s="0"/>
      <x:c r="AE377" s="0"/>
      <x:c r="AF377" s="0"/>
      <x:c r="AG377" s="0"/>
      <x:c r="AH377" s="0"/>
      <x:c r="AI377" s="0"/>
      <x:c r="AJ377" s="0"/>
      <x:c r="AK377" s="0"/>
    </x:row>
    <x:row r="378">
      <x:c r="A378" t="str" s="2">
        <x:f>=HYPERLINK("https://rsms.futurehomex.com/lead/38686", "Deranda Westbrook")</x:f>
      </x:c>
      <x:c r="B378" t="n" s="2">
        <x:v>83</x:v>
      </x:c>
      <x:c r="C378" t="str" s="2">
        <x:v>0/2</x:v>
      </x:c>
      <x:c r="D378" t="str" s="2">
        <x:f>="Dead Deal"</x:f>
      </x:c>
      <x:c r="E378" s="0"/>
      <x:c r="F378" t="str" s="2">
        <x:v>Walk-in</x:v>
      </x:c>
      <x:c r="G378" t="str" s="2">
        <x:v>Heritage Housing of Augusta</x:v>
      </x:c>
      <x:c r="H378" t="str" s="2">
        <x:v>Alex Jones</x:v>
      </x:c>
      <x:c r="I378" t="str" s="2">
        <x:v>Karol Romero</x:v>
      </x:c>
      <x:c r="J378" t="str" s="2">
        <x:v>Alex Jones</x:v>
      </x:c>
      <x:c r="K378" t="n" s="2">
        <x:v>5</x:v>
      </x:c>
      <x:c r="L378" t="str" s="2">
        <x:v>1.1</x:v>
      </x:c>
      <x:c r="M378" t="str" s="2">
        <x:v>Dead</x:v>
      </x:c>
      <x:c r="N378" t="str" s="2">
        <x:v>Deal Created</x:v>
      </x:c>
      <x:c r="O378" s="0"/>
      <x:c r="P378" s="6">
        <x:v>46225</x:v>
      </x:c>
      <x:c r="Q378" s="6">
        <x:v>46225.7831056713</x:v>
      </x:c>
      <x:c r="R378" s="0"/>
      <x:c r="S378" s="6">
        <x:v>46225</x:v>
      </x:c>
      <x:c r="T378" s="0"/>
      <x:c r="U378" s="0"/>
      <x:c r="V378" s="0"/>
      <x:c r="W378" s="0"/>
      <x:c r="X378" t="str" s="2">
        <x:v>7063608417</x:v>
      </x:c>
      <x:c r="Y378" t="str" s="2">
        <x:v>derandawestbrook@gmail.com</x:v>
      </x:c>
      <x:c r="Z378" s="6">
        <x:v>46235.7077</x:v>
      </x:c>
      <x:c r="AA378" t="str" s="2">
        <x:v>Alex Jones</x:v>
      </x:c>
      <x:c r="AB378" s="6">
        <x:v>46225.778476273146</x:v>
      </x:c>
      <x:c r="AC378" t="n" s="2">
        <x:v>38686</x:v>
      </x:c>
      <x:c r="AD378" s="0"/>
      <x:c r="AE378" s="0"/>
      <x:c r="AF378" s="0"/>
      <x:c r="AG378" s="0"/>
      <x:c r="AH378" s="0"/>
      <x:c r="AI378" s="0"/>
      <x:c r="AJ378" s="0"/>
      <x:c r="AK378" s="0"/>
    </x:row>
    <x:row r="379">
      <x:c r="A379" t="str" s="2">
        <x:f>=HYPERLINK("https://rsms.futurehomex.com/lead/38687", "Matthew Fife")</x:f>
      </x:c>
      <x:c r="B379" t="n" s="2">
        <x:v>83</x:v>
      </x:c>
      <x:c r="C379" t="str" s="2">
        <x:v>0/3</x:v>
      </x:c>
      <x:c r="D379" t="str" s="2">
        <x:f>=""</x:f>
      </x:c>
      <x:c r="E379" s="0"/>
      <x:c r="F379" t="str" s="2">
        <x:v>Walk-in</x:v>
      </x:c>
      <x:c r="G379" t="str" s="2">
        <x:v>Heritage Housing of Minden</x:v>
      </x:c>
      <x:c r="H379" t="str" s="2">
        <x:v>Patrick Schuchart</x:v>
      </x:c>
      <x:c r="I379" s="0"/>
      <x:c r="J379" t="str" s="2">
        <x:v>Patrick Schuchart</x:v>
      </x:c>
      <x:c r="K379" t="n" s="2">
        <x:v>5</x:v>
      </x:c>
      <x:c r="L379" t="str" s="2">
        <x:v>1.1</x:v>
      </x:c>
      <x:c r="M379" t="str" s="2">
        <x:v>Tentative</x:v>
      </x:c>
      <x:c r="N379" t="str" s="2">
        <x:v>Deal Created</x:v>
      </x:c>
      <x:c r="O379" s="0"/>
      <x:c r="P379" s="6">
        <x:v>46225</x:v>
      </x:c>
      <x:c r="Q379" s="6">
        <x:v>46225.805689733796</x:v>
      </x:c>
      <x:c r="R379" s="0"/>
      <x:c r="S379" s="0"/>
      <x:c r="T379" s="0"/>
      <x:c r="U379" s="0"/>
      <x:c r="V379" s="0"/>
      <x:c r="W379" s="0"/>
      <x:c r="X379" t="str" s="2">
        <x:v>3183722837</x:v>
      </x:c>
      <x:c r="Y379" t="str" s="2">
        <x:v>3183722837</x:v>
      </x:c>
      <x:c r="Z379" s="6">
        <x:v>46295.87726203704</x:v>
      </x:c>
      <x:c r="AA379" t="str" s="2">
        <x:v>Kyla Brown</x:v>
      </x:c>
      <x:c r="AB379" s="6">
        <x:v>46234.642869247684</x:v>
      </x:c>
      <x:c r="AC379" t="n" s="2">
        <x:v>38687</x:v>
      </x:c>
      <x:c r="AD379" s="0"/>
      <x:c r="AE379" s="0"/>
      <x:c r="AF379" s="0"/>
      <x:c r="AG379" s="0"/>
      <x:c r="AH379" s="0"/>
      <x:c r="AI379" s="0"/>
      <x:c r="AJ379" s="0"/>
      <x:c r="AK379" s="0"/>
    </x:row>
    <x:row r="380">
      <x:c r="A380" t="str" s="2">
        <x:f>=HYPERLINK("https://rsms.futurehomex.com/lead/38688", "Tom Posten")</x:f>
      </x:c>
      <x:c r="B380" t="n" s="2">
        <x:v>83</x:v>
      </x:c>
      <x:c r="C380" t="str" s="2">
        <x:v/>
      </x:c>
      <x:c r="D380" t="str" s="2">
        <x:f>=""</x:f>
      </x:c>
      <x:c r="E380" s="0"/>
      <x:c r="F380" t="str" s="2">
        <x:v>Walk-in</x:v>
      </x:c>
      <x:c r="G380" t="str" s="2">
        <x:v>Heritage Housing of Augusta</x:v>
      </x:c>
      <x:c r="H380" t="str" s="2">
        <x:v>Jennifer Johnson</x:v>
      </x:c>
      <x:c r="I380" s="0"/>
      <x:c r="J380" t="str" s="2">
        <x:v>Faye Lively</x:v>
      </x:c>
      <x:c r="K380" t="n" s="2">
        <x:v>5</x:v>
      </x:c>
      <x:c r="L380" t="str" s="2">
        <x:v>1.1</x:v>
      </x:c>
      <x:c r="M380" t="str" s="2">
        <x:v>Active</x:v>
      </x:c>
      <x:c r="N380" t="str" s="2">
        <x:v>Prospect</x:v>
      </x:c>
      <x:c r="O380" s="0"/>
      <x:c r="P380" s="6">
        <x:v>46225</x:v>
      </x:c>
      <x:c r="Q380" s="6">
        <x:v>46225.8422503125</x:v>
      </x:c>
      <x:c r="R380" s="0"/>
      <x:c r="S380" s="6">
        <x:v>46225</x:v>
      </x:c>
      <x:c r="T380" s="0"/>
      <x:c r="U380" s="0"/>
      <x:c r="V380" s="0"/>
      <x:c r="W380" s="0"/>
      <x:c r="X380" t="str" s="2">
        <x:v>8432676022</x:v>
      </x:c>
      <x:c r="Y380" t="str" s="2">
        <x:v>shellshock10124@gmail.com</x:v>
      </x:c>
      <x:c r="Z380" s="6">
        <x:v>46225.841235381944</x:v>
      </x:c>
      <x:c r="AA380" t="str" s="2">
        <x:v>Brian Amato</x:v>
      </x:c>
      <x:c r="AB380" s="6">
        <x:v>46225.840568287036</x:v>
      </x:c>
      <x:c r="AC380" t="n" s="2">
        <x:v>38688</x:v>
      </x:c>
      <x:c r="AD380" s="0"/>
      <x:c r="AE380" s="0"/>
      <x:c r="AF380" s="0"/>
      <x:c r="AG380" s="0"/>
      <x:c r="AH380" s="0"/>
      <x:c r="AI380" s="0"/>
      <x:c r="AJ380" s="0"/>
      <x:c r="AK380" s="0"/>
    </x:row>
    <x:row r="381">
      <x:c r="A381" t="str" s="2">
        <x:f>=HYPERLINK("https://rsms.futurehomex.com/lead/38689", "Antonio Marshall")</x:f>
      </x:c>
      <x:c r="B381" t="n" s="2">
        <x:v>83</x:v>
      </x:c>
      <x:c r="C381" t="str" s="2">
        <x:v/>
      </x:c>
      <x:c r="D381" t="str" s="2">
        <x:f>=""</x:f>
      </x:c>
      <x:c r="E381" s="0"/>
      <x:c r="F381" t="str" s="2">
        <x:v>Website</x:v>
      </x:c>
      <x:c r="G381" t="str" s="2">
        <x:v>Heritage Housing of Asheboro</x:v>
      </x:c>
      <x:c r="H381" t="str" s="2">
        <x:v>Maria Lopez</x:v>
      </x:c>
      <x:c r="I381" s="0"/>
      <x:c r="J381" t="str" s="2">
        <x:v>Maria Lopez</x:v>
      </x:c>
      <x:c r="K381" t="n" s="2">
        <x:v>21</x:v>
      </x:c>
      <x:c r="L381" t="str" s="2">
        <x:v>2.1</x:v>
      </x:c>
      <x:c r="M381" t="str" s="2">
        <x:v>Tentative</x:v>
      </x:c>
      <x:c r="N381" t="str" s="2">
        <x:v>Qualified</x:v>
      </x:c>
      <x:c r="O381" s="0"/>
      <x:c r="P381" s="6">
        <x:v>46225</x:v>
      </x:c>
      <x:c r="Q381" s="6">
        <x:v>46238.699047800925</x:v>
      </x:c>
      <x:c r="R381" s="0"/>
      <x:c r="S381" s="6">
        <x:v>46227</x:v>
      </x:c>
      <x:c r="T381" s="0"/>
      <x:c r="U381" s="0"/>
      <x:c r="V381" s="0"/>
      <x:c r="W381" s="0"/>
      <x:c r="X381" t="str" s="2">
        <x:v>3368484952</x:v>
      </x:c>
      <x:c r="Y381" t="str" s="2">
        <x:v>antoniomarshall381980@gmail.com</x:v>
      </x:c>
      <x:c r="Z381" s="6">
        <x:v>46238.69903429398</x:v>
      </x:c>
      <x:c r="AA381" t="str" s="2">
        <x:v>Jeremy Jacques</x:v>
      </x:c>
      <x:c r="AB381" s="6">
        <x:v>46228.5784378125</x:v>
      </x:c>
      <x:c r="AC381" t="n" s="2">
        <x:v>38689</x:v>
      </x:c>
      <x:c r="AD381" s="0"/>
      <x:c r="AE381" s="0"/>
      <x:c r="AF381" s="0"/>
      <x:c r="AG381" s="0"/>
      <x:c r="AH381" s="0"/>
      <x:c r="AI381" s="0"/>
      <x:c r="AJ381" s="0"/>
      <x:c r="AK381" s="0"/>
    </x:row>
    <x:row r="382">
      <x:c r="A382" t="str" s="2">
        <x:f>=HYPERLINK("https://rsms.futurehomex.com/lead/38690", "Guy Daniels")</x:f>
      </x:c>
      <x:c r="B382" t="n" s="2">
        <x:v>83</x:v>
      </x:c>
      <x:c r="C382" t="str" s="2">
        <x:v/>
      </x:c>
      <x:c r="D382" t="str" s="2">
        <x:f>=""</x:f>
      </x:c>
      <x:c r="E382" s="0"/>
      <x:c r="F382" t="str" s="2">
        <x:v>Office Hot Calls</x:v>
      </x:c>
      <x:c r="G382" t="str" s="2">
        <x:v>Heritage Housing of Augusta</x:v>
      </x:c>
      <x:c r="H382" t="str" s="2">
        <x:v>Jennifer Johnson</x:v>
      </x:c>
      <x:c r="I382" t="str" s="2">
        <x:v>Karol Romero</x:v>
      </x:c>
      <x:c r="J382" t="str" s="2">
        <x:v>Jennifer Johnson</x:v>
      </x:c>
      <x:c r="K382" t="n" s="2">
        <x:v>5</x:v>
      </x:c>
      <x:c r="L382" t="str" s="2">
        <x:v>1.1</x:v>
      </x:c>
      <x:c r="M382" t="str" s="2">
        <x:v>Dead</x:v>
      </x:c>
      <x:c r="N382" t="str" s="2">
        <x:v>Deal Created</x:v>
      </x:c>
      <x:c r="O382" s="0"/>
      <x:c r="P382" s="6">
        <x:v>46225</x:v>
      </x:c>
      <x:c r="Q382" s="6">
        <x:v>46297.79399899305</x:v>
      </x:c>
      <x:c r="R382" s="0"/>
      <x:c r="S382" s="0"/>
      <x:c r="T382" s="0"/>
      <x:c r="U382" s="0"/>
      <x:c r="V382" s="0"/>
      <x:c r="W382" s="0"/>
      <x:c r="X382" t="str" s="2">
        <x:v>7068339852</x:v>
      </x:c>
      <x:c r="Y382" t="str" s="2">
        <x:v>guy.daniels@comcast.net</x:v>
      </x:c>
      <x:c r="Z382" s="6">
        <x:v>46297.567336493055</x:v>
      </x:c>
      <x:c r="AA382" t="str" s="2">
        <x:v>Jennifer Johnson</x:v>
      </x:c>
      <x:c r="AB382" s="6">
        <x:v>46225.87493005787</x:v>
      </x:c>
      <x:c r="AC382" t="n" s="2">
        <x:v>38690</x:v>
      </x:c>
      <x:c r="AD382" s="0"/>
      <x:c r="AE382" s="0"/>
      <x:c r="AF382" s="0"/>
      <x:c r="AG382" s="0"/>
      <x:c r="AH382" s="0"/>
      <x:c r="AI382" s="0"/>
      <x:c r="AJ382" s="0"/>
      <x:c r="AK382" s="0"/>
    </x:row>
    <x:row r="383">
      <x:c r="A383" t="str" s="2">
        <x:f>=HYPERLINK("https://rsms.futurehomex.com/lead/38691", "Larethia Ford")</x:f>
      </x:c>
      <x:c r="B383" t="n" s="2">
        <x:v>83</x:v>
      </x:c>
      <x:c r="C383" t="str" s="2">
        <x:v>0/1</x:v>
      </x:c>
      <x:c r="D383" t="str" s="2">
        <x:f>=""</x:f>
      </x:c>
      <x:c r="E383" t="str" s="2">
        <x:v>LEON SAMUEL</x:v>
      </x:c>
      <x:c r="F383" t="str" s="2">
        <x:v>HH - Oklahoma City</x:v>
      </x:c>
      <x:c r="G383" t="str" s="2">
        <x:v>Heritage Housing of Oklahoma City</x:v>
      </x:c>
      <x:c r="H383" t="str" s="2">
        <x:v>Alejandra Calderon</x:v>
      </x:c>
      <x:c r="I383" t="str" s="2">
        <x:v>Karol Romero</x:v>
      </x:c>
      <x:c r="J383" s="0"/>
      <x:c r="K383" t="n" s="2">
        <x:v>5</x:v>
      </x:c>
      <x:c r="L383" t="str" s="2">
        <x:v>1.1</x:v>
      </x:c>
      <x:c r="M383" t="str" s="2">
        <x:v>Dead</x:v>
      </x:c>
      <x:c r="N383" t="str" s="2">
        <x:v>Deal Created</x:v>
      </x:c>
      <x:c r="O383" s="0"/>
      <x:c r="P383" s="6">
        <x:v>46225</x:v>
      </x:c>
      <x:c r="Q383" s="6">
        <x:v>46228.60674857639</x:v>
      </x:c>
      <x:c r="R383" s="0"/>
      <x:c r="S383" s="6">
        <x:v>46225</x:v>
      </x:c>
      <x:c r="T383" s="0"/>
      <x:c r="U383" s="0"/>
      <x:c r="V383" s="0"/>
      <x:c r="W383" s="0"/>
      <x:c r="X383" t="str" s="2">
        <x:v>4056583932</x:v>
      </x:c>
      <x:c r="Y383" t="str" s="2">
        <x:v>fordlarethia@gmail.com</x:v>
      </x:c>
      <x:c r="Z383" s="6">
        <x:v>46274.658347453704</x:v>
      </x:c>
      <x:c r="AA383" t="str" s="2">
        <x:v>Alejandra Calderon</x:v>
      </x:c>
      <x:c r="AB383" s="6">
        <x:v>46225.88307700231</x:v>
      </x:c>
      <x:c r="AC383" t="n" s="2">
        <x:v>38691</x:v>
      </x:c>
      <x:c r="AD383" s="0"/>
      <x:c r="AE383" s="0"/>
      <x:c r="AF383" s="0"/>
      <x:c r="AG383" s="0"/>
      <x:c r="AH383" s="0"/>
      <x:c r="AI383" t="str" s="2">
        <x:v>573</x:v>
      </x:c>
      <x:c r="AJ383" s="0"/>
      <x:c r="AK383" s="0"/>
    </x:row>
    <x:row r="384">
      <x:c r="A384" t="str" s="2">
        <x:f>=HYPERLINK("https://rsms.futurehomex.com/lead/38694", "Jose Flores")</x:f>
      </x:c>
      <x:c r="B384" t="n" s="2">
        <x:v>83</x:v>
      </x:c>
      <x:c r="C384" t="str" s="2">
        <x:v>1/2</x:v>
      </x:c>
      <x:c r="D384" t="str" s="2">
        <x:f>=""</x:f>
      </x:c>
      <x:c r="E384" s="0"/>
      <x:c r="F384" t="str" s="2">
        <x:v>Walk-in</x:v>
      </x:c>
      <x:c r="G384" t="str" s="2">
        <x:v>Legacy Housing Corp. DBA Americasa</x:v>
      </x:c>
      <x:c r="H384" t="str" s="2">
        <x:v>Joey Marquez</x:v>
      </x:c>
      <x:c r="I384" t="str" s="2">
        <x:v>Karol Romero</x:v>
      </x:c>
      <x:c r="J384" t="str" s="2">
        <x:v>Rodrigo Ramirez</x:v>
      </x:c>
      <x:c r="K384" t="n" s="2">
        <x:v>5</x:v>
      </x:c>
      <x:c r="L384" t="str" s="2">
        <x:v>1.1</x:v>
      </x:c>
      <x:c r="M384" t="str" s="2">
        <x:v>Inactive</x:v>
      </x:c>
      <x:c r="N384" t="str" s="2">
        <x:v>Deal Created</x:v>
      </x:c>
      <x:c r="O384" s="0"/>
      <x:c r="P384" s="6">
        <x:v>46225</x:v>
      </x:c>
      <x:c r="Q384" s="6">
        <x:v>46225.94777792824</x:v>
      </x:c>
      <x:c r="R384" s="0"/>
      <x:c r="S384" s="6">
        <x:v>46225</x:v>
      </x:c>
      <x:c r="T384" s="0"/>
      <x:c r="U384" s="0"/>
      <x:c r="V384" s="0"/>
      <x:c r="W384" s="0"/>
      <x:c r="X384" t="str" s="2">
        <x:v>2813154104</x:v>
      </x:c>
      <x:c r="Y384" t="str" s="2">
        <x:v>2813154104</x:v>
      </x:c>
      <x:c r="Z384" s="6">
        <x:v>46307.786076157405</x:v>
      </x:c>
      <x:c r="AA384" t="str" s="2">
        <x:v>Joey Marquez</x:v>
      </x:c>
      <x:c r="AB384" s="6">
        <x:v>46225.94777974537</x:v>
      </x:c>
      <x:c r="AC384" t="n" s="2">
        <x:v>38694</x:v>
      </x:c>
      <x:c r="AD384" s="0"/>
      <x:c r="AE384" s="0"/>
      <x:c r="AF384" s="0"/>
      <x:c r="AG384" s="0"/>
      <x:c r="AH384" s="0"/>
      <x:c r="AI384" s="0"/>
      <x:c r="AJ384" s="0"/>
      <x:c r="AK384" s="0"/>
    </x:row>
    <x:row r="385">
      <x:c r="A385" t="str" s="2">
        <x:f>=HYPERLINK("https://rsms.futurehomex.com/lead/38696", "Joshua Moore")</x:f>
      </x:c>
      <x:c r="B385" t="n" s="2">
        <x:v>82</x:v>
      </x:c>
      <x:c r="C385" t="str" s="2">
        <x:v/>
      </x:c>
      <x:c r="D385" t="str" s="2">
        <x:f>=""</x:f>
      </x:c>
      <x:c r="E385" s="0"/>
      <x:c r="F385" t="str" s="2">
        <x:v>Facebook Messenger</x:v>
      </x:c>
      <x:c r="G385" t="str" s="2">
        <x:v>Heritage Housing of Oklahoma City</x:v>
      </x:c>
      <x:c r="H385" t="str" s="2">
        <x:v>Steve Castell</x:v>
      </x:c>
      <x:c r="I385" s="0"/>
      <x:c r="J385" t="str" s="2">
        <x:v>Steve Castell</x:v>
      </x:c>
      <x:c r="K385" t="n" s="2">
        <x:v>5</x:v>
      </x:c>
      <x:c r="L385" t="str" s="2">
        <x:v>1.1</x:v>
      </x:c>
      <x:c r="M385" t="str" s="2">
        <x:v>Dead</x:v>
      </x:c>
      <x:c r="N385" t="str" s="2">
        <x:v>Deal Created</x:v>
      </x:c>
      <x:c r="O385" s="0"/>
      <x:c r="P385" s="6">
        <x:v>46226</x:v>
      </x:c>
      <x:c r="Q385" s="6">
        <x:v>46226.015932256945</x:v>
      </x:c>
      <x:c r="R385" s="0"/>
      <x:c r="S385" s="0"/>
      <x:c r="T385" s="0"/>
      <x:c r="U385" s="0"/>
      <x:c r="V385" s="0"/>
      <x:c r="W385" s="0"/>
      <x:c r="X385" t="str" s="2">
        <x:v>4053281656</x:v>
      </x:c>
      <x:c r="Y385" t="str" s="2">
        <x:v>jm69691100@gmail.com</x:v>
      </x:c>
      <x:c r="Z385" s="6">
        <x:v>46239.60395251158</x:v>
      </x:c>
      <x:c r="AA385" t="str" s="2">
        <x:v>Steve Castell</x:v>
      </x:c>
      <x:c r="AB385" s="6">
        <x:v>46226.01593440972</x:v>
      </x:c>
      <x:c r="AC385" t="n" s="2">
        <x:v>38696</x:v>
      </x:c>
      <x:c r="AD385" s="0"/>
      <x:c r="AE385" s="0"/>
      <x:c r="AF385" s="0"/>
      <x:c r="AG385" s="7">
        <x:v>15000</x:v>
      </x:c>
      <x:c r="AH385" s="0"/>
      <x:c r="AI385" s="0"/>
      <x:c r="AJ385" s="0"/>
      <x:c r="AK385" s="0"/>
    </x:row>
    <x:row r="386">
      <x:c r="A386" t="str" s="2">
        <x:f>=HYPERLINK("https://rsms.futurehomex.com/lead/38697", "Brandon Ereman")</x:f>
      </x:c>
      <x:c r="B386" t="n" s="2">
        <x:v>82</x:v>
      </x:c>
      <x:c r="C386" t="str" s="2">
        <x:v/>
      </x:c>
      <x:c r="D386" t="str" s="2">
        <x:f>=""</x:f>
      </x:c>
      <x:c r="E386" s="0"/>
      <x:c r="F386" t="str" s="2">
        <x:v>META Marketplace</x:v>
      </x:c>
      <x:c r="G386" t="str" s="2">
        <x:v>Heritage Housing Mt Pleasant</x:v>
      </x:c>
      <x:c r="H386" t="str" s="2">
        <x:v>Yarelis Torres</x:v>
      </x:c>
      <x:c r="I386" s="0"/>
      <x:c r="J386" t="str" s="2">
        <x:v>Yarelis Torres</x:v>
      </x:c>
      <x:c r="K386" t="n" s="2">
        <x:v>5</x:v>
      </x:c>
      <x:c r="L386" t="str" s="2">
        <x:v>1.1</x:v>
      </x:c>
      <x:c r="M386" t="str" s="2">
        <x:v>Tentative</x:v>
      </x:c>
      <x:c r="N386" t="str" s="2">
        <x:v>Deal Created</x:v>
      </x:c>
      <x:c r="O386" s="0"/>
      <x:c r="P386" s="6">
        <x:v>46226</x:v>
      </x:c>
      <x:c r="Q386" s="6">
        <x:v>46226.03485451389</x:v>
      </x:c>
      <x:c r="R386" s="0"/>
      <x:c r="S386" s="0"/>
      <x:c r="T386" s="0"/>
      <x:c r="U386" s="0"/>
      <x:c r="V386" s="0"/>
      <x:c r="W386" s="0"/>
      <x:c r="X386" t="str" s="2">
        <x:v>9033052358</x:v>
      </x:c>
      <x:c r="Y386" t="str" s="2">
        <x:v>9033052358</x:v>
      </x:c>
      <x:c r="Z386" s="6">
        <x:v>46226.044503391204</x:v>
      </x:c>
      <x:c r="AA386" t="str" s="2">
        <x:v>Yarelis Torres</x:v>
      </x:c>
      <x:c r="AB386" s="6">
        <x:v>46226.03485671296</x:v>
      </x:c>
      <x:c r="AC386" t="n" s="2">
        <x:v>38697</x:v>
      </x:c>
      <x:c r="AD386" s="0"/>
      <x:c r="AE386" s="0"/>
      <x:c r="AF386" s="0"/>
      <x:c r="AG386" s="0"/>
      <x:c r="AH386" s="0"/>
      <x:c r="AI386" s="0"/>
      <x:c r="AJ386" s="0"/>
      <x:c r="AK386" s="0"/>
    </x:row>
    <x:row r="387">
      <x:c r="A387" t="str" s="2">
        <x:f>=HYPERLINK("https://rsms.futurehomex.com/lead/38699", "Millicent Mcconnell")</x:f>
      </x:c>
      <x:c r="B387" t="n" s="2">
        <x:v>82</x:v>
      </x:c>
      <x:c r="C387" t="str" s="2">
        <x:v>0/3</x:v>
      </x:c>
      <x:c r="D387" t="str" s="2">
        <x:f>=""</x:f>
      </x:c>
      <x:c r="E387" s="0"/>
      <x:c r="F387" t="str" s="2">
        <x:v>Walk-in</x:v>
      </x:c>
      <x:c r="G387" t="str" s="2">
        <x:v>Heritage Housing of Minden</x:v>
      </x:c>
      <x:c r="H387" t="str" s="2">
        <x:v>Patrick Schuchart</x:v>
      </x:c>
      <x:c r="I387" s="0"/>
      <x:c r="J387" t="str" s="2">
        <x:v>Patrick Schuchart</x:v>
      </x:c>
      <x:c r="K387" t="n" s="2">
        <x:v>34</x:v>
      </x:c>
      <x:c r="L387" t="str" s="2">
        <x:v>2.4</x:v>
      </x:c>
      <x:c r="M387" t="str" s="2">
        <x:v>Dead</x:v>
      </x:c>
      <x:c r="N387" t="str" s="2">
        <x:v>Deal approval</x:v>
      </x:c>
      <x:c r="O387" s="0"/>
      <x:c r="P387" s="6">
        <x:v>46226</x:v>
      </x:c>
      <x:c r="Q387" s="6">
        <x:v>46297.743024537034</x:v>
      </x:c>
      <x:c r="R387" s="0"/>
      <x:c r="S387" s="6">
        <x:v>46226</x:v>
      </x:c>
      <x:c r="T387" s="0"/>
      <x:c r="U387" s="0"/>
      <x:c r="V387" s="0"/>
      <x:c r="W387" s="0"/>
      <x:c r="X387" t="str" s="2">
        <x:v>3184558034</x:v>
      </x:c>
      <x:c r="Y387" t="str" s="2">
        <x:v>mil_mil_25@yahoo.com</x:v>
      </x:c>
      <x:c r="Z387" s="6">
        <x:v>46297.74395431713</x:v>
      </x:c>
      <x:c r="AA387" t="str" s="2">
        <x:v>Patrick Schuchart</x:v>
      </x:c>
      <x:c r="AB387" s="6">
        <x:v>46226.62215390046</x:v>
      </x:c>
      <x:c r="AC387" t="n" s="2">
        <x:v>38699</x:v>
      </x:c>
      <x:c r="AD387" t="str" s="2">
        <x:v>Doublewide</x:v>
      </x:c>
      <x:c r="AE387" s="0"/>
      <x:c r="AF387" s="0"/>
      <x:c r="AG387" s="7">
        <x:v>10000</x:v>
      </x:c>
      <x:c r="AH387" s="0"/>
      <x:c r="AI387" s="0"/>
      <x:c r="AJ387" s="0"/>
      <x:c r="AK387" s="0"/>
    </x:row>
    <x:row r="388">
      <x:c r="A388" t="str" s="2">
        <x:f>=HYPERLINK("https://rsms.futurehomex.com/lead/38700", "Lissa Smith")</x:f>
      </x:c>
      <x:c r="B388" t="n" s="2">
        <x:v>82</x:v>
      </x:c>
      <x:c r="C388" t="str" s="2">
        <x:v/>
      </x:c>
      <x:c r="D388" t="str" s="2">
        <x:f>=""</x:f>
      </x:c>
      <x:c r="E388" s="0"/>
      <x:c r="F388" t="str" s="2">
        <x:v>Walk-in</x:v>
      </x:c>
      <x:c r="G388" t="str" s="2">
        <x:v>Heritage Housing of Asheboro</x:v>
      </x:c>
      <x:c r="H388" t="str" s="2">
        <x:v>Maria Lopez</x:v>
      </x:c>
      <x:c r="I388" s="0"/>
      <x:c r="J388" s="0"/>
      <x:c r="K388" t="n" s="2">
        <x:v>21</x:v>
      </x:c>
      <x:c r="L388" t="str" s="2">
        <x:v>2.1</x:v>
      </x:c>
      <x:c r="M388" t="str" s="2">
        <x:v>Dead</x:v>
      </x:c>
      <x:c r="N388" t="str" s="2">
        <x:v>Qualified</x:v>
      </x:c>
      <x:c r="O388" s="0"/>
      <x:c r="P388" s="6">
        <x:v>46226</x:v>
      </x:c>
      <x:c r="Q388" s="6">
        <x:v>46238.69559915509</x:v>
      </x:c>
      <x:c r="R388" s="0"/>
      <x:c r="S388" s="6">
        <x:v>46226</x:v>
      </x:c>
      <x:c r="T388" s="0"/>
      <x:c r="U388" s="0"/>
      <x:c r="V388" s="0"/>
      <x:c r="W388" s="0"/>
      <x:c r="X388" t="str" s="2">
        <x:v>3362575253</x:v>
      </x:c>
      <x:c r="Y388" t="str" s="2">
        <x:v>lisamsmith1956@outlook.com</x:v>
      </x:c>
      <x:c r="Z388" s="6">
        <x:v>46268.77383935185</x:v>
      </x:c>
      <x:c r="AA388" t="str" s="2">
        <x:v>Maria Lopez</x:v>
      </x:c>
      <x:c r="AB388" s="6">
        <x:v>46226.64522392361</x:v>
      </x:c>
      <x:c r="AC388" t="n" s="2">
        <x:v>38700</x:v>
      </x:c>
      <x:c r="AD388" s="0"/>
      <x:c r="AE388" s="0"/>
      <x:c r="AF388" s="0"/>
      <x:c r="AG388" s="0"/>
      <x:c r="AH388" s="0"/>
      <x:c r="AI388" s="0"/>
      <x:c r="AJ388" s="0"/>
      <x:c r="AK388" s="0"/>
    </x:row>
    <x:row r="389">
      <x:c r="A389" t="str" s="2">
        <x:f>=HYPERLINK("https://rsms.futurehomex.com/lead/38701", "Angela Woodard")</x:f>
      </x:c>
      <x:c r="B389" t="n" s="2">
        <x:v>82</x:v>
      </x:c>
      <x:c r="C389" t="str" s="2">
        <x:v>1/2</x:v>
      </x:c>
      <x:c r="D389" t="str" s="2">
        <x:f>=""</x:f>
      </x:c>
      <x:c r="E389" t="str" s="2">
        <x:v>Louis Glass</x:v>
      </x:c>
      <x:c r="F389" t="str" s="2">
        <x:v>HH - Minden</x:v>
      </x:c>
      <x:c r="G389" t="str" s="2">
        <x:v>Heritage Housing of Minden</x:v>
      </x:c>
      <x:c r="H389" t="str" s="2">
        <x:v>Patrick Schuchart</x:v>
      </x:c>
      <x:c r="I389" t="str" s="2">
        <x:v>Karol Romero</x:v>
      </x:c>
      <x:c r="J389" s="0"/>
      <x:c r="K389" t="n" s="2">
        <x:v>34</x:v>
      </x:c>
      <x:c r="L389" t="str" s="2">
        <x:v>2.4</x:v>
      </x:c>
      <x:c r="M389" t="str" s="2">
        <x:v>Active</x:v>
      </x:c>
      <x:c r="N389" t="str" s="2">
        <x:v>Deal approval</x:v>
      </x:c>
      <x:c r="O389" s="0"/>
      <x:c r="P389" s="6">
        <x:v>46226</x:v>
      </x:c>
      <x:c r="Q389" s="6">
        <x:v>46297.74132800926</x:v>
      </x:c>
      <x:c r="R389" s="0"/>
      <x:c r="S389" s="6">
        <x:v>46226</x:v>
      </x:c>
      <x:c r="T389" s="0"/>
      <x:c r="U389" s="0"/>
      <x:c r="V389" s="0"/>
      <x:c r="W389" s="0"/>
      <x:c r="X389" t="str" s="2">
        <x:v>3185101513</x:v>
      </x:c>
      <x:c r="Y389" t="str" s="2">
        <x:v>angelawoodard69my@yahoo.com</x:v>
      </x:c>
      <x:c r="Z389" s="6">
        <x:v>46305.81218931713</x:v>
      </x:c>
      <x:c r="AA389" t="str" s="2">
        <x:v>Patrick Schuchart</x:v>
      </x:c>
      <x:c r="AB389" s="6">
        <x:v>46226.653000266204</x:v>
      </x:c>
      <x:c r="AC389" t="n" s="2">
        <x:v>38701</x:v>
      </x:c>
      <x:c r="AD389" t="str" s="2">
        <x:v>Singlewide</x:v>
      </x:c>
      <x:c r="AE389" s="0"/>
      <x:c r="AF389" s="0"/>
      <x:c r="AG389" s="0"/>
      <x:c r="AH389" s="0"/>
      <x:c r="AI389" t="str" s="2">
        <x:v>666</x:v>
      </x:c>
      <x:c r="AJ389" s="0"/>
      <x:c r="AK389" s="0"/>
    </x:row>
    <x:row r="390">
      <x:c r="A390" t="str" s="2">
        <x:f>=HYPERLINK("https://rsms.futurehomex.com/lead/38702", "Pedro Prueba Test")</x:f>
      </x:c>
      <x:c r="B390" t="n" s="2">
        <x:v>82</x:v>
      </x:c>
      <x:c r="C390" t="str" s="2">
        <x:v/>
      </x:c>
      <x:c r="D390" t="str" s="2">
        <x:f>=""</x:f>
      </x:c>
      <x:c r="E390" s="0"/>
      <x:c r="F390" t="str" s="2">
        <x:v>Walk-in</x:v>
      </x:c>
      <x:c r="G390" t="str" s="2">
        <x:v>Legacy Housing Corp. DBA Americasa</x:v>
      </x:c>
      <x:c r="H390" t="str" s="2">
        <x:v>Rodrigo Ramirez</x:v>
      </x:c>
      <x:c r="I390" t="str" s="2">
        <x:v>Karol Romero</x:v>
      </x:c>
      <x:c r="J390" t="str" s="2">
        <x:v>Rodrigo Ramirez</x:v>
      </x:c>
      <x:c r="K390" t="n" s="2">
        <x:v>9</x:v>
      </x:c>
      <x:c r="L390" t="str" s="2">
        <x:v>1.2</x:v>
      </x:c>
      <x:c r="M390" t="str" s="2">
        <x:v>Dead</x:v>
      </x:c>
      <x:c r="N390" t="str" s="2">
        <x:v>Deal Created</x:v>
      </x:c>
      <x:c r="O390" s="0"/>
      <x:c r="P390" s="6">
        <x:v>46226</x:v>
      </x:c>
      <x:c r="Q390" s="6">
        <x:v>46226.6583440625</x:v>
      </x:c>
      <x:c r="R390" s="0"/>
      <x:c r="S390" s="0"/>
      <x:c r="T390" s="0"/>
      <x:c r="U390" s="0"/>
      <x:c r="V390" s="0"/>
      <x:c r="W390" s="0"/>
      <x:c r="X390" t="str" s="2">
        <x:v>4444444444</x:v>
      </x:c>
      <x:c r="Y390" t="str" s="2">
        <x:v>4444444444</x:v>
      </x:c>
      <x:c r="Z390" s="6">
        <x:v>46226.653989502316</x:v>
      </x:c>
      <x:c r="AA390" t="str" s="2">
        <x:v>Rodrigo Ramirez</x:v>
      </x:c>
      <x:c r="AB390" s="6">
        <x:v>46226.653912615744</x:v>
      </x:c>
      <x:c r="AC390" t="n" s="2">
        <x:v>38702</x:v>
      </x:c>
      <x:c r="AD390" s="0"/>
      <x:c r="AE390" s="0"/>
      <x:c r="AF390" s="0"/>
      <x:c r="AG390" s="7">
        <x:v>5000</x:v>
      </x:c>
      <x:c r="AH390" s="0"/>
      <x:c r="AI390" s="0"/>
      <x:c r="AJ390" s="0"/>
      <x:c r="AK390" s="0"/>
    </x:row>
    <x:row r="391">
      <x:c r="A391" t="str" s="2">
        <x:f>=HYPERLINK("https://rsms.futurehomex.com/lead/38703", "Calvin Barnett")</x:f>
      </x:c>
      <x:c r="B391" t="n" s="2">
        <x:v>82</x:v>
      </x:c>
      <x:c r="C391" t="str" s="2">
        <x:v>1/1</x:v>
      </x:c>
      <x:c r="D391" t="str" s="2">
        <x:f>=""</x:f>
      </x:c>
      <x:c r="E391" s="0"/>
      <x:c r="F391" t="str" s="2">
        <x:v>HH - Tulsa</x:v>
      </x:c>
      <x:c r="G391" t="str" s="2">
        <x:v>Heritage Housing of Tulsa</x:v>
      </x:c>
      <x:c r="H391" t="str" s="2">
        <x:v>Derek Searcy</x:v>
      </x:c>
      <x:c r="I391" s="0"/>
      <x:c r="J391" t="str" s="2">
        <x:v>Jenna Fransisco</x:v>
      </x:c>
      <x:c r="K391" t="n" s="2">
        <x:v>5</x:v>
      </x:c>
      <x:c r="L391" t="str" s="2">
        <x:v>1.1</x:v>
      </x:c>
      <x:c r="M391" t="str" s="2">
        <x:v>Inactive</x:v>
      </x:c>
      <x:c r="N391" t="str" s="2">
        <x:v>Deal Created</x:v>
      </x:c>
      <x:c r="O391" s="0"/>
      <x:c r="P391" s="6">
        <x:v>46226</x:v>
      </x:c>
      <x:c r="Q391" s="6">
        <x:v>46226.66754811342</x:v>
      </x:c>
      <x:c r="R391" s="0"/>
      <x:c r="S391" s="0"/>
      <x:c r="T391" s="0"/>
      <x:c r="U391" s="0"/>
      <x:c r="V391" s="0"/>
      <x:c r="W391" s="0"/>
      <x:c r="X391" t="str" s="2">
        <x:v>5673144041</x:v>
      </x:c>
      <x:c r="Y391" t="str" s="2">
        <x:v>barnettcalvin1969@gmail.com</x:v>
      </x:c>
      <x:c r="Z391" s="6">
        <x:v>46226.66775153935</x:v>
      </x:c>
      <x:c r="AA391" t="str" s="2">
        <x:v>Brittany Cobb</x:v>
      </x:c>
      <x:c r="AB391" s="6">
        <x:v>46226.66754872685</x:v>
      </x:c>
      <x:c r="AC391" t="n" s="2">
        <x:v>38703</x:v>
      </x:c>
      <x:c r="AD391" s="0"/>
      <x:c r="AE391" s="0"/>
      <x:c r="AF391" s="0"/>
      <x:c r="AG391" s="0"/>
      <x:c r="AH391" s="0"/>
      <x:c r="AI391" s="0"/>
      <x:c r="AJ391" s="0"/>
      <x:c r="AK391" s="0"/>
    </x:row>
    <x:row r="392">
      <x:c r="A392" t="str" s="2">
        <x:f>=HYPERLINK("https://rsms.futurehomex.com/lead/38704", "Donna Friend")</x:f>
      </x:c>
      <x:c r="B392" t="n" s="2">
        <x:v>82</x:v>
      </x:c>
      <x:c r="C392" t="str" s="2">
        <x:v>1/1</x:v>
      </x:c>
      <x:c r="D392" t="str" s="2">
        <x:f>=""</x:f>
      </x:c>
      <x:c r="E392" s="0"/>
      <x:c r="F392" t="str" s="2">
        <x:v>Website</x:v>
      </x:c>
      <x:c r="G392" t="str" s="2">
        <x:v>Heritage Housing of Tulsa</x:v>
      </x:c>
      <x:c r="H392" t="str" s="2">
        <x:v>Derek Searcy</x:v>
      </x:c>
      <x:c r="I392" s="0"/>
      <x:c r="J392" t="str" s="2">
        <x:v>Jenna Fransisco</x:v>
      </x:c>
      <x:c r="K392" t="n" s="2">
        <x:v>5</x:v>
      </x:c>
      <x:c r="L392" t="str" s="2">
        <x:v>1.1</x:v>
      </x:c>
      <x:c r="M392" t="str" s="2">
        <x:v>Inactive</x:v>
      </x:c>
      <x:c r="N392" t="str" s="2">
        <x:v>Deal Created</x:v>
      </x:c>
      <x:c r="O392" s="0"/>
      <x:c r="P392" s="6">
        <x:v>46226</x:v>
      </x:c>
      <x:c r="Q392" s="6">
        <x:v>46226.668906597224</x:v>
      </x:c>
      <x:c r="R392" s="0"/>
      <x:c r="S392" s="0"/>
      <x:c r="T392" s="0"/>
      <x:c r="U392" s="0"/>
      <x:c r="V392" s="0"/>
      <x:c r="W392" s="0"/>
      <x:c r="X392" t="str" s="2">
        <x:v>9186918133</x:v>
      </x:c>
      <x:c r="Y392" t="str" s="2">
        <x:v>donna.friend86@gmail.com</x:v>
      </x:c>
      <x:c r="Z392" s="6">
        <x:v>46244.71944626157</x:v>
      </x:c>
      <x:c r="AA392" t="str" s="2">
        <x:v>Brittany Cobb</x:v>
      </x:c>
      <x:c r="AB392" s="6">
        <x:v>46226.668907060186</x:v>
      </x:c>
      <x:c r="AC392" t="n" s="2">
        <x:v>38704</x:v>
      </x:c>
      <x:c r="AD392" s="0"/>
      <x:c r="AE392" s="0"/>
      <x:c r="AF392" s="0"/>
      <x:c r="AG392" s="0"/>
      <x:c r="AH392" s="0"/>
      <x:c r="AI392" s="0"/>
      <x:c r="AJ392" s="0"/>
      <x:c r="AK392" s="0"/>
    </x:row>
    <x:row r="393">
      <x:c r="A393" t="str" s="2">
        <x:f>=HYPERLINK("https://rsms.futurehomex.com/lead/38705", "Kenny Cleland")</x:f>
      </x:c>
      <x:c r="B393" t="n" s="2">
        <x:v>82</x:v>
      </x:c>
      <x:c r="C393" t="str" s="2">
        <x:v>1/1</x:v>
      </x:c>
      <x:c r="D393" t="str" s="2">
        <x:f>=""</x:f>
      </x:c>
      <x:c r="E393" s="0"/>
      <x:c r="F393" t="str" s="2">
        <x:v>Meta Ads - Forms</x:v>
      </x:c>
      <x:c r="G393" t="str" s="2">
        <x:v>Heritage Housing of Tulsa</x:v>
      </x:c>
      <x:c r="H393" t="str" s="2">
        <x:v>Derek Searcy</x:v>
      </x:c>
      <x:c r="I393" s="0"/>
      <x:c r="J393" t="str" s="2">
        <x:v>Jenna Fransisco</x:v>
      </x:c>
      <x:c r="K393" t="n" s="2">
        <x:v>5</x:v>
      </x:c>
      <x:c r="L393" t="str" s="2">
        <x:v>1.1</x:v>
      </x:c>
      <x:c r="M393" t="str" s="2">
        <x:v>Inactive</x:v>
      </x:c>
      <x:c r="N393" t="str" s="2">
        <x:v>Deal Created</x:v>
      </x:c>
      <x:c r="O393" s="0"/>
      <x:c r="P393" s="6">
        <x:v>46226</x:v>
      </x:c>
      <x:c r="Q393" s="6">
        <x:v>46226.68148533565</x:v>
      </x:c>
      <x:c r="R393" s="0"/>
      <x:c r="S393" s="0"/>
      <x:c r="T393" s="0"/>
      <x:c r="U393" s="0"/>
      <x:c r="V393" s="0"/>
      <x:c r="W393" s="0"/>
      <x:c r="X393" t="str" s="2">
        <x:v>5394446535</x:v>
      </x:c>
      <x:c r="Y393" t="str" s="2">
        <x:v>kencleland54@gmail.com</x:v>
      </x:c>
      <x:c r="Z393" s="0"/>
      <x:c r="AA393" s="0"/>
      <x:c r="AB393" s="6">
        <x:v>46226.68148649306</x:v>
      </x:c>
      <x:c r="AC393" t="n" s="2">
        <x:v>38705</x:v>
      </x:c>
      <x:c r="AD393" s="0"/>
      <x:c r="AE393" s="0"/>
      <x:c r="AF393" s="0"/>
      <x:c r="AG393" s="0"/>
      <x:c r="AH393" s="0"/>
      <x:c r="AI393" s="0"/>
      <x:c r="AJ393" s="0"/>
      <x:c r="AK393" s="0"/>
    </x:row>
    <x:row r="394">
      <x:c r="A394" t="str" s="2">
        <x:f>=HYPERLINK("https://rsms.futurehomex.com/lead/38706", "LaSharon Kately")</x:f>
      </x:c>
      <x:c r="B394" t="n" s="2">
        <x:v>82</x:v>
      </x:c>
      <x:c r="C394" t="str" s="2">
        <x:v>1/4</x:v>
      </x:c>
      <x:c r="D394" t="str" s="2">
        <x:f>=""</x:f>
      </x:c>
      <x:c r="E394" s="0"/>
      <x:c r="F394" t="str" s="2">
        <x:v>Walk-in</x:v>
      </x:c>
      <x:c r="G394" t="str" s="2">
        <x:v>Heritage Housing of Jennings</x:v>
      </x:c>
      <x:c r="H394" t="str" s="2">
        <x:v>Mervin Leslie Smith</x:v>
      </x:c>
      <x:c r="I394" s="0"/>
      <x:c r="J394" s="0"/>
      <x:c r="K394" t="n" s="2">
        <x:v>5</x:v>
      </x:c>
      <x:c r="L394" t="str" s="2">
        <x:v>1.1</x:v>
      </x:c>
      <x:c r="M394" t="str" s="2">
        <x:v>Inactive</x:v>
      </x:c>
      <x:c r="N394" t="str" s="2">
        <x:v>Prospect</x:v>
      </x:c>
      <x:c r="O394" s="0"/>
      <x:c r="P394" s="6">
        <x:v>46226</x:v>
      </x:c>
      <x:c r="Q394" s="6">
        <x:v>46226.71317265046</x:v>
      </x:c>
      <x:c r="R394" s="0"/>
      <x:c r="S394" s="0"/>
      <x:c r="T394" s="0"/>
      <x:c r="U394" s="0"/>
      <x:c r="V394" s="0"/>
      <x:c r="W394" s="0"/>
      <x:c r="X394" t="str" s="2">
        <x:v>3373880052</x:v>
      </x:c>
      <x:c r="Y394" t="str" s="2">
        <x:v>lasharonk@yahoo.com</x:v>
      </x:c>
      <x:c r="Z394" s="6">
        <x:v>46232.9200630787</x:v>
      </x:c>
      <x:c r="AA394" t="str" s="2">
        <x:v>Mervin Leslie Smith</x:v>
      </x:c>
      <x:c r="AB394" s="6">
        <x:v>46226.711513622686</x:v>
      </x:c>
      <x:c r="AC394" t="n" s="2">
        <x:v>38706</x:v>
      </x:c>
      <x:c r="AD394" s="0"/>
      <x:c r="AE394" s="0"/>
      <x:c r="AF394" s="0"/>
      <x:c r="AG394" s="0"/>
      <x:c r="AH394" s="0"/>
      <x:c r="AI394" s="0"/>
      <x:c r="AJ394" s="0"/>
      <x:c r="AK394" s="0"/>
    </x:row>
    <x:row r="395">
      <x:c r="A395" t="str" s="2">
        <x:f>=HYPERLINK("https://rsms.futurehomex.com/lead/38707", "Juan Campos")</x:f>
      </x:c>
      <x:c r="B395" t="n" s="2">
        <x:v>82</x:v>
      </x:c>
      <x:c r="C395" t="str" s="2">
        <x:v>1/3</x:v>
      </x:c>
      <x:c r="D395" t="str" s="2">
        <x:f>=""</x:f>
      </x:c>
      <x:c r="E395" s="0"/>
      <x:c r="F395" t="str" s="2">
        <x:v>Meta Marketplace</x:v>
      </x:c>
      <x:c r="G395" t="str" s="2">
        <x:v>Legacy Housing Corp. DBA Americasa</x:v>
      </x:c>
      <x:c r="H395" t="str" s="2">
        <x:v>Joey Marquez</x:v>
      </x:c>
      <x:c r="I395" t="str" s="2">
        <x:v>Karol Romero</x:v>
      </x:c>
      <x:c r="J395" t="str" s="2">
        <x:v>Rodrigo Ramirez</x:v>
      </x:c>
      <x:c r="K395" t="n" s="2">
        <x:v>5</x:v>
      </x:c>
      <x:c r="L395" t="str" s="2">
        <x:v>1.1</x:v>
      </x:c>
      <x:c r="M395" t="str" s="2">
        <x:v>Tentative</x:v>
      </x:c>
      <x:c r="N395" t="str" s="2">
        <x:v>Deal Created</x:v>
      </x:c>
      <x:c r="O395" s="0"/>
      <x:c r="P395" s="6">
        <x:v>46226</x:v>
      </x:c>
      <x:c r="Q395" s="6">
        <x:v>46226.72570613426</x:v>
      </x:c>
      <x:c r="R395" s="0"/>
      <x:c r="S395" s="6">
        <x:v>46226</x:v>
      </x:c>
      <x:c r="T395" s="0"/>
      <x:c r="U395" s="0"/>
      <x:c r="V395" s="0"/>
      <x:c r="W395" s="0"/>
      <x:c r="X395" t="str" s="2">
        <x:v>8325995423</x:v>
      </x:c>
      <x:c r="Y395" t="str" s="2">
        <x:v>8325995423</x:v>
      </x:c>
      <x:c r="Z395" s="6">
        <x:v>46307.7657252662</x:v>
      </x:c>
      <x:c r="AA395" t="str" s="2">
        <x:v>Joey Marquez</x:v>
      </x:c>
      <x:c r="AB395" s="6">
        <x:v>46226.72570818287</x:v>
      </x:c>
      <x:c r="AC395" t="n" s="2">
        <x:v>38707</x:v>
      </x:c>
      <x:c r="AD395" s="0"/>
      <x:c r="AE395" s="0"/>
      <x:c r="AF395" s="0"/>
      <x:c r="AG395" s="0"/>
      <x:c r="AH395" s="0"/>
      <x:c r="AI395" s="0"/>
      <x:c r="AJ395" s="0"/>
      <x:c r="AK395" s="0"/>
    </x:row>
    <x:row r="396">
      <x:c r="A396" t="str" s="2">
        <x:f>=HYPERLINK("https://rsms.futurehomex.com/lead/38708", "Emmanuel Mendoza Granados")</x:f>
      </x:c>
      <x:c r="B396" t="n" s="2">
        <x:v>82</x:v>
      </x:c>
      <x:c r="C396" t="str" s="2">
        <x:v>0/1</x:v>
      </x:c>
      <x:c r="D396" t="str" s="2">
        <x:f>=""</x:f>
      </x:c>
      <x:c r="E396" s="0"/>
      <x:c r="F396" t="str" s="2">
        <x:v>Facebook Messenger</x:v>
      </x:c>
      <x:c r="G396" t="str" s="2">
        <x:v>Heritage Housing of Greenville</x:v>
      </x:c>
      <x:c r="H396" t="str" s="2">
        <x:v>Ana Garcia</x:v>
      </x:c>
      <x:c r="I396" s="0"/>
      <x:c r="J396" t="str" s="2">
        <x:v>Ana Garcia</x:v>
      </x:c>
      <x:c r="K396" t="n" s="2">
        <x:v>59</x:v>
      </x:c>
      <x:c r="L396" t="str" s="2">
        <x:v>4.3</x:v>
      </x:c>
      <x:c r="M396" t="str" s="2">
        <x:v>Active</x:v>
      </x:c>
      <x:c r="N396" t="str" s="2">
        <x:v>Loan Approved</x:v>
      </x:c>
      <x:c r="O396" s="6">
        <x:v>46356</x:v>
      </x:c>
      <x:c r="P396" s="6">
        <x:v>46226</x:v>
      </x:c>
      <x:c r="Q396" s="6">
        <x:v>46230.76505760416</x:v>
      </x:c>
      <x:c r="R396" s="0"/>
      <x:c r="S396" s="6">
        <x:v>46226</x:v>
      </x:c>
      <x:c r="T396" s="6">
        <x:v>46226</x:v>
      </x:c>
      <x:c r="U396" s="6">
        <x:v>46230</x:v>
      </x:c>
      <x:c r="V396" s="6">
        <x:v>46230</x:v>
      </x:c>
      <x:c r="W396" s="0"/>
      <x:c r="X396" t="str" s="2">
        <x:v>4302803714</x:v>
      </x:c>
      <x:c r="Y396" t="str" s="2">
        <x:v>granadosemmanuel@icloud.com</x:v>
      </x:c>
      <x:c r="Z396" s="6">
        <x:v>46230.76245836806</x:v>
      </x:c>
      <x:c r="AA396" t="str" s="2">
        <x:v>Kristin Breedlove</x:v>
      </x:c>
      <x:c r="AB396" s="6">
        <x:v>46226.80112318287</x:v>
      </x:c>
      <x:c r="AC396" t="n" s="2">
        <x:v>38708</x:v>
      </x:c>
      <x:c r="AD396" t="str" s="2">
        <x:v>Doublewide</x:v>
      </x:c>
      <x:c r="AE396" t="str" s="2">
        <x:v>Legacy Housing Corporation</x:v>
      </x:c>
      <x:c r="AF396" s="7">
        <x:v>9409</x:v>
      </x:c>
      <x:c r="AG396" s="7">
        <x:v>10000</x:v>
      </x:c>
      <x:c r="AH396" s="7">
        <x:v>9200</x:v>
      </x:c>
      <x:c r="AI396" t="str" s="2">
        <x:v>709</x:v>
      </x:c>
      <x:c r="AJ396" s="0"/>
      <x:c r="AK396" s="0"/>
    </x:row>
    <x:row r="397">
      <x:c r="A397" t="str" s="2">
        <x:f>=HYPERLINK("https://rsms.futurehomex.com/lead/38709", "Johnene Burnett")</x:f>
      </x:c>
      <x:c r="B397" t="n" s="2">
        <x:v>82</x:v>
      </x:c>
      <x:c r="C397" t="str" s="2">
        <x:v/>
      </x:c>
      <x:c r="D397" t="str" s="2">
        <x:f>=""</x:f>
      </x:c>
      <x:c r="E397" s="0"/>
      <x:c r="F397" t="str" s="2">
        <x:v>Walk-in</x:v>
      </x:c>
      <x:c r="G397" t="str" s="2">
        <x:v>Heritage Housing of Augusta</x:v>
      </x:c>
      <x:c r="H397" t="str" s="2">
        <x:v>Jennifer Johnson</x:v>
      </x:c>
      <x:c r="I397" t="str" s="2">
        <x:v>Karol Romero</x:v>
      </x:c>
      <x:c r="J397" t="str" s="2">
        <x:v>Jennifer Johnson</x:v>
      </x:c>
      <x:c r="K397" t="n" s="2">
        <x:v>5</x:v>
      </x:c>
      <x:c r="L397" t="str" s="2">
        <x:v>1.1</x:v>
      </x:c>
      <x:c r="M397" t="str" s="2">
        <x:v>Active</x:v>
      </x:c>
      <x:c r="N397" t="str" s="2">
        <x:v>Deal Created</x:v>
      </x:c>
      <x:c r="O397" s="0"/>
      <x:c r="P397" s="6">
        <x:v>46226</x:v>
      </x:c>
      <x:c r="Q397" s="6">
        <x:v>46226.821903819444</x:v>
      </x:c>
      <x:c r="R397" s="0"/>
      <x:c r="S397" s="6">
        <x:v>46226</x:v>
      </x:c>
      <x:c r="T397" s="0"/>
      <x:c r="U397" s="0"/>
      <x:c r="V397" s="0"/>
      <x:c r="W397" s="0"/>
      <x:c r="X397" t="str" s="2">
        <x:v>7068336405</x:v>
      </x:c>
      <x:c r="Y397" t="str" s="2">
        <x:v>7068336405</x:v>
      </x:c>
      <x:c r="Z397" s="0"/>
      <x:c r="AA397" s="0"/>
      <x:c r="AB397" s="6">
        <x:v>46226.81691354167</x:v>
      </x:c>
      <x:c r="AC397" t="n" s="2">
        <x:v>38709</x:v>
      </x:c>
      <x:c r="AD397" s="0"/>
      <x:c r="AE397" s="0"/>
      <x:c r="AF397" s="0"/>
      <x:c r="AG397" s="0"/>
      <x:c r="AH397" s="0"/>
      <x:c r="AI397" s="0"/>
      <x:c r="AJ397" s="0"/>
      <x:c r="AK397" s="0"/>
    </x:row>
    <x:row r="398">
      <x:c r="A398" t="str" s="2">
        <x:f>=HYPERLINK("https://rsms.futurehomex.com/lead/38710", "Carson Myers")</x:f>
      </x:c>
      <x:c r="B398" t="n" s="2">
        <x:v>82</x:v>
      </x:c>
      <x:c r="C398" t="str" s="2">
        <x:v>1/5</x:v>
      </x:c>
      <x:c r="D398" t="str" s="2">
        <x:f>=""</x:f>
      </x:c>
      <x:c r="E398" s="0"/>
      <x:c r="F398" t="str" s="2">
        <x:v>Financing Form</x:v>
      </x:c>
      <x:c r="G398" t="str" s="2">
        <x:v>Heritage Housing of Jennings</x:v>
      </x:c>
      <x:c r="H398" t="str" s="2">
        <x:v>Clint O'Neal</x:v>
      </x:c>
      <x:c r="I398" s="0"/>
      <x:c r="J398" t="str" s="2">
        <x:v>Clint O'Neal</x:v>
      </x:c>
      <x:c r="K398" t="n" s="2">
        <x:v>5</x:v>
      </x:c>
      <x:c r="L398" t="str" s="2">
        <x:v>1.1</x:v>
      </x:c>
      <x:c r="M398" t="str" s="2">
        <x:v>Inactive</x:v>
      </x:c>
      <x:c r="N398" t="str" s="2">
        <x:v>Deal Created</x:v>
      </x:c>
      <x:c r="O398" s="0"/>
      <x:c r="P398" s="6">
        <x:v>46226</x:v>
      </x:c>
      <x:c r="Q398" s="6">
        <x:v>46226.8451340625</x:v>
      </x:c>
      <x:c r="R398" s="0"/>
      <x:c r="S398" s="0"/>
      <x:c r="T398" s="0"/>
      <x:c r="U398" s="0"/>
      <x:c r="V398" s="0"/>
      <x:c r="W398" s="0"/>
      <x:c r="X398" t="str" s="2">
        <x:v>3373688081</x:v>
      </x:c>
      <x:c r="Y398" t="str" s="2">
        <x:v>gaige_baseball10@icloud.com</x:v>
      </x:c>
      <x:c r="Z398" s="6">
        <x:v>46239.83442896991</x:v>
      </x:c>
      <x:c r="AA398" t="str" s="2">
        <x:v>Clint O'Neal</x:v>
      </x:c>
      <x:c r="AB398" s="6">
        <x:v>46226.84513460648</x:v>
      </x:c>
      <x:c r="AC398" t="n" s="2">
        <x:v>38710</x:v>
      </x:c>
      <x:c r="AD398" s="0"/>
      <x:c r="AE398" s="0"/>
      <x:c r="AF398" s="0"/>
      <x:c r="AG398" s="0"/>
      <x:c r="AH398" s="0"/>
      <x:c r="AI398" s="0"/>
      <x:c r="AJ398" s="0"/>
      <x:c r="AK398" s="0"/>
    </x:row>
    <x:row r="399">
      <x:c r="A399" t="str" s="2">
        <x:f>=HYPERLINK("https://rsms.futurehomex.com/lead/38711", "Jazmin Rivas")</x:f>
      </x:c>
      <x:c r="B399" t="n" s="2">
        <x:v>82</x:v>
      </x:c>
      <x:c r="C399" t="str" s="2">
        <x:v>0/2</x:v>
      </x:c>
      <x:c r="D399" t="str" s="2">
        <x:f>=""</x:f>
      </x:c>
      <x:c r="E399" t="str" s="2">
        <x:v>Angel Rivas</x:v>
      </x:c>
      <x:c r="F399" t="str" s="2">
        <x:v>Walk-in</x:v>
      </x:c>
      <x:c r="G399" t="str" s="2">
        <x:v>Legacy Housing Corp. DBA Americasa</x:v>
      </x:c>
      <x:c r="H399" t="str" s="2">
        <x:v>Joey Marquez</x:v>
      </x:c>
      <x:c r="I399" t="str" s="2">
        <x:v>Karol Romero</x:v>
      </x:c>
      <x:c r="J399" t="str" s="2">
        <x:v>Rodrigo Ramirez</x:v>
      </x:c>
      <x:c r="K399" t="n" s="2">
        <x:v>5</x:v>
      </x:c>
      <x:c r="L399" t="str" s="2">
        <x:v>1.1</x:v>
      </x:c>
      <x:c r="M399" t="str" s="2">
        <x:v>Tentative</x:v>
      </x:c>
      <x:c r="N399" t="str" s="2">
        <x:v>Deal Created</x:v>
      </x:c>
      <x:c r="O399" s="0"/>
      <x:c r="P399" s="6">
        <x:v>46226</x:v>
      </x:c>
      <x:c r="Q399" s="6">
        <x:v>46267.81137638889</x:v>
      </x:c>
      <x:c r="R399" s="0"/>
      <x:c r="S399" s="6">
        <x:v>46226</x:v>
      </x:c>
      <x:c r="T399" s="0"/>
      <x:c r="U399" s="0"/>
      <x:c r="V399" s="0"/>
      <x:c r="W399" s="0"/>
      <x:c r="X399" t="str" s="2">
        <x:v>8329833563</x:v>
      </x:c>
      <x:c r="Y399" t="str" s="2">
        <x:v>8329833563</x:v>
      </x:c>
      <x:c r="Z399" s="6">
        <x:v>46267.81213078704</x:v>
      </x:c>
      <x:c r="AA399" t="str" s="2">
        <x:v>Victoria Sanchez</x:v>
      </x:c>
      <x:c r="AB399" s="6">
        <x:v>46226.85624001158</x:v>
      </x:c>
      <x:c r="AC399" t="n" s="2">
        <x:v>38711</x:v>
      </x:c>
      <x:c r="AD399" s="0"/>
      <x:c r="AE399" s="0"/>
      <x:c r="AF399" s="0"/>
      <x:c r="AG399" s="0"/>
      <x:c r="AH399" s="0"/>
      <x:c r="AI399" s="0"/>
      <x:c r="AJ399" s="0"/>
      <x:c r="AK399" s="0"/>
    </x:row>
    <x:row r="400">
      <x:c r="A400" t="str" s="2">
        <x:f>=HYPERLINK("https://rsms.futurehomex.com/lead/38712", "Andrew Lunde")</x:f>
      </x:c>
      <x:c r="B400" t="n" s="2">
        <x:v>82</x:v>
      </x:c>
      <x:c r="C400" t="str" s="2">
        <x:v/>
      </x:c>
      <x:c r="D400" t="str" s="2">
        <x:f>=""</x:f>
      </x:c>
      <x:c r="E400" s="0"/>
      <x:c r="F400" t="str" s="2">
        <x:v>Office Hot Calls</x:v>
      </x:c>
      <x:c r="G400" t="str" s="2">
        <x:v>Heritage Housing of Augusta</x:v>
      </x:c>
      <x:c r="H400" t="str" s="2">
        <x:v>Jennifer Johnson</x:v>
      </x:c>
      <x:c r="I400" t="str" s="2">
        <x:v>Karol Romero</x:v>
      </x:c>
      <x:c r="J400" t="str" s="2">
        <x:v>Faye Lively</x:v>
      </x:c>
      <x:c r="K400" t="n" s="2">
        <x:v>5</x:v>
      </x:c>
      <x:c r="L400" t="str" s="2">
        <x:v>1.1</x:v>
      </x:c>
      <x:c r="M400" t="str" s="2">
        <x:v>Tentative</x:v>
      </x:c>
      <x:c r="N400" t="str" s="2">
        <x:v>Deal Created</x:v>
      </x:c>
      <x:c r="O400" s="0"/>
      <x:c r="P400" s="6">
        <x:v>46226</x:v>
      </x:c>
      <x:c r="Q400" s="6">
        <x:v>46226.87588572917</x:v>
      </x:c>
      <x:c r="R400" s="0"/>
      <x:c r="S400" s="6">
        <x:v>46226</x:v>
      </x:c>
      <x:c r="T400" s="0"/>
      <x:c r="U400" s="0"/>
      <x:c r="V400" s="0"/>
      <x:c r="W400" s="0"/>
      <x:c r="X400" t="str" s="2">
        <x:v>7064210777</x:v>
      </x:c>
      <x:c r="Y400" t="str" s="2">
        <x:v>Andrewlunde0218@gmail.com</x:v>
      </x:c>
      <x:c r="Z400" s="6">
        <x:v>46227.61181454861</x:v>
      </x:c>
      <x:c r="AA400" t="str" s="2">
        <x:v>Christian Benson</x:v>
      </x:c>
      <x:c r="AB400" s="6">
        <x:v>46226.8758875</x:v>
      </x:c>
      <x:c r="AC400" t="n" s="2">
        <x:v>38712</x:v>
      </x:c>
      <x:c r="AD400" s="0"/>
      <x:c r="AE400" s="0"/>
      <x:c r="AF400" s="0"/>
      <x:c r="AG400" s="0"/>
      <x:c r="AH400" s="0"/>
      <x:c r="AI400" s="0"/>
      <x:c r="AJ400" s="0"/>
      <x:c r="AK400" s="0"/>
    </x:row>
    <x:row r="401">
      <x:c r="A401" t="str" s="2">
        <x:f>=HYPERLINK("https://rsms.futurehomex.com/lead/38713", "leroy peters")</x:f>
      </x:c>
      <x:c r="B401" t="n" s="2">
        <x:v>82</x:v>
      </x:c>
      <x:c r="C401" t="str" s="2">
        <x:v/>
      </x:c>
      <x:c r="D401" t="str" s="2">
        <x:f>=""</x:f>
      </x:c>
      <x:c r="E401" s="0"/>
      <x:c r="F401" t="str" s="2">
        <x:v>Meta Ads - Forms</x:v>
      </x:c>
      <x:c r="G401" t="str" s="2">
        <x:v>Heritage Housing of Tulsa</x:v>
      </x:c>
      <x:c r="H401" t="str" s="2">
        <x:v>Derek Searcy</x:v>
      </x:c>
      <x:c r="I401" s="0"/>
      <x:c r="J401" t="str" s="2">
        <x:v>Jenna Fransisco</x:v>
      </x:c>
      <x:c r="K401" t="n" s="2">
        <x:v>5</x:v>
      </x:c>
      <x:c r="L401" t="str" s="2">
        <x:v>1.1</x:v>
      </x:c>
      <x:c r="M401" t="str" s="2">
        <x:v>Inactive</x:v>
      </x:c>
      <x:c r="N401" t="str" s="2">
        <x:v>Prospect</x:v>
      </x:c>
      <x:c r="O401" s="0"/>
      <x:c r="P401" s="6">
        <x:v>46226</x:v>
      </x:c>
      <x:c r="Q401" s="6">
        <x:v>46226.8906397338</x:v>
      </x:c>
      <x:c r="R401" s="0"/>
      <x:c r="S401" s="0"/>
      <x:c r="T401" s="0"/>
      <x:c r="U401" s="0"/>
      <x:c r="V401" s="0"/>
      <x:c r="W401" s="0"/>
      <x:c r="X401" t="str" s="2">
        <x:v>9189008602</x:v>
      </x:c>
      <x:c r="Y401" t="str" s="2">
        <x:v>leroypeters7272@gmail.com</x:v>
      </x:c>
      <x:c r="Z401" s="6">
        <x:v>46245.946827280095</x:v>
      </x:c>
      <x:c r="AA401" t="str" s="2">
        <x:v>Brittany Cobb</x:v>
      </x:c>
      <x:c r="AB401" s="6">
        <x:v>46226.89064019676</x:v>
      </x:c>
      <x:c r="AC401" t="n" s="2">
        <x:v>38713</x:v>
      </x:c>
      <x:c r="AD401" s="0"/>
      <x:c r="AE401" s="0"/>
      <x:c r="AF401" s="0"/>
      <x:c r="AG401" s="0"/>
      <x:c r="AH401" s="0"/>
      <x:c r="AI401" s="0"/>
      <x:c r="AJ401" s="0"/>
      <x:c r="AK401" s="0"/>
    </x:row>
    <x:row r="402">
      <x:c r="A402" t="str" s="2">
        <x:f>=HYPERLINK("https://rsms.futurehomex.com/lead/38715", "Elias Robles")</x:f>
      </x:c>
      <x:c r="B402" t="n" s="2">
        <x:v>82</x:v>
      </x:c>
      <x:c r="C402" t="str" s="2">
        <x:v/>
      </x:c>
      <x:c r="D402" t="str" s="2">
        <x:f>=""</x:f>
      </x:c>
      <x:c r="E402" s="0"/>
      <x:c r="F402" t="str" s="2">
        <x:v>Walk-in</x:v>
      </x:c>
      <x:c r="G402" t="str" s="2">
        <x:v>Heritage Housing Mt Pleasant</x:v>
      </x:c>
      <x:c r="H402" t="str" s="2">
        <x:v>Sandra Saldana</x:v>
      </x:c>
      <x:c r="I402" s="0"/>
      <x:c r="J402" t="str" s="2">
        <x:v>Sandra Saldana</x:v>
      </x:c>
      <x:c r="K402" t="n" s="2">
        <x:v>5</x:v>
      </x:c>
      <x:c r="L402" t="str" s="2">
        <x:v>1.1</x:v>
      </x:c>
      <x:c r="M402" t="str" s="2">
        <x:v>Dead</x:v>
      </x:c>
      <x:c r="N402" t="str" s="2">
        <x:v>Deal Created</x:v>
      </x:c>
      <x:c r="O402" s="0"/>
      <x:c r="P402" s="6">
        <x:v>46226</x:v>
      </x:c>
      <x:c r="Q402" s="6">
        <x:v>46228.698262384256</x:v>
      </x:c>
      <x:c r="R402" s="0"/>
      <x:c r="S402" s="6">
        <x:v>46226</x:v>
      </x:c>
      <x:c r="T402" s="6">
        <x:v>46226</x:v>
      </x:c>
      <x:c r="U402" s="0"/>
      <x:c r="V402" s="0"/>
      <x:c r="W402" s="0"/>
      <x:c r="X402" t="str" s="2">
        <x:v>9039187245</x:v>
      </x:c>
      <x:c r="Y402" t="str" s="2">
        <x:v>eliasrobles1995@yahoo.com</x:v>
      </x:c>
      <x:c r="Z402" s="0"/>
      <x:c r="AA402" s="0"/>
      <x:c r="AB402" s="6">
        <x:v>46226.94356820602</x:v>
      </x:c>
      <x:c r="AC402" t="n" s="2">
        <x:v>38715</x:v>
      </x:c>
      <x:c r="AD402" s="0"/>
      <x:c r="AE402" s="0"/>
      <x:c r="AF402" s="0"/>
      <x:c r="AG402" s="7">
        <x:v>11882.5</x:v>
      </x:c>
      <x:c r="AH402" s="0"/>
      <x:c r="AI402" s="0"/>
      <x:c r="AJ402" s="0"/>
      <x:c r="AK402" s="0"/>
    </x:row>
    <x:row r="403">
      <x:c r="A403" t="str" s="2">
        <x:f>=HYPERLINK("https://rsms.futurehomex.com/lead/38716", "Terisa Kirschke")</x:f>
      </x:c>
      <x:c r="B403" t="n" s="2">
        <x:v>81</x:v>
      </x:c>
      <x:c r="C403" t="str" s="2">
        <x:v/>
      </x:c>
      <x:c r="D403" t="str" s="2">
        <x:f>=""</x:f>
      </x:c>
      <x:c r="E403" s="0"/>
      <x:c r="F403" t="str" s="2">
        <x:v>Meta Ads - Forms</x:v>
      </x:c>
      <x:c r="G403" t="str" s="2">
        <x:v>Heritage Housing Mt Pleasant</x:v>
      </x:c>
      <x:c r="H403" t="str" s="2">
        <x:v>Elias Gallardo</x:v>
      </x:c>
      <x:c r="I403" s="0"/>
      <x:c r="J403" t="str" s="2">
        <x:v>Elias Gallardo</x:v>
      </x:c>
      <x:c r="K403" t="n" s="2">
        <x:v>5</x:v>
      </x:c>
      <x:c r="L403" t="str" s="2">
        <x:v>1.1</x:v>
      </x:c>
      <x:c r="M403" t="str" s="2">
        <x:v>Tentative</x:v>
      </x:c>
      <x:c r="N403" t="str" s="2">
        <x:v>Prospect</x:v>
      </x:c>
      <x:c r="O403" s="0"/>
      <x:c r="P403" s="6">
        <x:v>46227</x:v>
      </x:c>
      <x:c r="Q403" s="6">
        <x:v>46227.000365196756</x:v>
      </x:c>
      <x:c r="R403" s="0"/>
      <x:c r="S403" s="0"/>
      <x:c r="T403" s="0"/>
      <x:c r="U403" s="0"/>
      <x:c r="V403" s="0"/>
      <x:c r="W403" s="0"/>
      <x:c r="X403" t="str" s="2">
        <x:v>9034700276</x:v>
      </x:c>
      <x:c r="Y403" t="str" s="2">
        <x:v>terisa.kirschke11@gmail.com</x:v>
      </x:c>
      <x:c r="Z403" s="0"/>
      <x:c r="AA403" s="0"/>
      <x:c r="AB403" s="6">
        <x:v>46227.000366319444</x:v>
      </x:c>
      <x:c r="AC403" t="n" s="2">
        <x:v>38716</x:v>
      </x:c>
      <x:c r="AD403" s="0"/>
      <x:c r="AE403" s="0"/>
      <x:c r="AF403" s="0"/>
      <x:c r="AG403" s="0"/>
      <x:c r="AH403" s="0"/>
      <x:c r="AI403" s="0"/>
      <x:c r="AJ403" s="0"/>
      <x:c r="AK403" s="0"/>
    </x:row>
    <x:row r="404">
      <x:c r="A404" t="str" s="2">
        <x:f>=HYPERLINK("https://rsms.futurehomex.com/lead/38717", "Wendyl Vick")</x:f>
      </x:c>
      <x:c r="B404" t="n" s="2">
        <x:v>81</x:v>
      </x:c>
      <x:c r="C404" t="str" s="2">
        <x:v>0/5</x:v>
      </x:c>
      <x:c r="D404" t="str" s="2">
        <x:f>=""</x:f>
      </x:c>
      <x:c r="E404" s="0"/>
      <x:c r="F404" t="str" s="2">
        <x:v>Facebook Messenger</x:v>
      </x:c>
      <x:c r="G404" t="str" s="2">
        <x:v>Heritage Housing of Oklahoma City</x:v>
      </x:c>
      <x:c r="H404" t="str" s="2">
        <x:v>Steve Castell</x:v>
      </x:c>
      <x:c r="I404" s="0"/>
      <x:c r="J404" t="str" s="2">
        <x:v>Steve Castell</x:v>
      </x:c>
      <x:c r="K404" t="n" s="2">
        <x:v>5</x:v>
      </x:c>
      <x:c r="L404" t="str" s="2">
        <x:v>1.1</x:v>
      </x:c>
      <x:c r="M404" t="str" s="2">
        <x:v>Inactive</x:v>
      </x:c>
      <x:c r="N404" t="str" s="2">
        <x:v>Deal Created</x:v>
      </x:c>
      <x:c r="O404" s="0"/>
      <x:c r="P404" s="6">
        <x:v>46227</x:v>
      </x:c>
      <x:c r="Q404" s="6">
        <x:v>46227.019408368054</x:v>
      </x:c>
      <x:c r="R404" t="str" s="2">
        <x:v>Trey Rixleben</x:v>
      </x:c>
      <x:c r="S404" s="6">
        <x:v>46228</x:v>
      </x:c>
      <x:c r="T404" s="0"/>
      <x:c r="U404" s="0"/>
      <x:c r="V404" s="0"/>
      <x:c r="W404" s="0"/>
      <x:c r="X404" t="str" s="2">
        <x:v>5805744568</x:v>
      </x:c>
      <x:c r="Y404" t="str" s="2">
        <x:v>wendylvick@gmail.com</x:v>
      </x:c>
      <x:c r="Z404" s="6">
        <x:v>46254.61521967593</x:v>
      </x:c>
      <x:c r="AA404" t="str" s="2">
        <x:v>Trey Rixleben</x:v>
      </x:c>
      <x:c r="AB404" s="6">
        <x:v>46227.019409988425</x:v>
      </x:c>
      <x:c r="AC404" t="n" s="2">
        <x:v>38717</x:v>
      </x:c>
      <x:c r="AD404" s="0"/>
      <x:c r="AE404" s="0"/>
      <x:c r="AF404" s="0"/>
      <x:c r="AG404" s="0"/>
      <x:c r="AH404" s="0"/>
      <x:c r="AI404" s="0"/>
      <x:c r="AJ404" s="0"/>
      <x:c r="AK404" s="0"/>
    </x:row>
    <x:row r="405">
      <x:c r="A405" t="str" s="2">
        <x:f>=HYPERLINK("https://rsms.futurehomex.com/lead/38719", "Dylan Hebert")</x:f>
      </x:c>
      <x:c r="B405" t="n" s="2">
        <x:v>81</x:v>
      </x:c>
      <x:c r="C405" t="str" s="2">
        <x:v>0/2</x:v>
      </x:c>
      <x:c r="D405" t="str" s="2">
        <x:f>=""</x:f>
      </x:c>
      <x:c r="E405" s="0"/>
      <x:c r="F405" t="str" s="2">
        <x:v>Walk-in</x:v>
      </x:c>
      <x:c r="G405" t="str" s="2">
        <x:v>Heritage Housing of Jennings</x:v>
      </x:c>
      <x:c r="H405" t="str" s="2">
        <x:v>Clint O'Neal</x:v>
      </x:c>
      <x:c r="I405" s="0"/>
      <x:c r="J405" s="0"/>
      <x:c r="K405" t="n" s="2">
        <x:v>5</x:v>
      </x:c>
      <x:c r="L405" t="str" s="2">
        <x:v>1.1</x:v>
      </x:c>
      <x:c r="M405" t="str" s="2">
        <x:v>Tentative</x:v>
      </x:c>
      <x:c r="N405" t="str" s="2">
        <x:v>Prospect</x:v>
      </x:c>
      <x:c r="O405" s="0"/>
      <x:c r="P405" s="6">
        <x:v>46227</x:v>
      </x:c>
      <x:c r="Q405" s="6">
        <x:v>46227.64455755787</x:v>
      </x:c>
      <x:c r="R405" s="0"/>
      <x:c r="S405" s="6">
        <x:v>46227</x:v>
      </x:c>
      <x:c r="T405" s="0"/>
      <x:c r="U405" s="0"/>
      <x:c r="V405" s="0"/>
      <x:c r="W405" s="0"/>
      <x:c r="X405" t="str" s="2">
        <x:v>4232604072</x:v>
      </x:c>
      <x:c r="Y405" t="str" s="2">
        <x:v>dylannhebert@gmail.com</x:v>
      </x:c>
      <x:c r="Z405" s="6">
        <x:v>46265.78168020833</x:v>
      </x:c>
      <x:c r="AA405" t="str" s="2">
        <x:v>Clint O'Neal</x:v>
      </x:c>
      <x:c r="AB405" s="6">
        <x:v>46227.62721496528</x:v>
      </x:c>
      <x:c r="AC405" t="n" s="2">
        <x:v>38719</x:v>
      </x:c>
      <x:c r="AD405" s="0"/>
      <x:c r="AE405" s="0"/>
      <x:c r="AF405" s="0"/>
      <x:c r="AG405" s="0"/>
      <x:c r="AH405" s="0"/>
      <x:c r="AI405" s="0"/>
      <x:c r="AJ405" s="0"/>
      <x:c r="AK405" s="0"/>
    </x:row>
    <x:row r="406">
      <x:c r="A406" t="str" s="2">
        <x:f>=HYPERLINK("https://rsms.futurehomex.com/lead/38720", "Angelica De Palacios")</x:f>
      </x:c>
      <x:c r="B406" t="n" s="2">
        <x:v>81</x:v>
      </x:c>
      <x:c r="C406" t="str" s="2">
        <x:v>0/1</x:v>
      </x:c>
      <x:c r="D406" t="str" s="2">
        <x:f>=""</x:f>
      </x:c>
      <x:c r="E406" s="0"/>
      <x:c r="F406" t="str" s="2">
        <x:v>HH - Oklahoma City</x:v>
      </x:c>
      <x:c r="G406" t="str" s="2">
        <x:v>Heritage Housing of Oklahoma City</x:v>
      </x:c>
      <x:c r="H406" t="str" s="2">
        <x:v>Eva Misheva</x:v>
      </x:c>
      <x:c r="I406" s="0"/>
      <x:c r="J406" s="0"/>
      <x:c r="K406" t="n" s="2">
        <x:v>5</x:v>
      </x:c>
      <x:c r="L406" t="str" s="2">
        <x:v>1.1</x:v>
      </x:c>
      <x:c r="M406" t="str" s="2">
        <x:v>Dead</x:v>
      </x:c>
      <x:c r="N406" t="str" s="2">
        <x:v>Deal Created</x:v>
      </x:c>
      <x:c r="O406" s="0"/>
      <x:c r="P406" s="6">
        <x:v>46227</x:v>
      </x:c>
      <x:c r="Q406" s="6">
        <x:v>46227.63272288194</x:v>
      </x:c>
      <x:c r="R406" s="0"/>
      <x:c r="S406" s="6">
        <x:v>46227</x:v>
      </x:c>
      <x:c r="T406" s="0"/>
      <x:c r="U406" s="0"/>
      <x:c r="V406" s="0"/>
      <x:c r="W406" s="0"/>
      <x:c r="X406" t="str" s="2">
        <x:v>4059051439</x:v>
      </x:c>
      <x:c r="Y406" t="str" s="2">
        <x:v>angelicadepalacios.100@gmail.com</x:v>
      </x:c>
      <x:c r="Z406" s="6">
        <x:v>46271.827525266206</x:v>
      </x:c>
      <x:c r="AA406" t="str" s="2">
        <x:v>Eva Misheva</x:v>
      </x:c>
      <x:c r="AB406" s="6">
        <x:v>46230.72149340278</x:v>
      </x:c>
      <x:c r="AC406" t="n" s="2">
        <x:v>38720</x:v>
      </x:c>
      <x:c r="AD406" s="0"/>
      <x:c r="AE406" s="0"/>
      <x:c r="AF406" s="0"/>
      <x:c r="AG406" s="0"/>
      <x:c r="AH406" s="0"/>
      <x:c r="AI406" s="0"/>
      <x:c r="AJ406" s="0"/>
      <x:c r="AK406" s="0"/>
    </x:row>
    <x:row r="407">
      <x:c r="A407" t="str" s="2">
        <x:f>=HYPERLINK("https://rsms.futurehomex.com/lead/38721", "Deborah Boyd")</x:f>
      </x:c>
      <x:c r="B407" t="n" s="2">
        <x:v>81</x:v>
      </x:c>
      <x:c r="C407" t="str" s="2">
        <x:v/>
      </x:c>
      <x:c r="D407" t="str" s="2">
        <x:f>=""</x:f>
      </x:c>
      <x:c r="E407" s="0"/>
      <x:c r="F407" t="str" s="2">
        <x:v>Walk-in</x:v>
      </x:c>
      <x:c r="G407" t="str" s="2">
        <x:v>Heritage Housing of Augusta</x:v>
      </x:c>
      <x:c r="H407" t="str" s="2">
        <x:v>Jennifer Johnson</x:v>
      </x:c>
      <x:c r="I407" t="str" s="2">
        <x:v>Karol Romero</x:v>
      </x:c>
      <x:c r="J407" t="str" s="2">
        <x:v>Faye Lively</x:v>
      </x:c>
      <x:c r="K407" t="n" s="2">
        <x:v>5</x:v>
      </x:c>
      <x:c r="L407" t="str" s="2">
        <x:v>1.1</x:v>
      </x:c>
      <x:c r="M407" t="str" s="2">
        <x:v>Tentative</x:v>
      </x:c>
      <x:c r="N407" t="str" s="2">
        <x:v>Deal Created</x:v>
      </x:c>
      <x:c r="O407" s="0"/>
      <x:c r="P407" s="6">
        <x:v>46227</x:v>
      </x:c>
      <x:c r="Q407" s="6">
        <x:v>46227.69116875</x:v>
      </x:c>
      <x:c r="R407" s="0"/>
      <x:c r="S407" s="0"/>
      <x:c r="T407" s="0"/>
      <x:c r="U407" s="0"/>
      <x:c r="V407" s="0"/>
      <x:c r="W407" s="0"/>
      <x:c r="X407" t="str" s="2">
        <x:v>8032577367</x:v>
      </x:c>
      <x:c r="Y407" t="str" s="2">
        <x:v>8032577367</x:v>
      </x:c>
      <x:c r="Z407" s="0"/>
      <x:c r="AA407" s="0"/>
      <x:c r="AB407" s="6">
        <x:v>46227.69117037037</x:v>
      </x:c>
      <x:c r="AC407" t="n" s="2">
        <x:v>38721</x:v>
      </x:c>
      <x:c r="AD407" s="0"/>
      <x:c r="AE407" s="0"/>
      <x:c r="AF407" s="0"/>
      <x:c r="AG407" s="0"/>
      <x:c r="AH407" s="0"/>
      <x:c r="AI407" s="0"/>
      <x:c r="AJ407" s="0"/>
      <x:c r="AK407" s="0"/>
    </x:row>
    <x:row r="408">
      <x:c r="A408" t="str" s="2">
        <x:f>=HYPERLINK("https://rsms.futurehomex.com/lead/38722", "Chance Biffle")</x:f>
      </x:c>
      <x:c r="B408" t="n" s="2">
        <x:v>81</x:v>
      </x:c>
      <x:c r="C408" t="str" s="2">
        <x:v>0/5</x:v>
      </x:c>
      <x:c r="D408" t="str" s="2">
        <x:f>=""</x:f>
      </x:c>
      <x:c r="E408" s="0"/>
      <x:c r="F408" t="str" s="2">
        <x:v>Walk-in</x:v>
      </x:c>
      <x:c r="G408" t="str" s="2">
        <x:v>Heritage Housing of Oklahoma City</x:v>
      </x:c>
      <x:c r="H408" t="str" s="2">
        <x:v>Trey Rixleben</x:v>
      </x:c>
      <x:c r="I408" s="0"/>
      <x:c r="J408" s="0"/>
      <x:c r="K408" t="n" s="2">
        <x:v>100</x:v>
      </x:c>
      <x:c r="L408" t="str" s="2">
        <x:v>6.2</x:v>
      </x:c>
      <x:c r="M408" t="str" s="2">
        <x:v>Closed</x:v>
      </x:c>
      <x:c r="N408" t="str" s="2">
        <x:v>Delivered</x:v>
      </x:c>
      <x:c r="O408" s="6">
        <x:v>46255</x:v>
      </x:c>
      <x:c r="P408" s="6">
        <x:v>46227</x:v>
      </x:c>
      <x:c r="Q408" s="6">
        <x:v>46261.92187291667</x:v>
      </x:c>
      <x:c r="R408" t="str" s="2">
        <x:v>Steve Castell</x:v>
      </x:c>
      <x:c r="S408" s="6">
        <x:v>46226</x:v>
      </x:c>
      <x:c r="T408" s="6">
        <x:v>46234</x:v>
      </x:c>
      <x:c r="U408" s="6">
        <x:v>46242</x:v>
      </x:c>
      <x:c r="V408" s="6">
        <x:v>46241</x:v>
      </x:c>
      <x:c r="W408" s="6">
        <x:v>46262</x:v>
      </x:c>
      <x:c r="X408" t="str" s="2">
        <x:v>5808602005</x:v>
      </x:c>
      <x:c r="Y408" t="str" s="2">
        <x:v>chancebiffle65@gmail.com</x:v>
      </x:c>
      <x:c r="Z408" s="6">
        <x:v>46268.932707210646</x:v>
      </x:c>
      <x:c r="AA408" t="str" s="2">
        <x:v>Trey Rixleben</x:v>
      </x:c>
      <x:c r="AB408" s="6">
        <x:v>46227.70073946759</x:v>
      </x:c>
      <x:c r="AC408" t="n" s="2">
        <x:v>38722</x:v>
      </x:c>
      <x:c r="AD408" t="str" s="2">
        <x:v>Singlewide</x:v>
      </x:c>
      <x:c r="AE408" t="str" s="2">
        <x:v>Legacy Housing Corporation</x:v>
      </x:c>
      <x:c r="AF408" s="7">
        <x:v>8000</x:v>
      </x:c>
      <x:c r="AG408" s="7">
        <x:v>8000</x:v>
      </x:c>
      <x:c r="AH408" s="0"/>
      <x:c r="AI408" s="0"/>
      <x:c r="AJ408" s="0"/>
      <x:c r="AK408" t="str" s="6">
        <x:v>2026-08-27</x:v>
      </x:c>
    </x:row>
    <x:row r="409">
      <x:c r="A409" t="str" s="2">
        <x:f>=HYPERLINK("https://rsms.futurehomex.com/lead/38723", "Madison Morris")</x:f>
      </x:c>
      <x:c r="B409" t="n" s="2">
        <x:v>81</x:v>
      </x:c>
      <x:c r="C409" t="str" s="2">
        <x:v>0/1</x:v>
      </x:c>
      <x:c r="D409" t="str" s="2">
        <x:f>=""</x:f>
      </x:c>
      <x:c r="E409" s="0"/>
      <x:c r="F409" t="str" s="2">
        <x:v>Facebook Messenger</x:v>
      </x:c>
      <x:c r="G409" t="str" s="2">
        <x:v>Heritage Housing of Oklahoma City</x:v>
      </x:c>
      <x:c r="H409" t="str" s="2">
        <x:v>Steve Castell</x:v>
      </x:c>
      <x:c r="I409" s="0"/>
      <x:c r="J409" t="str" s="2">
        <x:v>Steve Castell</x:v>
      </x:c>
      <x:c r="K409" t="n" s="2">
        <x:v>5</x:v>
      </x:c>
      <x:c r="L409" t="str" s="2">
        <x:v>1.1</x:v>
      </x:c>
      <x:c r="M409" t="str" s="2">
        <x:v>Dead</x:v>
      </x:c>
      <x:c r="N409" t="str" s="2">
        <x:v>Deal Created</x:v>
      </x:c>
      <x:c r="O409" s="0"/>
      <x:c r="P409" s="6">
        <x:v>46227</x:v>
      </x:c>
      <x:c r="Q409" s="6">
        <x:v>46227.8212778125</x:v>
      </x:c>
      <x:c r="R409" s="0"/>
      <x:c r="S409" s="0"/>
      <x:c r="T409" s="0"/>
      <x:c r="U409" s="0"/>
      <x:c r="V409" s="0"/>
      <x:c r="W409" s="0"/>
      <x:c r="X409" t="str" s="2">
        <x:v>5392991630</x:v>
      </x:c>
      <x:c r="Y409" t="str" s="2">
        <x:v>5392991630</x:v>
      </x:c>
      <x:c r="Z409" s="6">
        <x:v>46227.905096180555</x:v>
      </x:c>
      <x:c r="AA409" t="str" s="2">
        <x:v>Richard Bell</x:v>
      </x:c>
      <x:c r="AB409" s="6">
        <x:v>46227.72231859954</x:v>
      </x:c>
      <x:c r="AC409" t="n" s="2">
        <x:v>38723</x:v>
      </x:c>
      <x:c r="AD409" s="0"/>
      <x:c r="AE409" s="0"/>
      <x:c r="AF409" s="0"/>
      <x:c r="AG409" s="0"/>
      <x:c r="AH409" s="0"/>
      <x:c r="AI409" t="str" s="2">
        <x:v>574</x:v>
      </x:c>
      <x:c r="AJ409" s="0"/>
      <x:c r="AK409" s="0"/>
    </x:row>
    <x:row r="410">
      <x:c r="A410" t="str" s="2">
        <x:f>=HYPERLINK("https://rsms.futurehomex.com/lead/38725", "Sheryl Cooper")</x:f>
      </x:c>
      <x:c r="B410" t="n" s="2">
        <x:v>81</x:v>
      </x:c>
      <x:c r="C410" t="str" s="2">
        <x:v/>
      </x:c>
      <x:c r="D410" t="str" s="2">
        <x:f>=""</x:f>
      </x:c>
      <x:c r="E410" s="0"/>
      <x:c r="F410" t="str" s="2">
        <x:v>Walk-in</x:v>
      </x:c>
      <x:c r="G410" t="str" s="2">
        <x:v>Heritage Housing Mt Pleasant</x:v>
      </x:c>
      <x:c r="H410" t="str" s="2">
        <x:v>Yarelis Torres</x:v>
      </x:c>
      <x:c r="I410" s="0"/>
      <x:c r="J410" t="str" s="2">
        <x:v>Yarelis Torres</x:v>
      </x:c>
      <x:c r="K410" t="n" s="2">
        <x:v>5</x:v>
      </x:c>
      <x:c r="L410" t="str" s="2">
        <x:v>1.1</x:v>
      </x:c>
      <x:c r="M410" t="str" s="2">
        <x:v>Tentative</x:v>
      </x:c>
      <x:c r="N410" t="str" s="2">
        <x:v>Deal Created</x:v>
      </x:c>
      <x:c r="O410" s="0"/>
      <x:c r="P410" s="6">
        <x:v>46227</x:v>
      </x:c>
      <x:c r="Q410" s="6">
        <x:v>46227.82866207176</x:v>
      </x:c>
      <x:c r="R410" s="0"/>
      <x:c r="S410" s="0"/>
      <x:c r="T410" s="0"/>
      <x:c r="U410" s="0"/>
      <x:c r="V410" s="0"/>
      <x:c r="W410" s="0"/>
      <x:c r="X410" t="str" s="2">
        <x:v>9039208682</x:v>
      </x:c>
      <x:c r="Y410" t="str" s="2">
        <x:v>elizabeth_oman@yahoo.com</x:v>
      </x:c>
      <x:c r="Z410" s="6">
        <x:v>46227.82756346065</x:v>
      </x:c>
      <x:c r="AA410" t="str" s="2">
        <x:v>Yarelis Torres</x:v>
      </x:c>
      <x:c r="AB410" s="6">
        <x:v>46227.82055636574</x:v>
      </x:c>
      <x:c r="AC410" t="n" s="2">
        <x:v>38725</x:v>
      </x:c>
      <x:c r="AD410" s="0"/>
      <x:c r="AE410" s="0"/>
      <x:c r="AF410" s="0"/>
      <x:c r="AG410" s="0"/>
      <x:c r="AH410" s="0"/>
      <x:c r="AI410" s="0"/>
      <x:c r="AJ410" s="0"/>
      <x:c r="AK410" s="0"/>
    </x:row>
    <x:row r="411">
      <x:c r="A411" t="str" s="2">
        <x:f>=HYPERLINK("https://rsms.futurehomex.com/lead/38726", "Kristian Toomer")</x:f>
      </x:c>
      <x:c r="B411" t="n" s="2">
        <x:v>81</x:v>
      </x:c>
      <x:c r="C411" t="str" s="2">
        <x:v/>
      </x:c>
      <x:c r="D411" t="str" s="2">
        <x:f>=""</x:f>
      </x:c>
      <x:c r="E411" s="0"/>
      <x:c r="F411" t="str" s="2">
        <x:v>Walk-in</x:v>
      </x:c>
      <x:c r="G411" t="str" s="2">
        <x:v>Heritage Housing of Asheboro</x:v>
      </x:c>
      <x:c r="H411" t="str" s="2">
        <x:v>Maria Lopez</x:v>
      </x:c>
      <x:c r="I411" s="0"/>
      <x:c r="J411" s="0"/>
      <x:c r="K411" t="n" s="2">
        <x:v>21</x:v>
      </x:c>
      <x:c r="L411" t="str" s="2">
        <x:v>2.1</x:v>
      </x:c>
      <x:c r="M411" t="str" s="2">
        <x:v>Tentative</x:v>
      </x:c>
      <x:c r="N411" t="str" s="2">
        <x:v>Qualified</x:v>
      </x:c>
      <x:c r="O411" s="0"/>
      <x:c r="P411" s="6">
        <x:v>46227</x:v>
      </x:c>
      <x:c r="Q411" s="6">
        <x:v>46238.69381292824</x:v>
      </x:c>
      <x:c r="R411" s="0"/>
      <x:c r="S411" s="0"/>
      <x:c r="T411" s="0"/>
      <x:c r="U411" s="0"/>
      <x:c r="V411" s="0"/>
      <x:c r="W411" s="0"/>
      <x:c r="X411" t="str" s="2">
        <x:v>9106039042</x:v>
      </x:c>
      <x:c r="Y411" t="str" s="2">
        <x:v>kristiantoomer93@gmail.com</x:v>
      </x:c>
      <x:c r="Z411" s="6">
        <x:v>46238.69379965278</x:v>
      </x:c>
      <x:c r="AA411" t="str" s="2">
        <x:v>Jeremy Jacques</x:v>
      </x:c>
      <x:c r="AB411" s="6">
        <x:v>46227.847977164354</x:v>
      </x:c>
      <x:c r="AC411" t="n" s="2">
        <x:v>38726</x:v>
      </x:c>
      <x:c r="AD411" s="0"/>
      <x:c r="AE411" s="0"/>
      <x:c r="AF411" s="0"/>
      <x:c r="AG411" s="0"/>
      <x:c r="AH411" s="0"/>
      <x:c r="AI411" s="0"/>
      <x:c r="AJ411" s="0"/>
      <x:c r="AK411" s="0"/>
    </x:row>
    <x:row r="412">
      <x:c r="A412" t="str" s="2">
        <x:f>=HYPERLINK("https://rsms.futurehomex.com/lead/38727", "Khailah Marshall")</x:f>
      </x:c>
      <x:c r="B412" t="n" s="2">
        <x:v>81</x:v>
      </x:c>
      <x:c r="C412" t="str" s="2">
        <x:v/>
      </x:c>
      <x:c r="D412" t="str" s="2">
        <x:f>=""</x:f>
      </x:c>
      <x:c r="E412" s="0"/>
      <x:c r="F412" t="str" s="2">
        <x:v>Walk-in</x:v>
      </x:c>
      <x:c r="G412" t="str" s="2">
        <x:v>Heritage Housing of Asheboro</x:v>
      </x:c>
      <x:c r="H412" t="str" s="2">
        <x:v>Maria Lopez</x:v>
      </x:c>
      <x:c r="I412" s="0"/>
      <x:c r="J412" s="0"/>
      <x:c r="K412" t="n" s="2">
        <x:v>21</x:v>
      </x:c>
      <x:c r="L412" t="str" s="2">
        <x:v>2.1</x:v>
      </x:c>
      <x:c r="M412" t="str" s="2">
        <x:v>Tentative</x:v>
      </x:c>
      <x:c r="N412" t="str" s="2">
        <x:v>Qualified</x:v>
      </x:c>
      <x:c r="O412" s="0"/>
      <x:c r="P412" s="6">
        <x:v>46227</x:v>
      </x:c>
      <x:c r="Q412" s="6">
        <x:v>46238.694930590274</x:v>
      </x:c>
      <x:c r="R412" s="0"/>
      <x:c r="S412" s="0"/>
      <x:c r="T412" s="0"/>
      <x:c r="U412" s="0"/>
      <x:c r="V412" s="0"/>
      <x:c r="W412" s="0"/>
      <x:c r="X412" t="str" s="2">
        <x:v>9102205418</x:v>
      </x:c>
      <x:c r="Y412" t="str" s="2">
        <x:v>marshallnykia@gmail.com</x:v>
      </x:c>
      <x:c r="Z412" s="6">
        <x:v>46238.69491759259</x:v>
      </x:c>
      <x:c r="AA412" t="str" s="2">
        <x:v>Jeremy Jacques</x:v>
      </x:c>
      <x:c r="AB412" s="6">
        <x:v>46227.8480724537</x:v>
      </x:c>
      <x:c r="AC412" t="n" s="2">
        <x:v>38727</x:v>
      </x:c>
      <x:c r="AD412" s="0"/>
      <x:c r="AE412" s="0"/>
      <x:c r="AF412" s="0"/>
      <x:c r="AG412" s="0"/>
      <x:c r="AH412" s="0"/>
      <x:c r="AI412" s="0"/>
      <x:c r="AJ412" s="0"/>
      <x:c r="AK412" s="0"/>
    </x:row>
    <x:row r="413">
      <x:c r="A413" t="str" s="2">
        <x:f>=HYPERLINK("https://rsms.futurehomex.com/lead/38729", "Paula Martin")</x:f>
      </x:c>
      <x:c r="B413" t="n" s="2">
        <x:v>81</x:v>
      </x:c>
      <x:c r="C413" t="str" s="2">
        <x:v>0/3</x:v>
      </x:c>
      <x:c r="D413" t="str" s="2">
        <x:f>=""</x:f>
      </x:c>
      <x:c r="E413" s="0"/>
      <x:c r="F413" t="str" s="2">
        <x:v>Walk-in</x:v>
      </x:c>
      <x:c r="G413" t="str" s="2">
        <x:v>Heritage Housing of Minden</x:v>
      </x:c>
      <x:c r="H413" t="str" s="2">
        <x:v>Patrick Schuchart</x:v>
      </x:c>
      <x:c r="I413" t="str" s="2">
        <x:v>Karol Romero</x:v>
      </x:c>
      <x:c r="J413" t="str" s="2">
        <x:v>Patrick Schuchart</x:v>
      </x:c>
      <x:c r="K413" t="n" s="2">
        <x:v>5</x:v>
      </x:c>
      <x:c r="L413" t="str" s="2">
        <x:v>1.1</x:v>
      </x:c>
      <x:c r="M413" t="str" s="2">
        <x:v>Active</x:v>
      </x:c>
      <x:c r="N413" t="str" s="2">
        <x:v>Deal Created</x:v>
      </x:c>
      <x:c r="O413" s="0"/>
      <x:c r="P413" s="6">
        <x:v>46227</x:v>
      </x:c>
      <x:c r="Q413" s="6">
        <x:v>46274.71431732639</x:v>
      </x:c>
      <x:c r="R413" s="0"/>
      <x:c r="S413" s="6">
        <x:v>46227</x:v>
      </x:c>
      <x:c r="T413" s="0"/>
      <x:c r="U413" s="0"/>
      <x:c r="V413" s="0"/>
      <x:c r="W413" s="0"/>
      <x:c r="X413" t="str" s="2">
        <x:v>3184139540</x:v>
      </x:c>
      <x:c r="Y413" t="str" s="2">
        <x:v>3184139540</x:v>
      </x:c>
      <x:c r="Z413" s="6">
        <x:v>46295.88665153935</x:v>
      </x:c>
      <x:c r="AA413" t="str" s="2">
        <x:v>Kyla Brown</x:v>
      </x:c>
      <x:c r="AB413" s="6">
        <x:v>46227.86948206019</x:v>
      </x:c>
      <x:c r="AC413" t="n" s="2">
        <x:v>38729</x:v>
      </x:c>
      <x:c r="AD413" s="0"/>
      <x:c r="AE413" s="0"/>
      <x:c r="AF413" s="0"/>
      <x:c r="AG413" s="0"/>
      <x:c r="AH413" s="0"/>
      <x:c r="AI413" s="0"/>
      <x:c r="AJ413" s="0"/>
      <x:c r="AK413" s="0"/>
    </x:row>
    <x:row r="414">
      <x:c r="A414" t="str" s="2">
        <x:f>=HYPERLINK("https://rsms.futurehomex.com/lead/38731", "Shonte Wright")</x:f>
      </x:c>
      <x:c r="B414" t="n" s="2">
        <x:v>81</x:v>
      </x:c>
      <x:c r="C414" t="str" s="2">
        <x:v/>
      </x:c>
      <x:c r="D414" t="str" s="2">
        <x:f>=""</x:f>
      </x:c>
      <x:c r="E414" s="0"/>
      <x:c r="F414" t="str" s="2">
        <x:v>Walk-in</x:v>
      </x:c>
      <x:c r="G414" t="str" s="2">
        <x:v>Heritage Housing of Augusta</x:v>
      </x:c>
      <x:c r="H414" t="str" s="2">
        <x:v>Jennifer Johnson</x:v>
      </x:c>
      <x:c r="I414" t="str" s="2">
        <x:v>Karol Romero</x:v>
      </x:c>
      <x:c r="J414" t="str" s="2">
        <x:v>Jennifer Johnson</x:v>
      </x:c>
      <x:c r="K414" t="n" s="2">
        <x:v>5</x:v>
      </x:c>
      <x:c r="L414" t="str" s="2">
        <x:v>1.1</x:v>
      </x:c>
      <x:c r="M414" t="str" s="2">
        <x:v>Tentative</x:v>
      </x:c>
      <x:c r="N414" t="str" s="2">
        <x:v>Deal Created</x:v>
      </x:c>
      <x:c r="O414" s="0"/>
      <x:c r="P414" s="6">
        <x:v>46227</x:v>
      </x:c>
      <x:c r="Q414" s="6">
        <x:v>46227.90104290509</x:v>
      </x:c>
      <x:c r="R414" s="0"/>
      <x:c r="S414" s="6">
        <x:v>46227</x:v>
      </x:c>
      <x:c r="T414" s="0"/>
      <x:c r="U414" s="0"/>
      <x:c r="V414" s="0"/>
      <x:c r="W414" s="0"/>
      <x:c r="X414" t="str" s="2">
        <x:v>8435057255</x:v>
      </x:c>
      <x:c r="Y414" t="str" s="2">
        <x:v>wright.shonte@yahoo.com</x:v>
      </x:c>
      <x:c r="Z414" s="6">
        <x:v>46227.92940540509</x:v>
      </x:c>
      <x:c r="AA414" t="str" s="2">
        <x:v>Alex Jones</x:v>
      </x:c>
      <x:c r="AB414" s="6">
        <x:v>46227.90104528935</x:v>
      </x:c>
      <x:c r="AC414" t="n" s="2">
        <x:v>38731</x:v>
      </x:c>
      <x:c r="AD414" s="0"/>
      <x:c r="AE414" s="0"/>
      <x:c r="AF414" s="0"/>
      <x:c r="AG414" s="0"/>
      <x:c r="AH414" s="0"/>
      <x:c r="AI414" s="0"/>
      <x:c r="AJ414" s="0"/>
      <x:c r="AK414" s="0"/>
    </x:row>
    <x:row r="415">
      <x:c r="A415" t="str" s="2">
        <x:f>=HYPERLINK("https://rsms.futurehomex.com/lead/38732", "Antonio Gerardo")</x:f>
      </x:c>
      <x:c r="B415" t="n" s="2">
        <x:v>81</x:v>
      </x:c>
      <x:c r="C415" t="str" s="2">
        <x:v/>
      </x:c>
      <x:c r="D415" t="str" s="2">
        <x:f>=""</x:f>
      </x:c>
      <x:c r="E415" s="0"/>
      <x:c r="F415" t="str" s="2">
        <x:v>Walk-in</x:v>
      </x:c>
      <x:c r="G415" t="str" s="2">
        <x:v>Legacy Housing Corp. DBA Americasa</x:v>
      </x:c>
      <x:c r="H415" t="str" s="2">
        <x:v>Jose Parada</x:v>
      </x:c>
      <x:c r="I415" s="0"/>
      <x:c r="J415" s="0"/>
      <x:c r="K415" t="n" s="2">
        <x:v>5</x:v>
      </x:c>
      <x:c r="L415" t="str" s="2">
        <x:v>1.1</x:v>
      </x:c>
      <x:c r="M415" t="str" s="2">
        <x:v>Tentative</x:v>
      </x:c>
      <x:c r="N415" t="str" s="2">
        <x:v>Prospect</x:v>
      </x:c>
      <x:c r="O415" s="0"/>
      <x:c r="P415" s="6">
        <x:v>46227</x:v>
      </x:c>
      <x:c r="Q415" s="6">
        <x:v>46227.91411651621</x:v>
      </x:c>
      <x:c r="R415" s="0"/>
      <x:c r="S415" s="0"/>
      <x:c r="T415" s="0"/>
      <x:c r="U415" s="0"/>
      <x:c r="V415" s="0"/>
      <x:c r="W415" s="0"/>
      <x:c r="X415" t="str" s="2">
        <x:v>9567317763</x:v>
      </x:c>
      <x:c r="Y415" t="str" s="2">
        <x:v>annygirl_09@hotmail.com</x:v>
      </x:c>
      <x:c r="Z415" s="0"/>
      <x:c r="AA415" s="0"/>
      <x:c r="AB415" s="6">
        <x:v>46227.91411709491</x:v>
      </x:c>
      <x:c r="AC415" t="n" s="2">
        <x:v>38732</x:v>
      </x:c>
      <x:c r="AD415" s="0"/>
      <x:c r="AE415" s="0"/>
      <x:c r="AF415" s="0"/>
      <x:c r="AG415" s="0"/>
      <x:c r="AH415" s="0"/>
      <x:c r="AI415" s="0"/>
      <x:c r="AJ415" s="0"/>
      <x:c r="AK415" s="0"/>
    </x:row>
    <x:row r="416">
      <x:c r="A416" t="str" s="2">
        <x:f>=HYPERLINK("https://rsms.futurehomex.com/lead/38734", "Andrea Miller")</x:f>
      </x:c>
      <x:c r="B416" t="n" s="2">
        <x:v>81</x:v>
      </x:c>
      <x:c r="C416" t="str" s="2">
        <x:v>0/1</x:v>
      </x:c>
      <x:c r="D416" t="str" s="2">
        <x:f>=""</x:f>
      </x:c>
      <x:c r="E416" s="0"/>
      <x:c r="F416" t="str" s="2">
        <x:v>Walk-in</x:v>
      </x:c>
      <x:c r="G416" t="str" s="2">
        <x:v>Heritage Housing of Jennings</x:v>
      </x:c>
      <x:c r="H416" t="str" s="2">
        <x:v>Mervin Leslie Smith</x:v>
      </x:c>
      <x:c r="I416" s="0"/>
      <x:c r="J416" s="0"/>
      <x:c r="K416" t="n" s="2">
        <x:v>5</x:v>
      </x:c>
      <x:c r="L416" t="str" s="2">
        <x:v>1.1</x:v>
      </x:c>
      <x:c r="M416" t="str" s="2">
        <x:v>Inactive</x:v>
      </x:c>
      <x:c r="N416" t="str" s="2">
        <x:v>Prospect</x:v>
      </x:c>
      <x:c r="O416" s="0"/>
      <x:c r="P416" s="6">
        <x:v>46227</x:v>
      </x:c>
      <x:c r="Q416" s="6">
        <x:v>46233.83437596065</x:v>
      </x:c>
      <x:c r="R416" s="0"/>
      <x:c r="S416" s="0"/>
      <x:c r="T416" s="0"/>
      <x:c r="U416" s="0"/>
      <x:c r="V416" s="0"/>
      <x:c r="W416" s="0"/>
      <x:c r="X416" t="str" s="2">
        <x:v>3373687726</x:v>
      </x:c>
      <x:c r="Y416" t="str" s="2">
        <x:v>simarak@yahoo.com</x:v>
      </x:c>
      <x:c r="Z416" s="6">
        <x:v>46266.77415451389</x:v>
      </x:c>
      <x:c r="AA416" t="str" s="2">
        <x:v>Mervin Leslie Smith</x:v>
      </x:c>
      <x:c r="AB416" s="6">
        <x:v>46227.96440625</x:v>
      </x:c>
      <x:c r="AC416" t="n" s="2">
        <x:v>38734</x:v>
      </x:c>
      <x:c r="AD416" s="0"/>
      <x:c r="AE416" s="0"/>
      <x:c r="AF416" s="0"/>
      <x:c r="AG416" s="0"/>
      <x:c r="AH416" s="0"/>
      <x:c r="AI416" s="0"/>
      <x:c r="AJ416" s="0"/>
      <x:c r="AK416" s="0"/>
    </x:row>
    <x:row r="417">
      <x:c r="A417" t="str" s="2">
        <x:f>=HYPERLINK("https://rsms.futurehomex.com/lead/38737", "Romael Nectali Perez Martinez")</x:f>
      </x:c>
      <x:c r="B417" t="n" s="2">
        <x:v>80</x:v>
      </x:c>
      <x:c r="C417" t="str" s="2">
        <x:v>0/1</x:v>
      </x:c>
      <x:c r="D417" t="str" s="2">
        <x:f>=""</x:f>
      </x:c>
      <x:c r="E417" s="0"/>
      <x:c r="F417" t="str" s="2">
        <x:v>Terrenos Houston</x:v>
      </x:c>
      <x:c r="G417" t="str" s="2">
        <x:v>Legacy Housing Corp. DBA Americasa</x:v>
      </x:c>
      <x:c r="H417" t="str" s="2">
        <x:v>Joey Marquez</x:v>
      </x:c>
      <x:c r="I417" s="0"/>
      <x:c r="J417" t="str" s="2">
        <x:v>Rodrigo Ramirez</x:v>
      </x:c>
      <x:c r="K417" t="n" s="2">
        <x:v>5</x:v>
      </x:c>
      <x:c r="L417" t="str" s="2">
        <x:v>1.1</x:v>
      </x:c>
      <x:c r="M417" t="str" s="2">
        <x:v>Tentative</x:v>
      </x:c>
      <x:c r="N417" t="str" s="2">
        <x:v>Deal Created</x:v>
      </x:c>
      <x:c r="O417" s="0"/>
      <x:c r="P417" s="6">
        <x:v>46228</x:v>
      </x:c>
      <x:c r="Q417" s="6">
        <x:v>46269.90782855324</x:v>
      </x:c>
      <x:c r="R417" s="0"/>
      <x:c r="S417" s="0"/>
      <x:c r="T417" s="0"/>
      <x:c r="U417" s="0"/>
      <x:c r="V417" s="0"/>
      <x:c r="W417" s="0"/>
      <x:c r="X417" t="str" s="2">
        <x:v>7134495393</x:v>
      </x:c>
      <x:c r="Y417" t="str" s="2">
        <x:v>romaelmartinez260@gmail.com	</x:v>
      </x:c>
      <x:c r="Z417" s="6">
        <x:v>46293.64575914352</x:v>
      </x:c>
      <x:c r="AA417" t="str" s="2">
        <x:v>Joey Marquez</x:v>
      </x:c>
      <x:c r="AB417" s="6">
        <x:v>46228.00616519676</x:v>
      </x:c>
      <x:c r="AC417" t="n" s="2">
        <x:v>38737</x:v>
      </x:c>
      <x:c r="AD417" s="0"/>
      <x:c r="AE417" s="0"/>
      <x:c r="AF417" s="0"/>
      <x:c r="AG417" s="0"/>
      <x:c r="AH417" s="0"/>
      <x:c r="AI417" s="0"/>
      <x:c r="AJ417" s="0"/>
      <x:c r="AK417" s="0"/>
    </x:row>
    <x:row r="418">
      <x:c r="A418" t="str" s="2">
        <x:f>=HYPERLINK("https://rsms.futurehomex.com/lead/38738", "Todd Pearce")</x:f>
      </x:c>
      <x:c r="B418" t="n" s="2">
        <x:v>80</x:v>
      </x:c>
      <x:c r="C418" t="str" s="2">
        <x:v>0/2</x:v>
      </x:c>
      <x:c r="D418" t="str" s="2">
        <x:f>=""</x:f>
      </x:c>
      <x:c r="E418" s="0"/>
      <x:c r="F418" t="str" s="2">
        <x:v>Facebook Messenger</x:v>
      </x:c>
      <x:c r="G418" t="str" s="2">
        <x:v>Heritage Housing of Oklahoma City</x:v>
      </x:c>
      <x:c r="H418" t="str" s="2">
        <x:v>Steve Castell</x:v>
      </x:c>
      <x:c r="I418" s="0"/>
      <x:c r="J418" t="str" s="2">
        <x:v>Steve Castell</x:v>
      </x:c>
      <x:c r="K418" t="n" s="2">
        <x:v>59</x:v>
      </x:c>
      <x:c r="L418" t="str" s="2">
        <x:v>4.3</x:v>
      </x:c>
      <x:c r="M418" t="str" s="2">
        <x:v>Dead</x:v>
      </x:c>
      <x:c r="N418" t="str" s="2">
        <x:v>Loan Approved</x:v>
      </x:c>
      <x:c r="O418" s="0"/>
      <x:c r="P418" s="6">
        <x:v>46228</x:v>
      </x:c>
      <x:c r="Q418" s="6">
        <x:v>46233.80068568287</x:v>
      </x:c>
      <x:c r="R418" s="0"/>
      <x:c r="S418" s="6">
        <x:v>46228</x:v>
      </x:c>
      <x:c r="T418" s="6">
        <x:v>46230</x:v>
      </x:c>
      <x:c r="U418" s="6">
        <x:v>46231</x:v>
      </x:c>
      <x:c r="V418" s="6">
        <x:v>46233</x:v>
      </x:c>
      <x:c r="W418" s="0"/>
      <x:c r="X418" t="str" s="2">
        <x:v>4054717408</x:v>
      </x:c>
      <x:c r="Y418" t="str" s="2">
        <x:v>1892todd@gmail.com</x:v>
      </x:c>
      <x:c r="Z418" s="6">
        <x:v>46235.60832033565</x:v>
      </x:c>
      <x:c r="AA418" t="str" s="2">
        <x:v>Steve Castell</x:v>
      </x:c>
      <x:c r="AB418" s="6">
        <x:v>46228.59715011574</x:v>
      </x:c>
      <x:c r="AC418" t="n" s="2">
        <x:v>38738</x:v>
      </x:c>
      <x:c r="AD418" t="str" s="2">
        <x:v>Singlewide</x:v>
      </x:c>
      <x:c r="AE418" t="str" s="2">
        <x:v>Legacy Housing Corporation</x:v>
      </x:c>
      <x:c r="AF418" s="7">
        <x:v>6200</x:v>
      </x:c>
      <x:c r="AG418" s="7">
        <x:v>5000</x:v>
      </x:c>
      <x:c r="AH418" s="0"/>
      <x:c r="AI418" t="str" s="2">
        <x:v>764</x:v>
      </x:c>
      <x:c r="AJ418" s="0"/>
      <x:c r="AK418" s="0"/>
    </x:row>
    <x:row r="419">
      <x:c r="A419" t="str" s="2">
        <x:f>=HYPERLINK("https://rsms.futurehomex.com/lead/38739", "Amy Pousson")</x:f>
      </x:c>
      <x:c r="B419" t="n" s="2">
        <x:v>80</x:v>
      </x:c>
      <x:c r="C419" t="str" s="2">
        <x:v>0/5</x:v>
      </x:c>
      <x:c r="D419" t="str" s="2">
        <x:f>=""</x:f>
      </x:c>
      <x:c r="E419" s="0"/>
      <x:c r="F419" t="str" s="2">
        <x:v>Walk-in</x:v>
      </x:c>
      <x:c r="G419" t="str" s="2">
        <x:v>Heritage Housing of Jennings</x:v>
      </x:c>
      <x:c r="H419" t="str" s="2">
        <x:v>Mervin Leslie Smith</x:v>
      </x:c>
      <x:c r="I419" s="0"/>
      <x:c r="J419" s="0"/>
      <x:c r="K419" t="n" s="2">
        <x:v>5</x:v>
      </x:c>
      <x:c r="L419" t="str" s="2">
        <x:v>1.1</x:v>
      </x:c>
      <x:c r="M419" t="str" s="2">
        <x:v>Dead</x:v>
      </x:c>
      <x:c r="N419" t="str" s="2">
        <x:v>Prospect</x:v>
      </x:c>
      <x:c r="O419" s="0"/>
      <x:c r="P419" s="6">
        <x:v>46228</x:v>
      </x:c>
      <x:c r="Q419" s="6">
        <x:v>46228.61406010417</x:v>
      </x:c>
      <x:c r="R419" s="0"/>
      <x:c r="S419" s="0"/>
      <x:c r="T419" s="0"/>
      <x:c r="U419" s="0"/>
      <x:c r="V419" s="0"/>
      <x:c r="W419" s="0"/>
      <x:c r="X419" t="str" s="2">
        <x:v>3373194734</x:v>
      </x:c>
      <x:c r="Y419" t="str" s="2">
        <x:v>amypousson76@yahoo.com</x:v>
      </x:c>
      <x:c r="Z419" s="6">
        <x:v>46280.672560844905</x:v>
      </x:c>
      <x:c r="AA419" t="str" s="2">
        <x:v>Mervin Leslie Smith</x:v>
      </x:c>
      <x:c r="AB419" s="6">
        <x:v>46228.61406068287</x:v>
      </x:c>
      <x:c r="AC419" t="n" s="2">
        <x:v>38739</x:v>
      </x:c>
      <x:c r="AD419" s="0"/>
      <x:c r="AE419" s="0"/>
      <x:c r="AF419" s="0"/>
      <x:c r="AG419" s="0"/>
      <x:c r="AH419" s="0"/>
      <x:c r="AI419" s="0"/>
      <x:c r="AJ419" s="0"/>
      <x:c r="AK419" s="0"/>
    </x:row>
    <x:row r="420">
      <x:c r="A420" t="str" s="2">
        <x:f>=HYPERLINK("https://rsms.futurehomex.com/lead/38740", "Koy Chapman")</x:f>
      </x:c>
      <x:c r="B420" t="n" s="2">
        <x:v>80</x:v>
      </x:c>
      <x:c r="C420" t="str" s="2">
        <x:v/>
      </x:c>
      <x:c r="D420" t="str" s="2">
        <x:f>="NO Down pmt"</x:f>
      </x:c>
      <x:c r="E420" t="str" s="2">
        <x:v>Brayden Wills</x:v>
      </x:c>
      <x:c r="F420" t="str" s="2">
        <x:v>Referrals</x:v>
      </x:c>
      <x:c r="G420" t="str" s="2">
        <x:v>Heritage Housing Marble Falls</x:v>
      </x:c>
      <x:c r="H420" t="str" s="2">
        <x:v>Stephen Sanders</x:v>
      </x:c>
      <x:c r="I420" s="0"/>
      <x:c r="J420" s="0"/>
      <x:c r="K420" t="n" s="2">
        <x:v>48</x:v>
      </x:c>
      <x:c r="L420" t="str" s="2">
        <x:v>3.7</x:v>
      </x:c>
      <x:c r="M420" t="str" s="2">
        <x:v>Active</x:v>
      </x:c>
      <x:c r="N420" t="str" s="2">
        <x:v>Loan Submitted</x:v>
      </x:c>
      <x:c r="O420" s="0"/>
      <x:c r="P420" s="6">
        <x:v>46228</x:v>
      </x:c>
      <x:c r="Q420" s="6">
        <x:v>46230.53836709491</x:v>
      </x:c>
      <x:c r="R420" s="0"/>
      <x:c r="S420" s="0"/>
      <x:c r="T420" s="0"/>
      <x:c r="U420" s="6">
        <x:v>46237</x:v>
      </x:c>
      <x:c r="V420" s="6">
        <x:v>46237</x:v>
      </x:c>
      <x:c r="W420" s="0"/>
      <x:c r="X420" t="str" s="2">
        <x:v>8302650072</x:v>
      </x:c>
      <x:c r="Y420" t="str" s="2">
        <x:v>KoyChapman02@gmail.com</x:v>
      </x:c>
      <x:c r="Z420" s="6">
        <x:v>46237.65864209491</x:v>
      </x:c>
      <x:c r="AA420" t="str" s="2">
        <x:v>Dane Lara</x:v>
      </x:c>
      <x:c r="AB420" s="6">
        <x:v>46228.61819930556</x:v>
      </x:c>
      <x:c r="AC420" t="n" s="2">
        <x:v>38740</x:v>
      </x:c>
      <x:c r="AD420" t="str" s="2">
        <x:v>Singlewide</x:v>
      </x:c>
      <x:c r="AE420" t="str" s="2">
        <x:v>Legacy Housing Corporation</x:v>
      </x:c>
      <x:c r="AF420" s="0"/>
      <x:c r="AG420" s="7">
        <x:v>7000</x:v>
      </x:c>
      <x:c r="AH420" s="0"/>
      <x:c r="AI420" s="0"/>
      <x:c r="AJ420" s="0"/>
      <x:c r="AK420" s="0"/>
    </x:row>
    <x:row r="421">
      <x:c r="A421" t="str" s="2">
        <x:f>=HYPERLINK("https://rsms.futurehomex.com/lead/38741", "Patricia Ann Massey")</x:f>
      </x:c>
      <x:c r="B421" t="n" s="2">
        <x:v>80</x:v>
      </x:c>
      <x:c r="C421" t="str" s="2">
        <x:v>1/3</x:v>
      </x:c>
      <x:c r="D421" t="str" s="2">
        <x:f>=""</x:f>
      </x:c>
      <x:c r="E421" s="0"/>
      <x:c r="F421" t="str" s="2">
        <x:v>HH - Oklahoma City</x:v>
      </x:c>
      <x:c r="G421" t="str" s="2">
        <x:v>Heritage Housing of Oklahoma City</x:v>
      </x:c>
      <x:c r="H421" t="str" s="2">
        <x:v>Trey Rixleben</x:v>
      </x:c>
      <x:c r="I421" s="0"/>
      <x:c r="J421" t="str" s="2">
        <x:v>Trey Rixleben</x:v>
      </x:c>
      <x:c r="K421" t="n" s="2">
        <x:v>5</x:v>
      </x:c>
      <x:c r="L421" t="str" s="2">
        <x:v>1.1</x:v>
      </x:c>
      <x:c r="M421" t="str" s="2">
        <x:v>Tentative</x:v>
      </x:c>
      <x:c r="N421" t="str" s="2">
        <x:v>Deal Created</x:v>
      </x:c>
      <x:c r="O421" s="0"/>
      <x:c r="P421" s="6">
        <x:v>46228</x:v>
      </x:c>
      <x:c r="Q421" s="6">
        <x:v>46228.641671261576</x:v>
      </x:c>
      <x:c r="R421" s="0"/>
      <x:c r="S421" s="6">
        <x:v>46228</x:v>
      </x:c>
      <x:c r="T421" s="0"/>
      <x:c r="U421" s="0"/>
      <x:c r="V421" s="0"/>
      <x:c r="W421" s="0"/>
      <x:c r="X421" t="str" s="2">
        <x:v>5803992741</x:v>
      </x:c>
      <x:c r="Y421" t="str" s="2">
        <x:v>5803992741</x:v>
      </x:c>
      <x:c r="Z421" s="6">
        <x:v>46265.7493246875</x:v>
      </x:c>
      <x:c r="AA421" t="str" s="2">
        <x:v>Alejandra Calderon</x:v>
      </x:c>
      <x:c r="AB421" s="6">
        <x:v>46228.64167311342</x:v>
      </x:c>
      <x:c r="AC421" t="n" s="2">
        <x:v>38741</x:v>
      </x:c>
      <x:c r="AD421" s="0"/>
      <x:c r="AE421" s="0"/>
      <x:c r="AF421" s="0"/>
      <x:c r="AG421" s="0"/>
      <x:c r="AH421" s="0"/>
      <x:c r="AI421" s="0"/>
      <x:c r="AJ421" s="0"/>
      <x:c r="AK421" s="0"/>
    </x:row>
    <x:row r="422">
      <x:c r="A422" t="str" s="2">
        <x:f>=HYPERLINK("https://rsms.futurehomex.com/lead/38742", "Melinda Mansfield")</x:f>
      </x:c>
      <x:c r="B422" t="n" s="2">
        <x:v>80</x:v>
      </x:c>
      <x:c r="C422" t="str" s="2">
        <x:v/>
      </x:c>
      <x:c r="D422" t="str" s="2">
        <x:f>=""</x:f>
      </x:c>
      <x:c r="E422" s="0"/>
      <x:c r="F422" t="str" s="2">
        <x:v>Walk-in</x:v>
      </x:c>
      <x:c r="G422" t="str" s="2">
        <x:v>Heritage Housing of Augusta</x:v>
      </x:c>
      <x:c r="H422" t="str" s="2">
        <x:v>Jennifer Johnson</x:v>
      </x:c>
      <x:c r="I422" t="str" s="2">
        <x:v>Karol Romero</x:v>
      </x:c>
      <x:c r="J422" t="str" s="2">
        <x:v>Faye Lively</x:v>
      </x:c>
      <x:c r="K422" t="n" s="2">
        <x:v>5</x:v>
      </x:c>
      <x:c r="L422" t="str" s="2">
        <x:v>1.1</x:v>
      </x:c>
      <x:c r="M422" t="str" s="2">
        <x:v>Inactive</x:v>
      </x:c>
      <x:c r="N422" t="str" s="2">
        <x:v>Deal Created</x:v>
      </x:c>
      <x:c r="O422" s="0"/>
      <x:c r="P422" s="6">
        <x:v>46228</x:v>
      </x:c>
      <x:c r="Q422" s="6">
        <x:v>46228.6674753125</x:v>
      </x:c>
      <x:c r="R422" s="0"/>
      <x:c r="S422" s="0"/>
      <x:c r="T422" s="0"/>
      <x:c r="U422" s="0"/>
      <x:c r="V422" s="0"/>
      <x:c r="W422" s="0"/>
      <x:c r="X422" t="str" s="2">
        <x:v>9045664770</x:v>
      </x:c>
      <x:c r="Y422" t="str" s="2">
        <x:v>9045664770</x:v>
      </x:c>
      <x:c r="Z422" s="0"/>
      <x:c r="AA422" s="0"/>
      <x:c r="AB422" s="6">
        <x:v>46228.6640068287</x:v>
      </x:c>
      <x:c r="AC422" t="n" s="2">
        <x:v>38742</x:v>
      </x:c>
      <x:c r="AD422" s="0"/>
      <x:c r="AE422" s="0"/>
      <x:c r="AF422" s="0"/>
      <x:c r="AG422" s="0"/>
      <x:c r="AH422" s="0"/>
      <x:c r="AI422" s="0"/>
      <x:c r="AJ422" s="0"/>
      <x:c r="AK422" s="0"/>
    </x:row>
    <x:row r="423">
      <x:c r="A423" t="str" s="2">
        <x:f>=HYPERLINK("https://rsms.futurehomex.com/lead/38743", "CL Hamilton")</x:f>
      </x:c>
      <x:c r="B423" t="n" s="2">
        <x:v>80</x:v>
      </x:c>
      <x:c r="C423" t="str" s="2">
        <x:v>0/9</x:v>
      </x:c>
      <x:c r="D423" t="str" s="2">
        <x:f>=""</x:f>
      </x:c>
      <x:c r="E423" t="str" s="2">
        <x:v>Clara Hamilton</x:v>
      </x:c>
      <x:c r="F423" t="str" s="2">
        <x:v>Walk-in</x:v>
      </x:c>
      <x:c r="G423" t="str" s="2">
        <x:v>Heritage Housing of Minden</x:v>
      </x:c>
      <x:c r="H423" t="str" s="2">
        <x:v>Patrick Schuchart</x:v>
      </x:c>
      <x:c r="I423" t="str" s="2">
        <x:v>Karol Romero</x:v>
      </x:c>
      <x:c r="J423" t="str" s="2">
        <x:v>Patrick Schuchart</x:v>
      </x:c>
      <x:c r="K423" t="n" s="2">
        <x:v>53</x:v>
      </x:c>
      <x:c r="L423" t="str" s="2">
        <x:v>4.1</x:v>
      </x:c>
      <x:c r="M423" t="str" s="2">
        <x:v>Inactive</x:v>
      </x:c>
      <x:c r="N423" t="str" s="2">
        <x:v>Loan Approved</x:v>
      </x:c>
      <x:c r="O423" s="6">
        <x:v>46265</x:v>
      </x:c>
      <x:c r="P423" s="6">
        <x:v>46228</x:v>
      </x:c>
      <x:c r="Q423" s="6">
        <x:v>46274.69348167824</x:v>
      </x:c>
      <x:c r="R423" s="0"/>
      <x:c r="S423" s="6">
        <x:v>46227</x:v>
      </x:c>
      <x:c r="T423" s="6">
        <x:v>46228</x:v>
      </x:c>
      <x:c r="U423" s="6">
        <x:v>46231</x:v>
      </x:c>
      <x:c r="V423" s="6">
        <x:v>46231</x:v>
      </x:c>
      <x:c r="W423" s="0"/>
      <x:c r="X423" t="str" s="2">
        <x:v>3182050270</x:v>
      </x:c>
      <x:c r="Y423" t="str" s="2">
        <x:v>clarahamilton46@icloud.com</x:v>
      </x:c>
      <x:c r="Z423" s="6">
        <x:v>46295.86799047454</x:v>
      </x:c>
      <x:c r="AA423" t="str" s="2">
        <x:v>Kyla Brown</x:v>
      </x:c>
      <x:c r="AB423" s="6">
        <x:v>46228.703867627315</x:v>
      </x:c>
      <x:c r="AC423" t="n" s="2">
        <x:v>38743</x:v>
      </x:c>
      <x:c r="AD423" t="str" s="2">
        <x:v>Singlewide</x:v>
      </x:c>
      <x:c r="AE423" t="str" s="2">
        <x:v>Legacy Housing Corporation</x:v>
      </x:c>
      <x:c r="AF423" s="7">
        <x:v>6600</x:v>
      </x:c>
      <x:c r="AG423" s="7">
        <x:v>6600</x:v>
      </x:c>
      <x:c r="AH423" s="0"/>
      <x:c r="AI423" t="str" s="2">
        <x:v>740</x:v>
      </x:c>
      <x:c r="AJ423" s="0"/>
      <x:c r="AK423" s="0"/>
    </x:row>
    <x:row r="424">
      <x:c r="A424" t="str" s="2">
        <x:f>=HYPERLINK("https://rsms.futurehomex.com/lead/38744", "Rachel Shue")</x:f>
      </x:c>
      <x:c r="B424" t="n" s="2">
        <x:v>80</x:v>
      </x:c>
      <x:c r="C424" t="str" s="2">
        <x:v/>
      </x:c>
      <x:c r="D424" t="str" s="2">
        <x:f>=""</x:f>
      </x:c>
      <x:c r="E424" s="0"/>
      <x:c r="F424" t="str" s="2">
        <x:v>Meta Marketplace</x:v>
      </x:c>
      <x:c r="G424" t="str" s="2">
        <x:v>Heritage Housing of Asheboro</x:v>
      </x:c>
      <x:c r="H424" t="str" s="2">
        <x:v>Maria Lopez</x:v>
      </x:c>
      <x:c r="I424" s="0"/>
      <x:c r="J424" s="0"/>
      <x:c r="K424" t="n" s="2">
        <x:v>21</x:v>
      </x:c>
      <x:c r="L424" t="str" s="2">
        <x:v>2.1</x:v>
      </x:c>
      <x:c r="M424" t="str" s="2">
        <x:v>Tentative</x:v>
      </x:c>
      <x:c r="N424" t="str" s="2">
        <x:v>Qualified</x:v>
      </x:c>
      <x:c r="O424" s="0"/>
      <x:c r="P424" s="6">
        <x:v>46228</x:v>
      </x:c>
      <x:c r="Q424" s="6">
        <x:v>46238.687842974534</x:v>
      </x:c>
      <x:c r="R424" s="0"/>
      <x:c r="S424" s="6">
        <x:v>46228</x:v>
      </x:c>
      <x:c r="T424" s="0"/>
      <x:c r="U424" s="0"/>
      <x:c r="V424" s="0"/>
      <x:c r="W424" s="0"/>
      <x:c r="X424" t="str" s="2">
        <x:v>6106338079</x:v>
      </x:c>
      <x:c r="Y424" t="str" s="2">
        <x:v>shuerachel@gmail.com</x:v>
      </x:c>
      <x:c r="Z424" s="6">
        <x:v>46238.687829594906</x:v>
      </x:c>
      <x:c r="AA424" t="str" s="2">
        <x:v>Jeremy Jacques</x:v>
      </x:c>
      <x:c r="AB424" s="6">
        <x:v>46228.70883668982</x:v>
      </x:c>
      <x:c r="AC424" t="n" s="2">
        <x:v>38744</x:v>
      </x:c>
      <x:c r="AD424" s="0"/>
      <x:c r="AE424" s="0"/>
      <x:c r="AF424" s="0"/>
      <x:c r="AG424" s="0"/>
      <x:c r="AH424" s="0"/>
      <x:c r="AI424" s="0"/>
      <x:c r="AJ424" s="0"/>
      <x:c r="AK424" s="0"/>
    </x:row>
    <x:row r="425">
      <x:c r="A425" t="str" s="2">
        <x:f>=HYPERLINK("https://rsms.futurehomex.com/lead/38745", "Pablo Corona")</x:f>
      </x:c>
      <x:c r="B425" t="n" s="2">
        <x:v>80</x:v>
      </x:c>
      <x:c r="C425" t="str" s="2">
        <x:v>1/1</x:v>
      </x:c>
      <x:c r="D425" t="str" s="2">
        <x:f>=""</x:f>
      </x:c>
      <x:c r="E425" t="str" s="2">
        <x:v>Alejandra Corona</x:v>
      </x:c>
      <x:c r="F425" t="str" s="2">
        <x:v>Meta Marketplace</x:v>
      </x:c>
      <x:c r="G425" t="str" s="2">
        <x:v>Legacy Housing Corp. DBA Americasa</x:v>
      </x:c>
      <x:c r="H425" t="str" s="2">
        <x:v>Joey Marquez</x:v>
      </x:c>
      <x:c r="I425" t="str" s="2">
        <x:v>Karol Romero</x:v>
      </x:c>
      <x:c r="J425" t="str" s="2">
        <x:v>Rodrigo Ramirez</x:v>
      </x:c>
      <x:c r="K425" t="n" s="2">
        <x:v>5</x:v>
      </x:c>
      <x:c r="L425" t="str" s="2">
        <x:v>1.1</x:v>
      </x:c>
      <x:c r="M425" t="str" s="2">
        <x:v>Inactive</x:v>
      </x:c>
      <x:c r="N425" t="str" s="2">
        <x:v>Deal Created</x:v>
      </x:c>
      <x:c r="O425" s="0"/>
      <x:c r="P425" s="6">
        <x:v>46228</x:v>
      </x:c>
      <x:c r="Q425" s="6">
        <x:v>46229.879371296294</x:v>
      </x:c>
      <x:c r="R425" s="0"/>
      <x:c r="S425" s="6">
        <x:v>46228</x:v>
      </x:c>
      <x:c r="T425" s="0"/>
      <x:c r="U425" s="0"/>
      <x:c r="V425" s="0"/>
      <x:c r="W425" s="0"/>
      <x:c r="X425" t="str" s="2">
        <x:v>8326435341</x:v>
      </x:c>
      <x:c r="Y425" t="str" s="2">
        <x:v>8326435341</x:v>
      </x:c>
      <x:c r="Z425" s="6">
        <x:v>46229.88047144676</x:v>
      </x:c>
      <x:c r="AA425" t="str" s="2">
        <x:v>Rodrigo Ramirez</x:v>
      </x:c>
      <x:c r="AB425" s="6">
        <x:v>46228.73502144676</x:v>
      </x:c>
      <x:c r="AC425" t="n" s="2">
        <x:v>38745</x:v>
      </x:c>
      <x:c r="AD425" s="0"/>
      <x:c r="AE425" s="0"/>
      <x:c r="AF425" s="0"/>
      <x:c r="AG425" s="7">
        <x:v>0</x:v>
      </x:c>
      <x:c r="AH425" s="0"/>
      <x:c r="AI425" s="0"/>
      <x:c r="AJ425" s="0"/>
      <x:c r="AK425" s="0"/>
    </x:row>
    <x:row r="426">
      <x:c r="A426" t="str" s="2">
        <x:f>=HYPERLINK("https://rsms.futurehomex.com/lead/38746", "Mark Gonzales")</x:f>
      </x:c>
      <x:c r="B426" t="n" s="2">
        <x:v>80</x:v>
      </x:c>
      <x:c r="C426" t="str" s="2">
        <x:v>0/4</x:v>
      </x:c>
      <x:c r="D426" t="str" s="2">
        <x:f>=""</x:f>
      </x:c>
      <x:c r="E426" t="str" s="2">
        <x:v>Amy Gonzales</x:v>
      </x:c>
      <x:c r="F426" t="str" s="2">
        <x:v>Facebook Messenger</x:v>
      </x:c>
      <x:c r="G426" t="str" s="2">
        <x:v>Heritage Housing of Oklahoma City</x:v>
      </x:c>
      <x:c r="H426" t="str" s="2">
        <x:v>Steve Castell</x:v>
      </x:c>
      <x:c r="I426" s="0"/>
      <x:c r="J426" t="str" s="2">
        <x:v>Steve Castell</x:v>
      </x:c>
      <x:c r="K426" t="n" s="2">
        <x:v>21</x:v>
      </x:c>
      <x:c r="L426" t="str" s="2">
        <x:v>2.1</x:v>
      </x:c>
      <x:c r="M426" t="str" s="2">
        <x:v>Dead</x:v>
      </x:c>
      <x:c r="N426" t="str" s="2">
        <x:v>Qualified</x:v>
      </x:c>
      <x:c r="O426" s="0"/>
      <x:c r="P426" s="6">
        <x:v>46228</x:v>
      </x:c>
      <x:c r="Q426" s="6">
        <x:v>46242.94990894676</x:v>
      </x:c>
      <x:c r="R426" s="0"/>
      <x:c r="S426" s="6">
        <x:v>46235</x:v>
      </x:c>
      <x:c r="T426" s="0"/>
      <x:c r="U426" s="0"/>
      <x:c r="V426" s="0"/>
      <x:c r="W426" s="0"/>
      <x:c r="X426" t="str" s="2">
        <x:v>5803601029</x:v>
      </x:c>
      <x:c r="Y426" t="str" s="2">
        <x:v>gonzalesmark746@gmail.com</x:v>
      </x:c>
      <x:c r="Z426" s="6">
        <x:v>46247.916978125</x:v>
      </x:c>
      <x:c r="AA426" t="str" s="2">
        <x:v>Steve Castell</x:v>
      </x:c>
      <x:c r="AB426" s="6">
        <x:v>46228.756288310185</x:v>
      </x:c>
      <x:c r="AC426" t="n" s="2">
        <x:v>38746</x:v>
      </x:c>
      <x:c r="AD426" s="0"/>
      <x:c r="AE426" s="0"/>
      <x:c r="AF426" s="0"/>
      <x:c r="AG426" s="0"/>
      <x:c r="AH426" s="0"/>
      <x:c r="AI426" s="0"/>
      <x:c r="AJ426" s="0"/>
      <x:c r="AK426" s="0"/>
    </x:row>
    <x:row r="427">
      <x:c r="A427" t="str" s="2">
        <x:f>=HYPERLINK("https://rsms.futurehomex.com/lead/38747", "Rodney Coakley")</x:f>
      </x:c>
      <x:c r="B427" t="n" s="2">
        <x:v>80</x:v>
      </x:c>
      <x:c r="C427" t="str" s="2">
        <x:v/>
      </x:c>
      <x:c r="D427" t="str" s="2">
        <x:f>=""</x:f>
      </x:c>
      <x:c r="E427" s="0"/>
      <x:c r="F427" t="str" s="2">
        <x:v>Walk-in</x:v>
      </x:c>
      <x:c r="G427" t="str" s="2">
        <x:v>Heritage Housing of Asheboro</x:v>
      </x:c>
      <x:c r="H427" t="str" s="2">
        <x:v>Maria Lopez</x:v>
      </x:c>
      <x:c r="I427" s="0"/>
      <x:c r="J427" s="0"/>
      <x:c r="K427" t="n" s="2">
        <x:v>34</x:v>
      </x:c>
      <x:c r="L427" t="str" s="2">
        <x:v>2.4</x:v>
      </x:c>
      <x:c r="M427" t="str" s="2">
        <x:v>Tentative</x:v>
      </x:c>
      <x:c r="N427" t="str" s="2">
        <x:v>Deal approval</x:v>
      </x:c>
      <x:c r="O427" s="0"/>
      <x:c r="P427" s="6">
        <x:v>46228</x:v>
      </x:c>
      <x:c r="Q427" s="6">
        <x:v>46238.691717905094</x:v>
      </x:c>
      <x:c r="R427" s="0"/>
      <x:c r="S427" s="0"/>
      <x:c r="T427" s="0"/>
      <x:c r="U427" s="0"/>
      <x:c r="V427" s="0"/>
      <x:c r="W427" s="0"/>
      <x:c r="X427" t="str" s="2">
        <x:v>3367085326</x:v>
      </x:c>
      <x:c r="Y427" t="str" s="2">
        <x:v>rcoakley1976@gmail.com</x:v>
      </x:c>
      <x:c r="Z427" s="6">
        <x:v>46238.691705405094</x:v>
      </x:c>
      <x:c r="AA427" t="str" s="2">
        <x:v>Jeremy Jacques</x:v>
      </x:c>
      <x:c r="AB427" s="6">
        <x:v>46228.766224039355</x:v>
      </x:c>
      <x:c r="AC427" t="n" s="2">
        <x:v>38747</x:v>
      </x:c>
      <x:c r="AD427" s="0"/>
      <x:c r="AE427" s="0"/>
      <x:c r="AF427" s="0"/>
      <x:c r="AG427" s="0"/>
      <x:c r="AH427" s="0"/>
      <x:c r="AI427" s="0"/>
      <x:c r="AJ427" s="0"/>
      <x:c r="AK427" s="0"/>
    </x:row>
    <x:row r="428">
      <x:c r="A428" t="str" s="2">
        <x:f>=HYPERLINK("https://rsms.futurehomex.com/lead/38748", "Zachary Combs")</x:f>
      </x:c>
      <x:c r="B428" t="n" s="2">
        <x:v>80</x:v>
      </x:c>
      <x:c r="C428" t="str" s="2">
        <x:v/>
      </x:c>
      <x:c r="D428" t="str" s="2">
        <x:f>=""</x:f>
      </x:c>
      <x:c r="E428" s="0"/>
      <x:c r="F428" t="str" s="2">
        <x:v>Walk-in</x:v>
      </x:c>
      <x:c r="G428" t="str" s="2">
        <x:v>Heritage Housing of Asheboro</x:v>
      </x:c>
      <x:c r="H428" t="str" s="2">
        <x:v>Maria Lopez</x:v>
      </x:c>
      <x:c r="I428" s="0"/>
      <x:c r="J428" s="0"/>
      <x:c r="K428" t="n" s="2">
        <x:v>21</x:v>
      </x:c>
      <x:c r="L428" t="str" s="2">
        <x:v>2.1</x:v>
      </x:c>
      <x:c r="M428" t="str" s="2">
        <x:v>Tentative</x:v>
      </x:c>
      <x:c r="N428" t="str" s="2">
        <x:v>Qualified</x:v>
      </x:c>
      <x:c r="O428" s="0"/>
      <x:c r="P428" s="6">
        <x:v>46228</x:v>
      </x:c>
      <x:c r="Q428" s="6">
        <x:v>46238.689640972225</x:v>
      </x:c>
      <x:c r="R428" s="0"/>
      <x:c r="S428" s="6">
        <x:v>46228</x:v>
      </x:c>
      <x:c r="T428" s="0"/>
      <x:c r="U428" s="0"/>
      <x:c r="V428" s="0"/>
      <x:c r="W428" s="0"/>
      <x:c r="X428" t="str" s="2">
        <x:v>9106501366</x:v>
      </x:c>
      <x:c r="Y428" t="str" s="2">
        <x:v>combsz1990@yahoo.com</x:v>
      </x:c>
      <x:c r="Z428" s="6">
        <x:v>46238.68962673611</x:v>
      </x:c>
      <x:c r="AA428" t="str" s="2">
        <x:v>Jeremy Jacques</x:v>
      </x:c>
      <x:c r="AB428" s="6">
        <x:v>46228.80431079861</x:v>
      </x:c>
      <x:c r="AC428" t="n" s="2">
        <x:v>38748</x:v>
      </x:c>
      <x:c r="AD428" s="0"/>
      <x:c r="AE428" s="0"/>
      <x:c r="AF428" s="0"/>
      <x:c r="AG428" s="0"/>
      <x:c r="AH428" s="0"/>
      <x:c r="AI428" s="0"/>
      <x:c r="AJ428" s="0"/>
      <x:c r="AK428" s="0"/>
    </x:row>
    <x:row r="429">
      <x:c r="A429" t="str" s="2">
        <x:f>=HYPERLINK("https://rsms.futurehomex.com/lead/38749", "Corbit Beeler")</x:f>
      </x:c>
      <x:c r="B429" t="n" s="2">
        <x:v>80</x:v>
      </x:c>
      <x:c r="C429" t="str" s="2">
        <x:v>1/7</x:v>
      </x:c>
      <x:c r="D429" t="str" s="2">
        <x:f>=""</x:f>
      </x:c>
      <x:c r="E429" s="0"/>
      <x:c r="F429" t="str" s="2">
        <x:v>Walk-in</x:v>
      </x:c>
      <x:c r="G429" t="str" s="2">
        <x:v>Heritage Housing of Jennings</x:v>
      </x:c>
      <x:c r="H429" t="str" s="2">
        <x:v>Clint O'Neal</x:v>
      </x:c>
      <x:c r="I429" s="0"/>
      <x:c r="J429" s="0"/>
      <x:c r="K429" t="n" s="2">
        <x:v>5</x:v>
      </x:c>
      <x:c r="L429" t="str" s="2">
        <x:v>1.1</x:v>
      </x:c>
      <x:c r="M429" t="str" s="2">
        <x:v>Inactive</x:v>
      </x:c>
      <x:c r="N429" t="str" s="2">
        <x:v>Prospect</x:v>
      </x:c>
      <x:c r="O429" s="0"/>
      <x:c r="P429" s="6">
        <x:v>46228</x:v>
      </x:c>
      <x:c r="Q429" s="6">
        <x:v>46228.806334340275</x:v>
      </x:c>
      <x:c r="R429" s="0"/>
      <x:c r="S429" s="6">
        <x:v>46228</x:v>
      </x:c>
      <x:c r="T429" s="0"/>
      <x:c r="U429" s="0"/>
      <x:c r="V429" s="0"/>
      <x:c r="W429" s="0"/>
      <x:c r="X429" t="str" s="2">
        <x:v>3378880504</x:v>
      </x:c>
      <x:c r="Y429" t="str" s="2">
        <x:v>corbitbeeler@yahoo.com</x:v>
      </x:c>
      <x:c r="Z429" s="6">
        <x:v>46279.677421099535</x:v>
      </x:c>
      <x:c r="AA429" t="str" s="2">
        <x:v>Clint O'Neal</x:v>
      </x:c>
      <x:c r="AB429" s="6">
        <x:v>46228.80633487269</x:v>
      </x:c>
      <x:c r="AC429" t="n" s="2">
        <x:v>38749</x:v>
      </x:c>
      <x:c r="AD429" s="0"/>
      <x:c r="AE429" s="0"/>
      <x:c r="AF429" s="0"/>
      <x:c r="AG429" s="0"/>
      <x:c r="AH429" s="0"/>
      <x:c r="AI429" s="0"/>
      <x:c r="AJ429" s="0"/>
      <x:c r="AK429" s="0"/>
    </x:row>
    <x:row r="430">
      <x:c r="A430" t="str" s="2">
        <x:f>=HYPERLINK("https://rsms.futurehomex.com/lead/38751", "Russell Rhodds")</x:f>
      </x:c>
      <x:c r="B430" t="n" s="2">
        <x:v>80</x:v>
      </x:c>
      <x:c r="C430" t="str" s="2">
        <x:v>1/1</x:v>
      </x:c>
      <x:c r="D430" t="str" s="2">
        <x:f>=""</x:f>
      </x:c>
      <x:c r="E430" s="0"/>
      <x:c r="F430" t="str" s="2">
        <x:v>HH - Oklahoma City</x:v>
      </x:c>
      <x:c r="G430" t="str" s="2">
        <x:v>Heritage Housing of Oklahoma City</x:v>
      </x:c>
      <x:c r="H430" t="str" s="2">
        <x:v>Alejandra Calderon</x:v>
      </x:c>
      <x:c r="I430" s="0"/>
      <x:c r="J430" t="str" s="2">
        <x:v>Steve Castell</x:v>
      </x:c>
      <x:c r="K430" t="n" s="2">
        <x:v>5</x:v>
      </x:c>
      <x:c r="L430" t="str" s="2">
        <x:v>1.1</x:v>
      </x:c>
      <x:c r="M430" t="str" s="2">
        <x:v>Inactive</x:v>
      </x:c>
      <x:c r="N430" t="str" s="2">
        <x:v>Deal Created</x:v>
      </x:c>
      <x:c r="O430" s="0"/>
      <x:c r="P430" s="6">
        <x:v>46228</x:v>
      </x:c>
      <x:c r="Q430" s="6">
        <x:v>46228.85857708333</x:v>
      </x:c>
      <x:c r="R430" s="0"/>
      <x:c r="S430" s="6">
        <x:v>46228</x:v>
      </x:c>
      <x:c r="T430" s="0"/>
      <x:c r="U430" s="0"/>
      <x:c r="V430" s="0"/>
      <x:c r="W430" s="0"/>
      <x:c r="X430" t="str" s="2">
        <x:v>5803048973</x:v>
      </x:c>
      <x:c r="Y430" t="str" s="2">
        <x:v>russnlgdiasrhoodd96@gmail.com</x:v>
      </x:c>
      <x:c r="Z430" s="6">
        <x:v>46228.87017653935</x:v>
      </x:c>
      <x:c r="AA430" t="str" s="2">
        <x:v>Karla Brizuela</x:v>
      </x:c>
      <x:c r="AB430" s="6">
        <x:v>46228.858578900465</x:v>
      </x:c>
      <x:c r="AC430" t="n" s="2">
        <x:v>38751</x:v>
      </x:c>
      <x:c r="AD430" s="0"/>
      <x:c r="AE430" s="0"/>
      <x:c r="AF430" s="0"/>
      <x:c r="AG430" s="0"/>
      <x:c r="AH430" s="0"/>
      <x:c r="AI430" s="0"/>
      <x:c r="AJ430" s="0"/>
      <x:c r="AK430" s="0"/>
    </x:row>
    <x:row r="431">
      <x:c r="A431" t="str" s="2">
        <x:f>=HYPERLINK("https://rsms.futurehomex.com/lead/38753", "Kareey Wilson")</x:f>
      </x:c>
      <x:c r="B431" t="n" s="2">
        <x:v>80</x:v>
      </x:c>
      <x:c r="C431" t="str" s="2">
        <x:v/>
      </x:c>
      <x:c r="D431" t="str" s="2">
        <x:f>=""</x:f>
      </x:c>
      <x:c r="E431" s="0"/>
      <x:c r="F431" t="str" s="2">
        <x:v>Walk-in</x:v>
      </x:c>
      <x:c r="G431" t="str" s="2">
        <x:v>Heritage Housing of Tulsa</x:v>
      </x:c>
      <x:c r="H431" t="str" s="2">
        <x:v>Derek Searcy</x:v>
      </x:c>
      <x:c r="I431" t="str" s="2">
        <x:v>Karol Romero</x:v>
      </x:c>
      <x:c r="J431" t="str" s="2">
        <x:v>Jenna Fransisco</x:v>
      </x:c>
      <x:c r="K431" t="n" s="2">
        <x:v>5</x:v>
      </x:c>
      <x:c r="L431" t="str" s="2">
        <x:v>1.1</x:v>
      </x:c>
      <x:c r="M431" t="str" s="2">
        <x:v>Inactive</x:v>
      </x:c>
      <x:c r="N431" t="str" s="2">
        <x:v>Deal Created</x:v>
      </x:c>
      <x:c r="O431" s="0"/>
      <x:c r="P431" s="6">
        <x:v>46228</x:v>
      </x:c>
      <x:c r="Q431" s="6">
        <x:v>46228.86808958333</x:v>
      </x:c>
      <x:c r="R431" s="0"/>
      <x:c r="S431" s="0"/>
      <x:c r="T431" s="0"/>
      <x:c r="U431" s="0"/>
      <x:c r="V431" s="0"/>
      <x:c r="W431" s="0"/>
      <x:c r="X431" t="str" s="2">
        <x:v>9189025980</x:v>
      </x:c>
      <x:c r="Y431" t="str" s="2">
        <x:v>9189025980</x:v>
      </x:c>
      <x:c r="Z431" s="6">
        <x:v>46228.86833383102</x:v>
      </x:c>
      <x:c r="AA431" t="str" s="2">
        <x:v>Brittany Cobb</x:v>
      </x:c>
      <x:c r="AB431" s="6">
        <x:v>46228.86809108796</x:v>
      </x:c>
      <x:c r="AC431" t="n" s="2">
        <x:v>38753</x:v>
      </x:c>
      <x:c r="AD431" s="0"/>
      <x:c r="AE431" s="0"/>
      <x:c r="AF431" s="0"/>
      <x:c r="AG431" s="0"/>
      <x:c r="AH431" s="0"/>
      <x:c r="AI431" s="0"/>
      <x:c r="AJ431" s="0"/>
      <x:c r="AK431" s="0"/>
    </x:row>
    <x:row r="432">
      <x:c r="A432" t="str" s="2">
        <x:f>=HYPERLINK("https://rsms.futurehomex.com/lead/38754", "Jonnie Teague")</x:f>
      </x:c>
      <x:c r="B432" t="n" s="2">
        <x:v>80</x:v>
      </x:c>
      <x:c r="C432" t="str" s="2">
        <x:v>0/1</x:v>
      </x:c>
      <x:c r="D432" t="str" s="2">
        <x:f>=""</x:f>
      </x:c>
      <x:c r="E432" t="str" s="2">
        <x:v>Juliet Risenhoover</x:v>
      </x:c>
      <x:c r="F432" t="str" s="2">
        <x:v>Facebook Messenger</x:v>
      </x:c>
      <x:c r="G432" t="str" s="2">
        <x:v>Heritage Housing of Oklahoma City</x:v>
      </x:c>
      <x:c r="H432" t="str" s="2">
        <x:v>Trey Rixleben</x:v>
      </x:c>
      <x:c r="I432" s="0"/>
      <x:c r="J432" s="0"/>
      <x:c r="K432" t="n" s="2">
        <x:v>38</x:v>
      </x:c>
      <x:c r="L432" t="str" s="2">
        <x:v>3.2</x:v>
      </x:c>
      <x:c r="M432" t="str" s="2">
        <x:v>Dead</x:v>
      </x:c>
      <x:c r="N432" t="str" s="2">
        <x:v>Application</x:v>
      </x:c>
      <x:c r="O432" s="0"/>
      <x:c r="P432" s="6">
        <x:v>46228</x:v>
      </x:c>
      <x:c r="Q432" s="6">
        <x:v>46232.63952415509</x:v>
      </x:c>
      <x:c r="R432" t="str" s="2">
        <x:v>Karla Brizuela</x:v>
      </x:c>
      <x:c r="S432" s="6">
        <x:v>46228</x:v>
      </x:c>
      <x:c r="T432" s="6">
        <x:v>46231</x:v>
      </x:c>
      <x:c r="U432" s="6">
        <x:v>46231</x:v>
      </x:c>
      <x:c r="V432" s="0"/>
      <x:c r="W432" s="0"/>
      <x:c r="X432" t="str" s="2">
        <x:v>9183153872</x:v>
      </x:c>
      <x:c r="Y432" t="str" s="2">
        <x:v>jonnieteague1234@gmail.com</x:v>
      </x:c>
      <x:c r="Z432" s="6">
        <x:v>46239.832249224535</x:v>
      </x:c>
      <x:c r="AA432" t="str" s="2">
        <x:v>Trey Rixleben</x:v>
      </x:c>
      <x:c r="AB432" s="6">
        <x:v>46228.90225289352</x:v>
      </x:c>
      <x:c r="AC432" t="n" s="2">
        <x:v>38754</x:v>
      </x:c>
      <x:c r="AD432" s="0"/>
      <x:c r="AE432" s="0"/>
      <x:c r="AF432" s="0"/>
      <x:c r="AG432" s="0"/>
      <x:c r="AH432" s="0"/>
      <x:c r="AI432" t="str" s="2">
        <x:v>517</x:v>
      </x:c>
      <x:c r="AJ432" s="0"/>
      <x:c r="AK432" s="0"/>
    </x:row>
    <x:row r="433">
      <x:c r="A433" t="str" s="2">
        <x:f>=HYPERLINK("https://rsms.futurehomex.com/lead/38756", "Bryan Vaughan")</x:f>
      </x:c>
      <x:c r="B433" t="n" s="2">
        <x:v>79</x:v>
      </x:c>
      <x:c r="C433" t="str" s="2">
        <x:v/>
      </x:c>
      <x:c r="D433" t="str" s="2">
        <x:f>=""</x:f>
      </x:c>
      <x:c r="E433" s="0"/>
      <x:c r="F433" t="str" s="2">
        <x:v>Facebook Messenger</x:v>
      </x:c>
      <x:c r="G433" t="str" s="2">
        <x:v>Heritage Housing Mt Pleasant</x:v>
      </x:c>
      <x:c r="H433" t="str" s="2">
        <x:v>Yarelis Torres</x:v>
      </x:c>
      <x:c r="I433" s="0"/>
      <x:c r="J433" t="str" s="2">
        <x:v>Yarelis Torres</x:v>
      </x:c>
      <x:c r="K433" t="n" s="2">
        <x:v>5</x:v>
      </x:c>
      <x:c r="L433" t="str" s="2">
        <x:v>1.1</x:v>
      </x:c>
      <x:c r="M433" t="str" s="2">
        <x:v>Tentative</x:v>
      </x:c>
      <x:c r="N433" t="str" s="2">
        <x:v>Deal Created</x:v>
      </x:c>
      <x:c r="O433" s="0"/>
      <x:c r="P433" s="6">
        <x:v>46229</x:v>
      </x:c>
      <x:c r="Q433" s="6">
        <x:v>46229.76737207176</x:v>
      </x:c>
      <x:c r="R433" s="0"/>
      <x:c r="S433" s="0"/>
      <x:c r="T433" s="0"/>
      <x:c r="U433" s="0"/>
      <x:c r="V433" s="0"/>
      <x:c r="W433" s="0"/>
      <x:c r="X433" t="str" s="2">
        <x:v>9039462829</x:v>
      </x:c>
      <x:c r="Y433" t="str" s="2">
        <x:v>9033053392</x:v>
      </x:c>
      <x:c r="Z433" s="6">
        <x:v>46230.61243903935</x:v>
      </x:c>
      <x:c r="AA433" t="str" s="2">
        <x:v>Yarelis Torres</x:v>
      </x:c>
      <x:c r="AB433" s="6">
        <x:v>46229.76737569444</x:v>
      </x:c>
      <x:c r="AC433" t="n" s="2">
        <x:v>38756</x:v>
      </x:c>
      <x:c r="AD433" s="0"/>
      <x:c r="AE433" s="0"/>
      <x:c r="AF433" s="0"/>
      <x:c r="AG433" s="0"/>
      <x:c r="AH433" s="0"/>
      <x:c r="AI433" s="0"/>
      <x:c r="AJ433" s="0"/>
      <x:c r="AK433" s="0"/>
    </x:row>
    <x:row r="434">
      <x:c r="A434" t="str" s="2">
        <x:f>=HYPERLINK("https://rsms.futurehomex.com/lead/38757", "Shirley Jeffery")</x:f>
      </x:c>
      <x:c r="B434" t="n" s="2">
        <x:v>79</x:v>
      </x:c>
      <x:c r="C434" t="str" s="2">
        <x:v/>
      </x:c>
      <x:c r="D434" t="str" s="2">
        <x:f>=""</x:f>
      </x:c>
      <x:c r="E434" s="0"/>
      <x:c r="F434" t="str" s="2">
        <x:v>Facebook Messenger</x:v>
      </x:c>
      <x:c r="G434" t="str" s="2">
        <x:v>Heritage Housing Mt Pleasant</x:v>
      </x:c>
      <x:c r="H434" t="str" s="2">
        <x:v>Yarelis Torres</x:v>
      </x:c>
      <x:c r="I434" s="0"/>
      <x:c r="J434" t="str" s="2">
        <x:v>Yarelis Torres</x:v>
      </x:c>
      <x:c r="K434" t="n" s="2">
        <x:v>5</x:v>
      </x:c>
      <x:c r="L434" t="str" s="2">
        <x:v>1.1</x:v>
      </x:c>
      <x:c r="M434" t="str" s="2">
        <x:v>Denied</x:v>
      </x:c>
      <x:c r="N434" t="str" s="2">
        <x:v>Deal Created</x:v>
      </x:c>
      <x:c r="O434" s="0"/>
      <x:c r="P434" s="6">
        <x:v>46229</x:v>
      </x:c>
      <x:c r="Q434" s="6">
        <x:v>46229.771130636575</x:v>
      </x:c>
      <x:c r="R434" s="0"/>
      <x:c r="S434" s="0"/>
      <x:c r="T434" s="0"/>
      <x:c r="U434" s="0"/>
      <x:c r="V434" s="0"/>
      <x:c r="W434" s="0"/>
      <x:c r="X434" t="str" s="2">
        <x:v>9037673319</x:v>
      </x:c>
      <x:c r="Y434" t="str" s="2">
        <x:v>9037673319</x:v>
      </x:c>
      <x:c r="Z434" s="6">
        <x:v>46229.77925355324</x:v>
      </x:c>
      <x:c r="AA434" t="str" s="2">
        <x:v>Yarelis Torres</x:v>
      </x:c>
      <x:c r="AB434" s="6">
        <x:v>46229.771132256945</x:v>
      </x:c>
      <x:c r="AC434" t="n" s="2">
        <x:v>38757</x:v>
      </x:c>
      <x:c r="AD434" s="0"/>
      <x:c r="AE434" s="0"/>
      <x:c r="AF434" s="0"/>
      <x:c r="AG434" s="0"/>
      <x:c r="AH434" s="0"/>
      <x:c r="AI434" s="0"/>
      <x:c r="AJ434" s="0"/>
      <x:c r="AK434" s="0"/>
    </x:row>
    <x:row r="435">
      <x:c r="A435" t="str" s="2">
        <x:f>=HYPERLINK("https://rsms.futurehomex.com/lead/38759", "Braulio Quiroz")</x:f>
      </x:c>
      <x:c r="B435" t="n" s="2">
        <x:v>79</x:v>
      </x:c>
      <x:c r="C435" t="str" s="2">
        <x:v>0/2</x:v>
      </x:c>
      <x:c r="D435" t="str" s="2">
        <x:f>=""</x:f>
      </x:c>
      <x:c r="E435" s="0"/>
      <x:c r="F435" t="str" s="2">
        <x:v>Terrenos Houston</x:v>
      </x:c>
      <x:c r="G435" t="str" s="2">
        <x:v>Legacy Housing Corp. DBA Americasa</x:v>
      </x:c>
      <x:c r="H435" t="str" s="2">
        <x:v>Joey Marquez</x:v>
      </x:c>
      <x:c r="I435" t="str" s="2">
        <x:v>Karol Romero</x:v>
      </x:c>
      <x:c r="J435" s="0"/>
      <x:c r="K435" t="n" s="2">
        <x:v>5</x:v>
      </x:c>
      <x:c r="L435" t="str" s="2">
        <x:v>1.1</x:v>
      </x:c>
      <x:c r="M435" t="str" s="2">
        <x:v>Tentative</x:v>
      </x:c>
      <x:c r="N435" t="str" s="2">
        <x:v>Prospect</x:v>
      </x:c>
      <x:c r="O435" s="0"/>
      <x:c r="P435" s="6">
        <x:v>46229</x:v>
      </x:c>
      <x:c r="Q435" s="6">
        <x:v>46233.94712719908</x:v>
      </x:c>
      <x:c r="R435" s="0"/>
      <x:c r="S435" s="0"/>
      <x:c r="T435" s="0"/>
      <x:c r="U435" s="0"/>
      <x:c r="V435" s="0"/>
      <x:c r="W435" s="0"/>
      <x:c r="X435" t="str" s="2">
        <x:v>8326930936</x:v>
      </x:c>
      <x:c r="Y435" t="str" s="2">
        <x:v>braulioquiroz@gmail.com</x:v>
      </x:c>
      <x:c r="Z435" s="6">
        <x:v>46233.94756450231</x:v>
      </x:c>
      <x:c r="AA435" t="str" s="2">
        <x:v>Victoria Sanchez</x:v>
      </x:c>
      <x:c r="AB435" s="6">
        <x:v>46229.884932256944</x:v>
      </x:c>
      <x:c r="AC435" t="n" s="2">
        <x:v>38759</x:v>
      </x:c>
      <x:c r="AD435" s="0"/>
      <x:c r="AE435" s="0"/>
      <x:c r="AF435" s="0"/>
      <x:c r="AG435" s="0"/>
      <x:c r="AH435" s="0"/>
      <x:c r="AI435" s="0"/>
      <x:c r="AJ435" s="0"/>
      <x:c r="AK435" s="0"/>
    </x:row>
    <x:row r="436">
      <x:c r="A436" t="str" s="2">
        <x:f>=HYPERLINK("https://rsms.futurehomex.com/lead/38760", "Angel Kier")</x:f>
      </x:c>
      <x:c r="B436" t="n" s="2">
        <x:v>79</x:v>
      </x:c>
      <x:c r="C436" t="str" s="2">
        <x:v>1/1</x:v>
      </x:c>
      <x:c r="D436" t="str" s="2">
        <x:f>=""</x:f>
      </x:c>
      <x:c r="E436" s="0"/>
      <x:c r="F436" t="str" s="2">
        <x:v>Facebook Messenger</x:v>
      </x:c>
      <x:c r="G436" t="str" s="2">
        <x:v>Heritage Housing of Oklahoma City</x:v>
      </x:c>
      <x:c r="H436" t="str" s="2">
        <x:v>Eva Misheva</x:v>
      </x:c>
      <x:c r="I436" s="0"/>
      <x:c r="J436" s="0"/>
      <x:c r="K436" t="n" s="2">
        <x:v>5</x:v>
      </x:c>
      <x:c r="L436" t="str" s="2">
        <x:v>1.1</x:v>
      </x:c>
      <x:c r="M436" t="str" s="2">
        <x:v>Tentative</x:v>
      </x:c>
      <x:c r="N436" t="str" s="2">
        <x:v>Prospect</x:v>
      </x:c>
      <x:c r="O436" s="0"/>
      <x:c r="P436" s="6">
        <x:v>46229</x:v>
      </x:c>
      <x:c r="Q436" s="6">
        <x:v>46229.909017743055</x:v>
      </x:c>
      <x:c r="R436" s="0"/>
      <x:c r="S436" s="6">
        <x:v>46229</x:v>
      </x:c>
      <x:c r="T436" s="0"/>
      <x:c r="U436" s="0"/>
      <x:c r="V436" s="0"/>
      <x:c r="W436" s="0"/>
      <x:c r="X436" t="str" s="2">
        <x:v>4058030692</x:v>
      </x:c>
      <x:c r="Y436" t="str" s="2">
        <x:v>kierfam3@gmail.com</x:v>
      </x:c>
      <x:c r="Z436" s="6">
        <x:v>46277.87292002315</x:v>
      </x:c>
      <x:c r="AA436" t="str" s="2">
        <x:v>Eva Misheva</x:v>
      </x:c>
      <x:c r="AB436" s="6">
        <x:v>46229.9090190625</x:v>
      </x:c>
      <x:c r="AC436" t="n" s="2">
        <x:v>38760</x:v>
      </x:c>
      <x:c r="AD436" s="0"/>
      <x:c r="AE436" s="0"/>
      <x:c r="AF436" s="0"/>
      <x:c r="AG436" s="0"/>
      <x:c r="AH436" s="0"/>
      <x:c r="AI436" s="0"/>
      <x:c r="AJ436" s="0"/>
      <x:c r="AK436" s="0"/>
    </x:row>
    <x:row r="437">
      <x:c r="A437" t="str" s="2">
        <x:f>=HYPERLINK("https://rsms.futurehomex.com/lead/38761", "Melinda Hernandez")</x:f>
      </x:c>
      <x:c r="B437" t="n" s="2">
        <x:v>79</x:v>
      </x:c>
      <x:c r="C437" t="str" s="2">
        <x:v>0/2</x:v>
      </x:c>
      <x:c r="D437" t="str" s="2">
        <x:f>=""</x:f>
      </x:c>
      <x:c r="E437" s="0"/>
      <x:c r="F437" t="str" s="2">
        <x:v>Walk-in</x:v>
      </x:c>
      <x:c r="G437" t="str" s="2">
        <x:v>Heritage Housing of Oklahoma City</x:v>
      </x:c>
      <x:c r="H437" t="str" s="2">
        <x:v>Trey Rixleben</x:v>
      </x:c>
      <x:c r="I437" s="0"/>
      <x:c r="J437" s="0"/>
      <x:c r="K437" t="n" s="2">
        <x:v>5</x:v>
      </x:c>
      <x:c r="L437" t="str" s="2">
        <x:v>1.1</x:v>
      </x:c>
      <x:c r="M437" t="str" s="2">
        <x:v>Tentative</x:v>
      </x:c>
      <x:c r="N437" t="str" s="2">
        <x:v>Prospect</x:v>
      </x:c>
      <x:c r="O437" s="0"/>
      <x:c r="P437" s="6">
        <x:v>46229</x:v>
      </x:c>
      <x:c r="Q437" s="6">
        <x:v>46229.91262167824</x:v>
      </x:c>
      <x:c r="R437" s="0"/>
      <x:c r="S437" s="6">
        <x:v>46229</x:v>
      </x:c>
      <x:c r="T437" s="0"/>
      <x:c r="U437" s="0"/>
      <x:c r="V437" s="0"/>
      <x:c r="W437" s="0"/>
      <x:c r="X437" t="str" s="2">
        <x:v>4056620033</x:v>
      </x:c>
      <x:c r="Y437" t="str" s="2">
        <x:v>86melih@gmail.com</x:v>
      </x:c>
      <x:c r="Z437" s="6">
        <x:v>46302.0837065625</x:v>
      </x:c>
      <x:c r="AA437" t="str" s="2">
        <x:v>Steve Castell</x:v>
      </x:c>
      <x:c r="AB437" s="6">
        <x:v>46301.950940243056</x:v>
      </x:c>
      <x:c r="AC437" t="n" s="2">
        <x:v>38761</x:v>
      </x:c>
      <x:c r="AD437" s="0"/>
      <x:c r="AE437" s="0"/>
      <x:c r="AF437" s="0"/>
      <x:c r="AG437" s="0"/>
      <x:c r="AH437" s="0"/>
      <x:c r="AI437" s="0"/>
      <x:c r="AJ437" s="0"/>
      <x:c r="AK437" s="0"/>
    </x:row>
    <x:row r="438">
      <x:c r="A438" t="str" s="2">
        <x:f>=HYPERLINK("https://rsms.futurehomex.com/lead/38762", "CHRIS Johnson")</x:f>
      </x:c>
      <x:c r="B438" t="n" s="2">
        <x:v>78</x:v>
      </x:c>
      <x:c r="C438" t="str" s="2">
        <x:v/>
      </x:c>
      <x:c r="D438" t="str" s="2">
        <x:f>=""</x:f>
      </x:c>
      <x:c r="E438" s="0"/>
      <x:c r="F438" t="str" s="2">
        <x:v>Facebook Messenger</x:v>
      </x:c>
      <x:c r="G438" t="str" s="2">
        <x:v>Heritage Housing of Augusta</x:v>
      </x:c>
      <x:c r="H438" t="str" s="2">
        <x:v>Faye Lively</x:v>
      </x:c>
      <x:c r="I438" t="str" s="2">
        <x:v>Karol Romero</x:v>
      </x:c>
      <x:c r="J438" t="str" s="2">
        <x:v>Faye Lively</x:v>
      </x:c>
      <x:c r="K438" t="n" s="2">
        <x:v>38</x:v>
      </x:c>
      <x:c r="L438" t="str" s="2">
        <x:v>3.2</x:v>
      </x:c>
      <x:c r="M438" t="str" s="2">
        <x:v>Tentative</x:v>
      </x:c>
      <x:c r="N438" t="str" s="2">
        <x:v>Application</x:v>
      </x:c>
      <x:c r="O438" s="0"/>
      <x:c r="P438" s="6">
        <x:v>46230</x:v>
      </x:c>
      <x:c r="Q438" s="6">
        <x:v>46230.55184684028</x:v>
      </x:c>
      <x:c r="R438" s="0"/>
      <x:c r="S438" s="0"/>
      <x:c r="T438" s="0"/>
      <x:c r="U438" s="0"/>
      <x:c r="V438" s="0"/>
      <x:c r="W438" s="0"/>
      <x:c r="X438" t="str" s="2">
        <x:v>8034506770</x:v>
      </x:c>
      <x:c r="Y438" t="str" s="2">
        <x:v>Chrisdjohnson11@yahoo.com</x:v>
      </x:c>
      <x:c r="Z438" s="6">
        <x:v>46230.55111238426</x:v>
      </x:c>
      <x:c r="AA438" t="str" s="2">
        <x:v>Brian Amato</x:v>
      </x:c>
      <x:c r="AB438" s="6">
        <x:v>46230.53756994213</x:v>
      </x:c>
      <x:c r="AC438" t="n" s="2">
        <x:v>38762</x:v>
      </x:c>
      <x:c r="AD438" t="str" s="2">
        <x:v>Singlewide</x:v>
      </x:c>
      <x:c r="AE438" s="0"/>
      <x:c r="AF438" s="7">
        <x:v>7000</x:v>
      </x:c>
      <x:c r="AG438" s="0"/>
      <x:c r="AH438" s="0"/>
      <x:c r="AI438" s="0"/>
      <x:c r="AJ438" s="0"/>
      <x:c r="AK438" s="0"/>
    </x:row>
    <x:row r="439">
      <x:c r="A439" t="str" s="2">
        <x:f>=HYPERLINK("https://rsms.futurehomex.com/lead/38764", "Melvin Glenn")</x:f>
      </x:c>
      <x:c r="B439" t="n" s="2">
        <x:v>78</x:v>
      </x:c>
      <x:c r="C439" t="str" s="2">
        <x:v/>
      </x:c>
      <x:c r="D439" t="str" s="2">
        <x:f>=""</x:f>
      </x:c>
      <x:c r="E439" t="str" s="2">
        <x:v>Cynthia Stapleton-Glenn</x:v>
      </x:c>
      <x:c r="F439" t="str" s="2">
        <x:v>Walk-in</x:v>
      </x:c>
      <x:c r="G439" t="str" s="2">
        <x:v>Heritage Housing of Augusta</x:v>
      </x:c>
      <x:c r="H439" t="str" s="2">
        <x:v>Jennifer Johnson</x:v>
      </x:c>
      <x:c r="I439" t="str" s="2">
        <x:v>Karol Romero</x:v>
      </x:c>
      <x:c r="J439" t="str" s="2">
        <x:v>Jennifer Johnson</x:v>
      </x:c>
      <x:c r="K439" t="n" s="2">
        <x:v>5</x:v>
      </x:c>
      <x:c r="L439" t="str" s="2">
        <x:v>1.1</x:v>
      </x:c>
      <x:c r="M439" t="str" s="2">
        <x:v>Active</x:v>
      </x:c>
      <x:c r="N439" t="str" s="2">
        <x:v>Deal Created</x:v>
      </x:c>
      <x:c r="O439" s="0"/>
      <x:c r="P439" s="6">
        <x:v>46230</x:v>
      </x:c>
      <x:c r="Q439" s="6">
        <x:v>46230.636487881944</x:v>
      </x:c>
      <x:c r="R439" s="0"/>
      <x:c r="S439" s="0"/>
      <x:c r="T439" s="0"/>
      <x:c r="U439" s="0"/>
      <x:c r="V439" s="0"/>
      <x:c r="W439" s="0"/>
      <x:c r="X439" t="str" s="2">
        <x:v>7068250586</x:v>
      </x:c>
      <x:c r="Y439" t="str" s="2">
        <x:v>feevag@gmail.com</x:v>
      </x:c>
      <x:c r="Z439" s="0"/>
      <x:c r="AA439" s="0"/>
      <x:c r="AB439" s="6">
        <x:v>46230.62202924769</x:v>
      </x:c>
      <x:c r="AC439" t="n" s="2">
        <x:v>38764</x:v>
      </x:c>
      <x:c r="AD439" s="0"/>
      <x:c r="AE439" s="0"/>
      <x:c r="AF439" s="0"/>
      <x:c r="AG439" s="0"/>
      <x:c r="AH439" s="0"/>
      <x:c r="AI439" s="0"/>
      <x:c r="AJ439" s="0"/>
      <x:c r="AK439" s="0"/>
    </x:row>
    <x:row r="440">
      <x:c r="A440" t="str" s="2">
        <x:f>=HYPERLINK("https://rsms.futurehomex.com/lead/38765", "Deborah Gajewski")</x:f>
      </x:c>
      <x:c r="B440" t="n" s="2">
        <x:v>78</x:v>
      </x:c>
      <x:c r="C440" t="str" s="2">
        <x:v>0/4</x:v>
      </x:c>
      <x:c r="D440" t="str" s="2">
        <x:f>=""</x:f>
      </x:c>
      <x:c r="E440" s="0"/>
      <x:c r="F440" t="str" s="2">
        <x:v>Facebook Messenger</x:v>
      </x:c>
      <x:c r="G440" t="str" s="2">
        <x:v>Heritage Housing of Greenville</x:v>
      </x:c>
      <x:c r="H440" t="str" s="2">
        <x:v>Greg Christman</x:v>
      </x:c>
      <x:c r="I440" s="0"/>
      <x:c r="J440" t="str" s="2">
        <x:v>Greg Christman</x:v>
      </x:c>
      <x:c r="K440" t="n" s="2">
        <x:v>5</x:v>
      </x:c>
      <x:c r="L440" t="str" s="2">
        <x:v>1.1</x:v>
      </x:c>
      <x:c r="M440" t="str" s="2">
        <x:v>Inactive</x:v>
      </x:c>
      <x:c r="N440" t="str" s="2">
        <x:v>Prospect</x:v>
      </x:c>
      <x:c r="O440" s="0"/>
      <x:c r="P440" s="6">
        <x:v>46230</x:v>
      </x:c>
      <x:c r="Q440" s="6">
        <x:v>46230.629706631946</x:v>
      </x:c>
      <x:c r="R440" s="0"/>
      <x:c r="S440" s="6">
        <x:v>46227</x:v>
      </x:c>
      <x:c r="T440" s="0"/>
      <x:c r="U440" s="0"/>
      <x:c r="V440" s="0"/>
      <x:c r="W440" s="0"/>
      <x:c r="X440" t="str" s="2">
        <x:v>2147962100</x:v>
      </x:c>
      <x:c r="Y440" t="str" s="2">
        <x:v>dagaljewski65@gmail.com</x:v>
      </x:c>
      <x:c r="Z440" s="6">
        <x:v>46294.59784059028</x:v>
      </x:c>
      <x:c r="AA440" t="str" s="2">
        <x:v>Greg Christman</x:v>
      </x:c>
      <x:c r="AB440" s="6">
        <x:v>46230.629708796296</x:v>
      </x:c>
      <x:c r="AC440" t="n" s="2">
        <x:v>38765</x:v>
      </x:c>
      <x:c r="AD440" s="0"/>
      <x:c r="AE440" s="0"/>
      <x:c r="AF440" s="0"/>
      <x:c r="AG440" s="0"/>
      <x:c r="AH440" s="0"/>
      <x:c r="AI440" s="0"/>
      <x:c r="AJ440" s="0"/>
      <x:c r="AK440" s="0"/>
    </x:row>
    <x:row r="441">
      <x:c r="A441" t="str" s="2">
        <x:f>=HYPERLINK("https://rsms.futurehomex.com/lead/38766", "Todd Caron")</x:f>
      </x:c>
      <x:c r="B441" t="n" s="2">
        <x:v>78</x:v>
      </x:c>
      <x:c r="C441" t="str" s="2">
        <x:v/>
      </x:c>
      <x:c r="D441" t="str" s="2">
        <x:f>=""</x:f>
      </x:c>
      <x:c r="E441" s="0"/>
      <x:c r="F441" t="str" s="2">
        <x:v>Walk-in</x:v>
      </x:c>
      <x:c r="G441" t="str" s="2">
        <x:v>Heritage Housing of Augusta</x:v>
      </x:c>
      <x:c r="H441" t="str" s="2">
        <x:v>Jennifer Johnson</x:v>
      </x:c>
      <x:c r="I441" s="0"/>
      <x:c r="J441" s="0"/>
      <x:c r="K441" t="n" s="2">
        <x:v>5</x:v>
      </x:c>
      <x:c r="L441" t="str" s="2">
        <x:v>1.1</x:v>
      </x:c>
      <x:c r="M441" t="str" s="2">
        <x:v>Tentative</x:v>
      </x:c>
      <x:c r="N441" t="str" s="2">
        <x:v>Prospect</x:v>
      </x:c>
      <x:c r="O441" s="0"/>
      <x:c r="P441" s="6">
        <x:v>46230</x:v>
      </x:c>
      <x:c r="Q441" s="6">
        <x:v>46230.6356559375</x:v>
      </x:c>
      <x:c r="R441" s="0"/>
      <x:c r="S441" s="0"/>
      <x:c r="T441" s="0"/>
      <x:c r="U441" s="0"/>
      <x:c r="V441" s="0"/>
      <x:c r="W441" s="0"/>
      <x:c r="X441" t="str" s="2">
        <x:v>7063390016</x:v>
      </x:c>
      <x:c r="Y441" t="str" s="2">
        <x:v>tecaron242@gmail.com</x:v>
      </x:c>
      <x:c r="Z441" s="6">
        <x:v>46230.916028125</x:v>
      </x:c>
      <x:c r="AA441" t="str" s="2">
        <x:v>Alex Jones</x:v>
      </x:c>
      <x:c r="AB441" s="6">
        <x:v>46230.635656516206</x:v>
      </x:c>
      <x:c r="AC441" t="n" s="2">
        <x:v>38766</x:v>
      </x:c>
      <x:c r="AD441" s="0"/>
      <x:c r="AE441" s="0"/>
      <x:c r="AF441" s="0"/>
      <x:c r="AG441" s="0"/>
      <x:c r="AH441" s="0"/>
      <x:c r="AI441" s="0"/>
      <x:c r="AJ441" s="0"/>
      <x:c r="AK441" s="0"/>
    </x:row>
    <x:row r="442">
      <x:c r="A442" t="str" s="2">
        <x:f>=HYPERLINK("https://rsms.futurehomex.com/lead/38768", "Kaitlyn Oneal")</x:f>
      </x:c>
      <x:c r="B442" t="n" s="2">
        <x:v>78</x:v>
      </x:c>
      <x:c r="C442" t="str" s="2">
        <x:v>0/6</x:v>
      </x:c>
      <x:c r="D442" t="str" s="2">
        <x:f>=""</x:f>
      </x:c>
      <x:c r="E442" t="str" s="2">
        <x:v>Timothy Braz</x:v>
      </x:c>
      <x:c r="F442" t="str" s="2">
        <x:v>Walk-in</x:v>
      </x:c>
      <x:c r="G442" t="str" s="2">
        <x:v>Heritage Housing of Oklahoma City</x:v>
      </x:c>
      <x:c r="H442" t="str" s="2">
        <x:v>Trey Rixleben</x:v>
      </x:c>
      <x:c r="I442" s="0"/>
      <x:c r="J442" s="0"/>
      <x:c r="K442" t="n" s="2">
        <x:v>38</x:v>
      </x:c>
      <x:c r="L442" t="str" s="2">
        <x:v>3.2</x:v>
      </x:c>
      <x:c r="M442" t="str" s="2">
        <x:v>Dead</x:v>
      </x:c>
      <x:c r="N442" t="str" s="2">
        <x:v>Application</x:v>
      </x:c>
      <x:c r="O442" s="0"/>
      <x:c r="P442" s="6">
        <x:v>46230</x:v>
      </x:c>
      <x:c r="Q442" s="6">
        <x:v>46239.795614386574</x:v>
      </x:c>
      <x:c r="R442" t="str" s="2">
        <x:v>Karla Brizuela</x:v>
      </x:c>
      <x:c r="S442" s="6">
        <x:v>46228</x:v>
      </x:c>
      <x:c r="T442" s="6">
        <x:v>46238</x:v>
      </x:c>
      <x:c r="U442" s="6">
        <x:v>46238</x:v>
      </x:c>
      <x:c r="V442" s="0"/>
      <x:c r="W442" s="0"/>
      <x:c r="X442" t="str" s="2">
        <x:v>4057147453</x:v>
      </x:c>
      <x:c r="Y442" t="str" s="2">
        <x:v>koneal0205@gmail.com</x:v>
      </x:c>
      <x:c r="Z442" s="6">
        <x:v>46247.63927395833</x:v>
      </x:c>
      <x:c r="AA442" t="str" s="2">
        <x:v>Trey Rixleben</x:v>
      </x:c>
      <x:c r="AB442" s="6">
        <x:v>46230.655152465275</x:v>
      </x:c>
      <x:c r="AC442" t="n" s="2">
        <x:v>38768</x:v>
      </x:c>
      <x:c r="AD442" t="str" s="2">
        <x:v>Singlewide</x:v>
      </x:c>
      <x:c r="AE442" s="0"/>
      <x:c r="AF442" s="0"/>
      <x:c r="AG442" s="7">
        <x:v>6000</x:v>
      </x:c>
      <x:c r="AH442" s="0"/>
      <x:c r="AI442" s="0"/>
      <x:c r="AJ442" s="0"/>
      <x:c r="AK442" s="0"/>
    </x:row>
    <x:row r="443">
      <x:c r="A443" t="str" s="2">
        <x:f>=HYPERLINK("https://rsms.futurehomex.com/lead/38769", "Robert Chambers")</x:f>
      </x:c>
      <x:c r="B443" t="n" s="2">
        <x:v>78</x:v>
      </x:c>
      <x:c r="C443" t="str" s="2">
        <x:v/>
      </x:c>
      <x:c r="D443" t="str" s="2">
        <x:f>=""</x:f>
      </x:c>
      <x:c r="E443" s="0"/>
      <x:c r="F443" t="str" s="2">
        <x:v>Walk-in</x:v>
      </x:c>
      <x:c r="G443" t="str" s="2">
        <x:v>Heritage Housing of Asheboro</x:v>
      </x:c>
      <x:c r="H443" t="str" s="2">
        <x:v>Maria Lopez</x:v>
      </x:c>
      <x:c r="I443" s="0"/>
      <x:c r="J443" s="0"/>
      <x:c r="K443" t="n" s="2">
        <x:v>21</x:v>
      </x:c>
      <x:c r="L443" t="str" s="2">
        <x:v>2.1</x:v>
      </x:c>
      <x:c r="M443" t="str" s="2">
        <x:v>Dead</x:v>
      </x:c>
      <x:c r="N443" t="str" s="2">
        <x:v>Qualified</x:v>
      </x:c>
      <x:c r="O443" s="0"/>
      <x:c r="P443" s="6">
        <x:v>46230</x:v>
      </x:c>
      <x:c r="Q443" s="6">
        <x:v>46238.68552734954</x:v>
      </x:c>
      <x:c r="R443" s="0"/>
      <x:c r="S443" s="0"/>
      <x:c r="T443" s="0"/>
      <x:c r="U443" s="0"/>
      <x:c r="V443" s="0"/>
      <x:c r="W443" s="0"/>
      <x:c r="X443" t="str" s="2">
        <x:v>9109955827</x:v>
      </x:c>
      <x:c r="Y443" t="str" s="2">
        <x:v>RC8240173@gmail.com</x:v>
      </x:c>
      <x:c r="Z443" s="6">
        <x:v>46238.68551454861</x:v>
      </x:c>
      <x:c r="AA443" t="str" s="2">
        <x:v>Jeremy Jacques</x:v>
      </x:c>
      <x:c r="AB443" s="6">
        <x:v>46230.68079424769</x:v>
      </x:c>
      <x:c r="AC443" t="n" s="2">
        <x:v>38769</x:v>
      </x:c>
      <x:c r="AD443" s="0"/>
      <x:c r="AE443" s="0"/>
      <x:c r="AF443" s="0"/>
      <x:c r="AG443" s="0"/>
      <x:c r="AH443" s="0"/>
      <x:c r="AI443" s="0"/>
      <x:c r="AJ443" s="0"/>
      <x:c r="AK443" s="0"/>
    </x:row>
    <x:row r="444">
      <x:c r="A444" t="str" s="2">
        <x:f>=HYPERLINK("https://rsms.futurehomex.com/lead/38770", "Jason Beasley")</x:f>
      </x:c>
      <x:c r="B444" t="n" s="2">
        <x:v>78</x:v>
      </x:c>
      <x:c r="C444" t="str" s="2">
        <x:v/>
      </x:c>
      <x:c r="D444" t="str" s="2">
        <x:f>=""</x:f>
      </x:c>
      <x:c r="E444" t="str" s="2">
        <x:v>Brett Savage</x:v>
      </x:c>
      <x:c r="F444" t="str" s="2">
        <x:v>Walk-in</x:v>
      </x:c>
      <x:c r="G444" t="str" s="2">
        <x:v>Heritage Housing of Augusta</x:v>
      </x:c>
      <x:c r="H444" t="str" s="2">
        <x:v>Jennifer Johnson</x:v>
      </x:c>
      <x:c r="I444" t="str" s="2">
        <x:v>Karol Romero</x:v>
      </x:c>
      <x:c r="J444" t="str" s="2">
        <x:v>Jennifer Johnson</x:v>
      </x:c>
      <x:c r="K444" t="n" s="2">
        <x:v>5</x:v>
      </x:c>
      <x:c r="L444" t="str" s="2">
        <x:v>1.1</x:v>
      </x:c>
      <x:c r="M444" t="str" s="2">
        <x:v>Active</x:v>
      </x:c>
      <x:c r="N444" t="str" s="2">
        <x:v>Deal Created</x:v>
      </x:c>
      <x:c r="O444" s="0"/>
      <x:c r="P444" s="6">
        <x:v>46230</x:v>
      </x:c>
      <x:c r="Q444" s="6">
        <x:v>46230.73236736111</x:v>
      </x:c>
      <x:c r="R444" s="0"/>
      <x:c r="S444" s="6">
        <x:v>46230</x:v>
      </x:c>
      <x:c r="T444" s="0"/>
      <x:c r="U444" s="0"/>
      <x:c r="V444" s="0"/>
      <x:c r="W444" s="0"/>
      <x:c r="X444" t="str" s="2">
        <x:v>7067260703</x:v>
      </x:c>
      <x:c r="Y444" t="str" s="2">
        <x:v>beasleyswrecker87@gmail.com</x:v>
      </x:c>
      <x:c r="Z444" s="6">
        <x:v>46231.54942739583</x:v>
      </x:c>
      <x:c r="AA444" t="str" s="2">
        <x:v>Alex Jones</x:v>
      </x:c>
      <x:c r="AB444" s="6">
        <x:v>46230.68172986111</x:v>
      </x:c>
      <x:c r="AC444" t="n" s="2">
        <x:v>38770</x:v>
      </x:c>
      <x:c r="AD444" s="0"/>
      <x:c r="AE444" s="0"/>
      <x:c r="AF444" s="0"/>
      <x:c r="AG444" s="0"/>
      <x:c r="AH444" s="0"/>
      <x:c r="AI444" s="0"/>
      <x:c r="AJ444" s="0"/>
      <x:c r="AK444" s="0"/>
    </x:row>
    <x:row r="445">
      <x:c r="A445" t="str" s="2">
        <x:f>=HYPERLINK("https://rsms.futurehomex.com/lead/38771", "Norly Miguel Amaya")</x:f>
      </x:c>
      <x:c r="B445" t="n" s="2">
        <x:v>78</x:v>
      </x:c>
      <x:c r="C445" t="str" s="2">
        <x:v>0/8</x:v>
      </x:c>
      <x:c r="D445" t="str" s="2">
        <x:f>=""</x:f>
      </x:c>
      <x:c r="E445" t="str" s="2">
        <x:v>Reina Yadira Paredes Gomez</x:v>
      </x:c>
      <x:c r="F445" t="str" s="2">
        <x:v>Office Hot Calls</x:v>
      </x:c>
      <x:c r="G445" t="str" s="2">
        <x:v>Legacy Housing Corp. DBA Americasa</x:v>
      </x:c>
      <x:c r="H445" t="str" s="2">
        <x:v>Jose Parada</x:v>
      </x:c>
      <x:c r="I445" t="str" s="2">
        <x:v>Karol Romero</x:v>
      </x:c>
      <x:c r="J445" s="0"/>
      <x:c r="K445" t="n" s="2">
        <x:v>5</x:v>
      </x:c>
      <x:c r="L445" t="str" s="2">
        <x:v>1.1</x:v>
      </x:c>
      <x:c r="M445" t="str" s="2">
        <x:v>Tentative</x:v>
      </x:c>
      <x:c r="N445" t="str" s="2">
        <x:v>Prospect</x:v>
      </x:c>
      <x:c r="O445" s="0"/>
      <x:c r="P445" s="6">
        <x:v>46230</x:v>
      </x:c>
      <x:c r="Q445" s="6">
        <x:v>46232.815677858795</x:v>
      </x:c>
      <x:c r="R445" s="0"/>
      <x:c r="S445" s="6">
        <x:v>46232</x:v>
      </x:c>
      <x:c r="T445" s="0"/>
      <x:c r="U445" s="0"/>
      <x:c r="V445" s="0"/>
      <x:c r="W445" s="0"/>
      <x:c r="X445" t="str" s="2">
        <x:v>3468224041</x:v>
      </x:c>
      <x:c r="Y445" t="str" s="2">
        <x:v>norlyamaya9@gmail.com</x:v>
      </x:c>
      <x:c r="Z445" s="6">
        <x:v>46248.86486195602</x:v>
      </x:c>
      <x:c r="AA445" t="str" s="2">
        <x:v>Victoria Sanchez</x:v>
      </x:c>
      <x:c r="AB445" s="6">
        <x:v>46230.69314077546</x:v>
      </x:c>
      <x:c r="AC445" t="n" s="2">
        <x:v>38771</x:v>
      </x:c>
      <x:c r="AD445" s="0"/>
      <x:c r="AE445" s="0"/>
      <x:c r="AF445" s="0"/>
      <x:c r="AG445" s="7">
        <x:v>20000</x:v>
      </x:c>
      <x:c r="AH445" s="0"/>
      <x:c r="AI445" s="0"/>
      <x:c r="AJ445" s="0"/>
      <x:c r="AK445" s="0"/>
    </x:row>
    <x:row r="446">
      <x:c r="A446" t="str" s="2">
        <x:f>=HYPERLINK("https://rsms.futurehomex.com/lead/38772", "Jeff Morris")</x:f>
      </x:c>
      <x:c r="B446" t="n" s="2">
        <x:v>78</x:v>
      </x:c>
      <x:c r="C446" t="str" s="2">
        <x:v/>
      </x:c>
      <x:c r="D446" t="str" s="2">
        <x:f>=""</x:f>
      </x:c>
      <x:c r="E446" s="0"/>
      <x:c r="F446" t="str" s="2">
        <x:v>Walk-in</x:v>
      </x:c>
      <x:c r="G446" t="str" s="2">
        <x:v>Heritage Housing of Asheboro</x:v>
      </x:c>
      <x:c r="H446" t="str" s="2">
        <x:v>Maria Lopez</x:v>
      </x:c>
      <x:c r="I446" s="0"/>
      <x:c r="J446" s="0"/>
      <x:c r="K446" t="n" s="2">
        <x:v>21</x:v>
      </x:c>
      <x:c r="L446" t="str" s="2">
        <x:v>2.1</x:v>
      </x:c>
      <x:c r="M446" t="str" s="2">
        <x:v>Tentative</x:v>
      </x:c>
      <x:c r="N446" t="str" s="2">
        <x:v>Qualified</x:v>
      </x:c>
      <x:c r="O446" s="0"/>
      <x:c r="P446" s="6">
        <x:v>46230</x:v>
      </x:c>
      <x:c r="Q446" s="6">
        <x:v>46238.68692716435</x:v>
      </x:c>
      <x:c r="R446" s="0"/>
      <x:c r="S446" s="0"/>
      <x:c r="T446" s="0"/>
      <x:c r="U446" s="0"/>
      <x:c r="V446" s="0"/>
      <x:c r="W446" s="0"/>
      <x:c r="X446" t="str" s="2">
        <x:v>9108822380</x:v>
      </x:c>
      <x:c r="Y446" t="str" s="2">
        <x:v>flounder1226@gmail.com</x:v>
      </x:c>
      <x:c r="Z446" s="6">
        <x:v>46238.68691369213</x:v>
      </x:c>
      <x:c r="AA446" t="str" s="2">
        <x:v>Jeremy Jacques</x:v>
      </x:c>
      <x:c r="AB446" s="6">
        <x:v>46230.69605185185</x:v>
      </x:c>
      <x:c r="AC446" t="n" s="2">
        <x:v>38772</x:v>
      </x:c>
      <x:c r="AD446" s="0"/>
      <x:c r="AE446" s="0"/>
      <x:c r="AF446" s="0"/>
      <x:c r="AG446" s="0"/>
      <x:c r="AH446" s="0"/>
      <x:c r="AI446" s="0"/>
      <x:c r="AJ446" s="0"/>
      <x:c r="AK446" s="0"/>
    </x:row>
    <x:row r="447">
      <x:c r="A447" t="str" s="2">
        <x:f>=HYPERLINK("https://rsms.futurehomex.com/lead/38773", "Tonya Ingle")</x:f>
      </x:c>
      <x:c r="B447" t="n" s="2">
        <x:v>78</x:v>
      </x:c>
      <x:c r="C447" t="str" s="2">
        <x:v/>
      </x:c>
      <x:c r="D447" t="str" s="2">
        <x:f>=""</x:f>
      </x:c>
      <x:c r="E447" s="0"/>
      <x:c r="F447" t="str" s="2">
        <x:v>Office Hot Calls</x:v>
      </x:c>
      <x:c r="G447" t="str" s="2">
        <x:v>Heritage Housing of Asheboro</x:v>
      </x:c>
      <x:c r="H447" t="str" s="2">
        <x:v>Maria Lopez</x:v>
      </x:c>
      <x:c r="I447" t="str" s="2">
        <x:v>Karol Romero</x:v>
      </x:c>
      <x:c r="J447" t="str" s="2">
        <x:v>Maria Lopez</x:v>
      </x:c>
      <x:c r="K447" t="n" s="2">
        <x:v>21</x:v>
      </x:c>
      <x:c r="L447" t="str" s="2">
        <x:v>2.1</x:v>
      </x:c>
      <x:c r="M447" t="str" s="2">
        <x:v>Tentative</x:v>
      </x:c>
      <x:c r="N447" t="str" s="2">
        <x:v>Qualified</x:v>
      </x:c>
      <x:c r="O447" s="0"/>
      <x:c r="P447" s="6">
        <x:v>46230</x:v>
      </x:c>
      <x:c r="Q447" s="6">
        <x:v>46238.68300679398</x:v>
      </x:c>
      <x:c r="R447" s="0"/>
      <x:c r="S447" s="6">
        <x:v>46230</x:v>
      </x:c>
      <x:c r="T447" s="0"/>
      <x:c r="U447" s="0"/>
      <x:c r="V447" s="0"/>
      <x:c r="W447" s="0"/>
      <x:c r="X447" t="str" s="2">
        <x:v>7436436013</x:v>
      </x:c>
      <x:c r="Y447" t="str" s="2">
        <x:v>tshoeswork@yahoo.com</x:v>
      </x:c>
      <x:c r="Z447" s="6">
        <x:v>46238.6829909375</x:v>
      </x:c>
      <x:c r="AA447" t="str" s="2">
        <x:v>Jeremy Jacques</x:v>
      </x:c>
      <x:c r="AB447" s="6">
        <x:v>46230.71054583333</x:v>
      </x:c>
      <x:c r="AC447" t="n" s="2">
        <x:v>38773</x:v>
      </x:c>
      <x:c r="AD447" s="0"/>
      <x:c r="AE447" s="0"/>
      <x:c r="AF447" s="0"/>
      <x:c r="AG447" s="0"/>
      <x:c r="AH447" s="0"/>
      <x:c r="AI447" s="0"/>
      <x:c r="AJ447" s="0"/>
      <x:c r="AK447" s="0"/>
    </x:row>
    <x:row r="448">
      <x:c r="A448" t="str" s="2">
        <x:f>=HYPERLINK("https://rsms.futurehomex.com/lead/38774", "Hector Barrera")</x:f>
      </x:c>
      <x:c r="B448" t="n" s="2">
        <x:v>78</x:v>
      </x:c>
      <x:c r="C448" t="str" s="2">
        <x:v/>
      </x:c>
      <x:c r="D448" t="str" s="2">
        <x:f>=""</x:f>
      </x:c>
      <x:c r="E448" s="0"/>
      <x:c r="F448" t="str" s="2">
        <x:v>Meta Ads - Messenger</x:v>
      </x:c>
      <x:c r="G448" t="str" s="2">
        <x:v>Heritage Housing Mt Pleasant</x:v>
      </x:c>
      <x:c r="H448" t="str" s="2">
        <x:v>Sandra Saldana</x:v>
      </x:c>
      <x:c r="I448" s="0"/>
      <x:c r="J448" t="str" s="2">
        <x:v>Sandra Saldana</x:v>
      </x:c>
      <x:c r="K448" t="n" s="2">
        <x:v>5</x:v>
      </x:c>
      <x:c r="L448" t="str" s="2">
        <x:v>1.1</x:v>
      </x:c>
      <x:c r="M448" t="str" s="2">
        <x:v>Tentative</x:v>
      </x:c>
      <x:c r="N448" t="str" s="2">
        <x:v>Deal Created</x:v>
      </x:c>
      <x:c r="O448" s="0"/>
      <x:c r="P448" s="6">
        <x:v>46230</x:v>
      </x:c>
      <x:c r="Q448" s="6">
        <x:v>46230.71567769676</x:v>
      </x:c>
      <x:c r="R448" s="0"/>
      <x:c r="S448" s="0"/>
      <x:c r="T448" s="0"/>
      <x:c r="U448" s="0"/>
      <x:c r="V448" s="0"/>
      <x:c r="W448" s="0"/>
      <x:c r="X448" t="str" s="2">
        <x:v>9033055850</x:v>
      </x:c>
      <x:c r="Y448" t="str" s="2">
        <x:v>9033055850</x:v>
      </x:c>
      <x:c r="Z448" s="0"/>
      <x:c r="AA448" s="0"/>
      <x:c r="AB448" s="6">
        <x:v>46230.715679016204</x:v>
      </x:c>
      <x:c r="AC448" t="n" s="2">
        <x:v>38774</x:v>
      </x:c>
      <x:c r="AD448" s="0"/>
      <x:c r="AE448" s="0"/>
      <x:c r="AF448" s="0"/>
      <x:c r="AG448" s="0"/>
      <x:c r="AH448" s="0"/>
      <x:c r="AI448" s="0"/>
      <x:c r="AJ448" s="0"/>
      <x:c r="AK448" s="0"/>
    </x:row>
    <x:row r="449">
      <x:c r="A449" t="str" s="2">
        <x:f>=HYPERLINK("https://rsms.futurehomex.com/lead/38777", "Mark Cantrell")</x:f>
      </x:c>
      <x:c r="B449" t="n" s="2">
        <x:v>78</x:v>
      </x:c>
      <x:c r="C449" t="str" s="2">
        <x:v>0/1</x:v>
      </x:c>
      <x:c r="D449" t="str" s="2">
        <x:f>=""</x:f>
      </x:c>
      <x:c r="E449" s="0"/>
      <x:c r="F449" t="str" s="2">
        <x:v>Office Hot Calls</x:v>
      </x:c>
      <x:c r="G449" t="str" s="2">
        <x:v>Heritage Housing of Minden</x:v>
      </x:c>
      <x:c r="H449" t="str" s="2">
        <x:v>Patrick Schuchart</x:v>
      </x:c>
      <x:c r="I449" t="str" s="2">
        <x:v>Karol Romero</x:v>
      </x:c>
      <x:c r="J449" t="str" s="2">
        <x:v>Patrick Schuchart</x:v>
      </x:c>
      <x:c r="K449" t="n" s="2">
        <x:v>5</x:v>
      </x:c>
      <x:c r="L449" t="str" s="2">
        <x:v>1.1</x:v>
      </x:c>
      <x:c r="M449" t="str" s="2">
        <x:v>Active</x:v>
      </x:c>
      <x:c r="N449" t="str" s="2">
        <x:v>Deal Created</x:v>
      </x:c>
      <x:c r="O449" s="0"/>
      <x:c r="P449" s="6">
        <x:v>46230</x:v>
      </x:c>
      <x:c r="Q449" s="6">
        <x:v>46230.813649270836</x:v>
      </x:c>
      <x:c r="R449" s="0"/>
      <x:c r="S449" s="0"/>
      <x:c r="T449" s="0"/>
      <x:c r="U449" s="0"/>
      <x:c r="V449" s="0"/>
      <x:c r="W449" s="0"/>
      <x:c r="X449" t="str" s="2">
        <x:v>3186280227</x:v>
      </x:c>
      <x:c r="Y449" t="str" s="2">
        <x:v>3186280227</x:v>
      </x:c>
      <x:c r="Z449" s="6">
        <x:v>46295.87737931713</x:v>
      </x:c>
      <x:c r="AA449" t="str" s="2">
        <x:v>Kyla Brown</x:v>
      </x:c>
      <x:c r="AB449" s="6">
        <x:v>46230.76674375</x:v>
      </x:c>
      <x:c r="AC449" t="n" s="2">
        <x:v>38777</x:v>
      </x:c>
      <x:c r="AD449" s="0"/>
      <x:c r="AE449" s="0"/>
      <x:c r="AF449" s="0"/>
      <x:c r="AG449" s="0"/>
      <x:c r="AH449" s="0"/>
      <x:c r="AI449" t="str" s="2" xml:space="preserve">
        <x:v>800 </x:v>
      </x:c>
      <x:c r="AJ449" s="0"/>
      <x:c r="AK449" s="0"/>
    </x:row>
    <x:row r="450">
      <x:c r="A450" t="str" s="2">
        <x:f>=HYPERLINK("https://rsms.futurehomex.com/lead/38778", "Karla Anchondo")</x:f>
      </x:c>
      <x:c r="B450" t="n" s="2">
        <x:v>78</x:v>
      </x:c>
      <x:c r="C450" t="str" s="2">
        <x:v>0/1</x:v>
      </x:c>
      <x:c r="D450" t="str" s="2">
        <x:f>=""</x:f>
      </x:c>
      <x:c r="E450" t="str" s="2">
        <x:v>Jason West</x:v>
      </x:c>
      <x:c r="F450" t="str" s="2">
        <x:v>Other</x:v>
      </x:c>
      <x:c r="G450" t="str" s="2">
        <x:v>Heritage Housing Marble Falls</x:v>
      </x:c>
      <x:c r="H450" t="str" s="2">
        <x:v>Stephen Sanders</x:v>
      </x:c>
      <x:c r="I450" s="0"/>
      <x:c r="J450" t="str" s="2">
        <x:v>Stephen Sanders</x:v>
      </x:c>
      <x:c r="K450" t="n" s="2">
        <x:v>38</x:v>
      </x:c>
      <x:c r="L450" t="str" s="2">
        <x:v>3.2</x:v>
      </x:c>
      <x:c r="M450" t="str" s="2">
        <x:v>Inactive</x:v>
      </x:c>
      <x:c r="N450" t="str" s="2">
        <x:v>Application</x:v>
      </x:c>
      <x:c r="O450" s="0"/>
      <x:c r="P450" s="6">
        <x:v>46230</x:v>
      </x:c>
      <x:c r="Q450" s="6">
        <x:v>46241.725039351855</x:v>
      </x:c>
      <x:c r="R450" s="0"/>
      <x:c r="S450" s="0"/>
      <x:c r="T450" s="0"/>
      <x:c r="U450" s="0"/>
      <x:c r="V450" s="0"/>
      <x:c r="W450" s="0"/>
      <x:c r="X450" t="str" s="2">
        <x:v>5122342338</x:v>
      </x:c>
      <x:c r="Y450" t="str" s="2">
        <x:v>Karlaandjay325@gmail.com</x:v>
      </x:c>
      <x:c r="Z450" s="6">
        <x:v>46288.67698700231</x:v>
      </x:c>
      <x:c r="AA450" t="str" s="2">
        <x:v>Stephen Sanders</x:v>
      </x:c>
      <x:c r="AB450" s="6">
        <x:v>46230.775950497686</x:v>
      </x:c>
      <x:c r="AC450" t="n" s="2">
        <x:v>38778</x:v>
      </x:c>
      <x:c r="AD450" t="str" s="2">
        <x:v>Doublewide</x:v>
      </x:c>
      <x:c r="AE450" s="0"/>
      <x:c r="AF450" s="0"/>
      <x:c r="AG450" s="7">
        <x:v>6501</x:v>
      </x:c>
      <x:c r="AH450" s="0"/>
      <x:c r="AI450" t="str" s="2">
        <x:v>629</x:v>
      </x:c>
      <x:c r="AJ450" s="0"/>
      <x:c r="AK450" s="0"/>
    </x:row>
    <x:row r="451">
      <x:c r="A451" t="str" s="2">
        <x:f>=HYPERLINK("https://rsms.futurehomex.com/lead/38779", "Timothy Youngberg")</x:f>
      </x:c>
      <x:c r="B451" t="n" s="2">
        <x:v>78</x:v>
      </x:c>
      <x:c r="C451" t="str" s="2">
        <x:v>0/2</x:v>
      </x:c>
      <x:c r="D451" t="str" s="2">
        <x:f>=""</x:f>
      </x:c>
      <x:c r="E451" s="0"/>
      <x:c r="F451" t="str" s="2">
        <x:v>Facebook Messenger</x:v>
      </x:c>
      <x:c r="G451" t="str" s="2">
        <x:v>Heritage Housing of Oklahoma City</x:v>
      </x:c>
      <x:c r="H451" t="str" s="2">
        <x:v>Trey Rixleben</x:v>
      </x:c>
      <x:c r="I451" s="0"/>
      <x:c r="J451" s="0"/>
      <x:c r="K451" t="n" s="2">
        <x:v>5</x:v>
      </x:c>
      <x:c r="L451" t="str" s="2">
        <x:v>1.1</x:v>
      </x:c>
      <x:c r="M451" t="str" s="2">
        <x:v>Inactive</x:v>
      </x:c>
      <x:c r="N451" t="str" s="2">
        <x:v>Deal Created</x:v>
      </x:c>
      <x:c r="O451" s="0"/>
      <x:c r="P451" s="6">
        <x:v>46230</x:v>
      </x:c>
      <x:c r="Q451" s="6">
        <x:v>46252.59905170139</x:v>
      </x:c>
      <x:c r="R451" s="0"/>
      <x:c r="S451" s="0"/>
      <x:c r="T451" s="0"/>
      <x:c r="U451" s="0"/>
      <x:c r="V451" s="0"/>
      <x:c r="W451" s="0"/>
      <x:c r="X451" t="str" s="2">
        <x:v>9185413995</x:v>
      </x:c>
      <x:c r="Y451" t="str" s="2">
        <x:v>timyoungberg@rocketmail.com</x:v>
      </x:c>
      <x:c r="Z451" s="6">
        <x:v>46261.611221875</x:v>
      </x:c>
      <x:c r="AA451" t="str" s="2">
        <x:v>Trey Rixleben</x:v>
      </x:c>
      <x:c r="AB451" s="6">
        <x:v>46230.78948082176</x:v>
      </x:c>
      <x:c r="AC451" t="n" s="2">
        <x:v>38779</x:v>
      </x:c>
      <x:c r="AD451" s="0"/>
      <x:c r="AE451" s="0"/>
      <x:c r="AF451" s="0"/>
      <x:c r="AG451" s="0"/>
      <x:c r="AH451" s="0"/>
      <x:c r="AI451" s="0"/>
      <x:c r="AJ451" s="0"/>
      <x:c r="AK451" s="0"/>
    </x:row>
    <x:row r="452">
      <x:c r="A452" t="str" s="2">
        <x:f>=HYPERLINK("https://rsms.futurehomex.com/lead/38782", "Joseph Eligh")</x:f>
      </x:c>
      <x:c r="B452" t="n" s="2">
        <x:v>78</x:v>
      </x:c>
      <x:c r="C452" t="str" s="2">
        <x:v>0/1</x:v>
      </x:c>
      <x:c r="D452" t="str" s="2">
        <x:f>=""</x:f>
      </x:c>
      <x:c r="E452" s="0"/>
      <x:c r="F452" t="str" s="2">
        <x:v>Walk-in</x:v>
      </x:c>
      <x:c r="G452" t="str" s="2">
        <x:v>Heritage Housing of Minden</x:v>
      </x:c>
      <x:c r="H452" t="str" s="2">
        <x:v>Patrick Schuchart</x:v>
      </x:c>
      <x:c r="I452" t="str" s="2">
        <x:v>Karol Romero</x:v>
      </x:c>
      <x:c r="J452" t="str" s="2">
        <x:v>Patrick Schuchart</x:v>
      </x:c>
      <x:c r="K452" t="n" s="2">
        <x:v>5</x:v>
      </x:c>
      <x:c r="L452" t="str" s="2">
        <x:v>1.1</x:v>
      </x:c>
      <x:c r="M452" t="str" s="2">
        <x:v>Active</x:v>
      </x:c>
      <x:c r="N452" t="str" s="2">
        <x:v>Deal Created</x:v>
      </x:c>
      <x:c r="O452" s="0"/>
      <x:c r="P452" s="6">
        <x:v>46230</x:v>
      </x:c>
      <x:c r="Q452" s="6">
        <x:v>46230.818326851855</x:v>
      </x:c>
      <x:c r="R452" s="0"/>
      <x:c r="S452" s="6">
        <x:v>46230</x:v>
      </x:c>
      <x:c r="T452" s="0"/>
      <x:c r="U452" s="0"/>
      <x:c r="V452" s="0"/>
      <x:c r="W452" s="0"/>
      <x:c r="X452" t="str" s="2">
        <x:v>3185501176</x:v>
      </x:c>
      <x:c r="Y452" t="str" s="2">
        <x:v>3185501176</x:v>
      </x:c>
      <x:c r="Z452" s="6">
        <x:v>46239.945737766204</x:v>
      </x:c>
      <x:c r="AA452" t="str" s="2">
        <x:v>Kyla Brown</x:v>
      </x:c>
      <x:c r="AB452" s="6">
        <x:v>46230.81594436343</x:v>
      </x:c>
      <x:c r="AC452" t="n" s="2">
        <x:v>38782</x:v>
      </x:c>
      <x:c r="AD452" s="0"/>
      <x:c r="AE452" s="0"/>
      <x:c r="AF452" s="0"/>
      <x:c r="AG452" s="0"/>
      <x:c r="AH452" s="0"/>
      <x:c r="AI452" s="0"/>
      <x:c r="AJ452" s="0"/>
      <x:c r="AK452" s="0"/>
    </x:row>
    <x:row r="453">
      <x:c r="A453" t="str" s="2">
        <x:f>=HYPERLINK("https://rsms.futurehomex.com/lead/38784", "James Stoddard")</x:f>
      </x:c>
      <x:c r="B453" t="n" s="2">
        <x:v>78</x:v>
      </x:c>
      <x:c r="C453" t="str" s="2">
        <x:v>1/5</x:v>
      </x:c>
      <x:c r="D453" t="str" s="2">
        <x:f>=""</x:f>
      </x:c>
      <x:c r="E453" s="0"/>
      <x:c r="F453" t="str" s="2">
        <x:v>Meta Ads - Forms</x:v>
      </x:c>
      <x:c r="G453" t="str" s="2">
        <x:v>Heritage Housing of Jennings</x:v>
      </x:c>
      <x:c r="H453" t="str" s="2">
        <x:v>Clint O'Neal</x:v>
      </x:c>
      <x:c r="I453" s="0"/>
      <x:c r="J453" t="str" s="2">
        <x:v>Clint O'Neal</x:v>
      </x:c>
      <x:c r="K453" t="n" s="2">
        <x:v>5</x:v>
      </x:c>
      <x:c r="L453" t="str" s="2">
        <x:v>1.1</x:v>
      </x:c>
      <x:c r="M453" t="str" s="2">
        <x:v>Tentative</x:v>
      </x:c>
      <x:c r="N453" t="str" s="2">
        <x:v>Deal Created</x:v>
      </x:c>
      <x:c r="O453" s="0"/>
      <x:c r="P453" s="6">
        <x:v>46230</x:v>
      </x:c>
      <x:c r="Q453" s="6">
        <x:v>46230.83287734954</x:v>
      </x:c>
      <x:c r="R453" s="0"/>
      <x:c r="S453" s="0"/>
      <x:c r="T453" s="0"/>
      <x:c r="U453" s="0"/>
      <x:c r="V453" s="0"/>
      <x:c r="W453" s="0"/>
      <x:c r="X453" t="str" s="2">
        <x:v>9855079945</x:v>
      </x:c>
      <x:c r="Y453" t="str" s="2">
        <x:v>stoddard_james@icloud.com</x:v>
      </x:c>
      <x:c r="Z453" s="6">
        <x:v>46302.661599039355</x:v>
      </x:c>
      <x:c r="AA453" t="str" s="2">
        <x:v>Clint O'Neal</x:v>
      </x:c>
      <x:c r="AB453" s="6">
        <x:v>46230.832877974535</x:v>
      </x:c>
      <x:c r="AC453" t="n" s="2">
        <x:v>38784</x:v>
      </x:c>
      <x:c r="AD453" s="0"/>
      <x:c r="AE453" s="0"/>
      <x:c r="AF453" s="0"/>
      <x:c r="AG453" s="0"/>
      <x:c r="AH453" s="0"/>
      <x:c r="AI453" s="0"/>
      <x:c r="AJ453" s="0"/>
      <x:c r="AK453" s="0"/>
    </x:row>
    <x:row r="454">
      <x:c r="A454" t="str" s="2">
        <x:f>=HYPERLINK("https://rsms.futurehomex.com/lead/38785", "Tennie Clark")</x:f>
      </x:c>
      <x:c r="B454" t="n" s="2">
        <x:v>78</x:v>
      </x:c>
      <x:c r="C454" t="str" s="2">
        <x:v>1/3</x:v>
      </x:c>
      <x:c r="D454" t="str" s="2">
        <x:f>=""</x:f>
      </x:c>
      <x:c r="E454" s="0"/>
      <x:c r="F454" t="str" s="2">
        <x:v>Walk-in</x:v>
      </x:c>
      <x:c r="G454" t="str" s="2">
        <x:v>Heritage Housing of Oklahoma City</x:v>
      </x:c>
      <x:c r="H454" t="str" s="2">
        <x:v>Alejandra Calderon</x:v>
      </x:c>
      <x:c r="I454" t="str" s="2">
        <x:v>Karol Romero</x:v>
      </x:c>
      <x:c r="J454" t="str" s="2">
        <x:v>Steve Castell</x:v>
      </x:c>
      <x:c r="K454" t="n" s="2">
        <x:v>5</x:v>
      </x:c>
      <x:c r="L454" t="str" s="2">
        <x:v>1.1</x:v>
      </x:c>
      <x:c r="M454" t="str" s="2">
        <x:v>Tentative</x:v>
      </x:c>
      <x:c r="N454" t="str" s="2">
        <x:v>Deal Created</x:v>
      </x:c>
      <x:c r="O454" s="0"/>
      <x:c r="P454" s="6">
        <x:v>46230</x:v>
      </x:c>
      <x:c r="Q454" s="6">
        <x:v>46294.994376967596</x:v>
      </x:c>
      <x:c r="R454" s="0"/>
      <x:c r="S454" s="0"/>
      <x:c r="T454" s="0"/>
      <x:c r="U454" s="0"/>
      <x:c r="V454" s="0"/>
      <x:c r="W454" s="0"/>
      <x:c r="X454" t="str" s="2">
        <x:v>9189173532</x:v>
      </x:c>
      <x:c r="Y454" t="str" s="2">
        <x:v>tennieclark@gmail.com</x:v>
      </x:c>
      <x:c r="Z454" s="6">
        <x:v>46301.99779444445</x:v>
      </x:c>
      <x:c r="AA454" t="str" s="2">
        <x:v>Alejandra Calderon</x:v>
      </x:c>
      <x:c r="AB454" s="6">
        <x:v>46230.836672488425</x:v>
      </x:c>
      <x:c r="AC454" t="n" s="2">
        <x:v>38785</x:v>
      </x:c>
      <x:c r="AD454" s="0"/>
      <x:c r="AE454" s="0"/>
      <x:c r="AF454" s="0"/>
      <x:c r="AG454" s="0"/>
      <x:c r="AH454" s="0"/>
      <x:c r="AI454" s="0"/>
      <x:c r="AJ454" s="0"/>
      <x:c r="AK454" s="0"/>
    </x:row>
    <x:row r="455">
      <x:c r="A455" t="str" s="2">
        <x:f>=HYPERLINK("https://rsms.futurehomex.com/lead/38786", "Ashley Murphy")</x:f>
      </x:c>
      <x:c r="B455" t="n" s="2">
        <x:v>78</x:v>
      </x:c>
      <x:c r="C455" t="str" s="2">
        <x:v/>
      </x:c>
      <x:c r="D455" t="str" s="2">
        <x:f>=""</x:f>
      </x:c>
      <x:c r="E455" s="0"/>
      <x:c r="F455" t="str" s="2">
        <x:v>Walk-in</x:v>
      </x:c>
      <x:c r="G455" t="str" s="2">
        <x:v>Heritage Housing Mt Pleasant</x:v>
      </x:c>
      <x:c r="H455" t="str" s="2">
        <x:v>Yarelis Torres</x:v>
      </x:c>
      <x:c r="I455" s="0"/>
      <x:c r="J455" t="str" s="2">
        <x:v>Yarelis Torres</x:v>
      </x:c>
      <x:c r="K455" t="n" s="2">
        <x:v>5</x:v>
      </x:c>
      <x:c r="L455" t="str" s="2">
        <x:v>1.1</x:v>
      </x:c>
      <x:c r="M455" t="str" s="2">
        <x:v>Tentative</x:v>
      </x:c>
      <x:c r="N455" t="str" s="2">
        <x:v>Deal Created</x:v>
      </x:c>
      <x:c r="O455" s="0"/>
      <x:c r="P455" s="6">
        <x:v>46230</x:v>
      </x:c>
      <x:c r="Q455" s="6">
        <x:v>46230.84445628472</x:v>
      </x:c>
      <x:c r="R455" s="0"/>
      <x:c r="S455" s="0"/>
      <x:c r="T455" s="0"/>
      <x:c r="U455" s="0"/>
      <x:c r="V455" s="0"/>
      <x:c r="W455" s="0"/>
      <x:c r="X455" t="str" s="2">
        <x:v>9032352110</x:v>
      </x:c>
      <x:c r="Y455" t="str" s="2">
        <x:v>easttexascleaning10@outlook.com</x:v>
      </x:c>
      <x:c r="Z455" s="0"/>
      <x:c r="AA455" s="0"/>
      <x:c r="AB455" s="6">
        <x:v>46230.84445778935</x:v>
      </x:c>
      <x:c r="AC455" t="n" s="2">
        <x:v>38786</x:v>
      </x:c>
      <x:c r="AD455" s="0"/>
      <x:c r="AE455" s="0"/>
      <x:c r="AF455" s="0"/>
      <x:c r="AG455" s="0"/>
      <x:c r="AH455" s="0"/>
      <x:c r="AI455" s="0"/>
      <x:c r="AJ455" s="0"/>
      <x:c r="AK455" s="0"/>
    </x:row>
    <x:row r="456">
      <x:c r="A456" t="str" s="2">
        <x:f>=HYPERLINK("https://rsms.futurehomex.com/lead/38788", "Steven Johnson")</x:f>
      </x:c>
      <x:c r="B456" t="n" s="2">
        <x:v>78</x:v>
      </x:c>
      <x:c r="C456" t="str" s="2">
        <x:v>0/7</x:v>
      </x:c>
      <x:c r="D456" t="str" s="2">
        <x:f>="38788"</x:f>
      </x:c>
      <x:c r="E456" s="0"/>
      <x:c r="F456" t="str" s="2">
        <x:v>Meta Marketplace</x:v>
      </x:c>
      <x:c r="G456" t="str" s="2">
        <x:v>Heritage Housing of Minden</x:v>
      </x:c>
      <x:c r="H456" t="str" s="2">
        <x:v>Patrick Schuchart</x:v>
      </x:c>
      <x:c r="I456" t="str" s="2">
        <x:v>Karol Romero</x:v>
      </x:c>
      <x:c r="J456" t="str" s="2">
        <x:v>Patrick Schuchart</x:v>
      </x:c>
      <x:c r="K456" t="n" s="2">
        <x:v>59</x:v>
      </x:c>
      <x:c r="L456" t="str" s="2">
        <x:v>4.3</x:v>
      </x:c>
      <x:c r="M456" t="str" s="2">
        <x:v>Dead</x:v>
      </x:c>
      <x:c r="N456" t="str" s="2">
        <x:v>Loan Approved</x:v>
      </x:c>
      <x:c r="O456" s="0"/>
      <x:c r="P456" s="6">
        <x:v>46230</x:v>
      </x:c>
      <x:c r="Q456" s="6">
        <x:v>46239.79285424769</x:v>
      </x:c>
      <x:c r="R456" t="str" s="2">
        <x:v>Patrick Schuchart</x:v>
      </x:c>
      <x:c r="S456" s="0"/>
      <x:c r="T456" s="6">
        <x:v>46230</x:v>
      </x:c>
      <x:c r="U456" s="6">
        <x:v>46238</x:v>
      </x:c>
      <x:c r="V456" s="6">
        <x:v>46238</x:v>
      </x:c>
      <x:c r="W456" s="0"/>
      <x:c r="X456" t="str" s="2">
        <x:v>6623166790</x:v>
      </x:c>
      <x:c r="Y456" t="str" s="2">
        <x:v>johnsons5922@gmail.com</x:v>
      </x:c>
      <x:c r="Z456" s="6">
        <x:v>46290.740303356484</x:v>
      </x:c>
      <x:c r="AA456" t="str" s="2">
        <x:v>Patrick Schuchart</x:v>
      </x:c>
      <x:c r="AB456" s="6">
        <x:v>46230.862603738424</x:v>
      </x:c>
      <x:c r="AC456" t="n" s="2">
        <x:v>38788</x:v>
      </x:c>
      <x:c r="AD456" t="str" s="2">
        <x:v>Singlewide</x:v>
      </x:c>
      <x:c r="AE456" t="str" s="2">
        <x:v>Legacy Housing Corporation</x:v>
      </x:c>
      <x:c r="AF456" s="7">
        <x:v>16000</x:v>
      </x:c>
      <x:c r="AG456" s="7">
        <x:v>16000</x:v>
      </x:c>
      <x:c r="AH456" s="0"/>
      <x:c r="AI456" t="str" s="2">
        <x:v>593</x:v>
      </x:c>
      <x:c r="AJ456" s="0"/>
      <x:c r="AK456" s="0"/>
    </x:row>
    <x:row r="457">
      <x:c r="A457" t="str" s="2">
        <x:f>=HYPERLINK("https://rsms.futurehomex.com/lead/38789", "Frank Polous")</x:f>
      </x:c>
      <x:c r="B457" t="n" s="2">
        <x:v>78</x:v>
      </x:c>
      <x:c r="C457" t="str" s="2">
        <x:v>0/2</x:v>
      </x:c>
      <x:c r="D457" t="str" s="2">
        <x:f>=""</x:f>
      </x:c>
      <x:c r="E457" s="0"/>
      <x:c r="F457" t="str" s="2">
        <x:v>Meta Marketplace</x:v>
      </x:c>
      <x:c r="G457" t="str" s="2">
        <x:v>Heritage Housing of Minden</x:v>
      </x:c>
      <x:c r="H457" t="str" s="2">
        <x:v>Patrick Schuchart</x:v>
      </x:c>
      <x:c r="I457" t="str" s="2">
        <x:v>Karol Romero</x:v>
      </x:c>
      <x:c r="J457" t="str" s="2">
        <x:v>Patrick Schuchart</x:v>
      </x:c>
      <x:c r="K457" t="n" s="2">
        <x:v>5</x:v>
      </x:c>
      <x:c r="L457" t="str" s="2">
        <x:v>1.1</x:v>
      </x:c>
      <x:c r="M457" t="str" s="2">
        <x:v>Inactive</x:v>
      </x:c>
      <x:c r="N457" t="str" s="2">
        <x:v>Deal Created</x:v>
      </x:c>
      <x:c r="O457" s="0"/>
      <x:c r="P457" s="6">
        <x:v>46230</x:v>
      </x:c>
      <x:c r="Q457" s="6">
        <x:v>46230.949792708336</x:v>
      </x:c>
      <x:c r="R457" t="str" s="2">
        <x:v>Patrick Schuchart</x:v>
      </x:c>
      <x:c r="S457" s="0"/>
      <x:c r="T457" s="0"/>
      <x:c r="U457" s="0"/>
      <x:c r="V457" s="0"/>
      <x:c r="W457" s="0"/>
      <x:c r="X457" t="str" s="2">
        <x:v>3183484093</x:v>
      </x:c>
      <x:c r="Y457" t="str" s="2">
        <x:v>3183484093</x:v>
      </x:c>
      <x:c r="Z457" s="6">
        <x:v>46294.885168483794</x:v>
      </x:c>
      <x:c r="AA457" t="str" s="2">
        <x:v>Kyla Brown</x:v>
      </x:c>
      <x:c r="AB457" s="6">
        <x:v>46230.94979510416</x:v>
      </x:c>
      <x:c r="AC457" t="n" s="2">
        <x:v>38789</x:v>
      </x:c>
      <x:c r="AD457" s="0"/>
      <x:c r="AE457" s="0"/>
      <x:c r="AF457" s="0"/>
      <x:c r="AG457" s="0"/>
      <x:c r="AH457" s="0"/>
      <x:c r="AI457" s="0"/>
      <x:c r="AJ457" s="0"/>
      <x:c r="AK457" s="0"/>
    </x:row>
    <x:row r="458">
      <x:c r="A458" t="str" s="2">
        <x:f>=HYPERLINK("https://rsms.futurehomex.com/lead/38790", "Erintina Davis")</x:f>
      </x:c>
      <x:c r="B458" t="n" s="2">
        <x:v>78</x:v>
      </x:c>
      <x:c r="C458" t="str" s="2">
        <x:v>0/3</x:v>
      </x:c>
      <x:c r="D458" t="str" s="2">
        <x:f>=""</x:f>
      </x:c>
      <x:c r="E458" s="0"/>
      <x:c r="F458" t="str" s="2">
        <x:v>Financing Form</x:v>
      </x:c>
      <x:c r="G458" t="str" s="2">
        <x:v>Heritage Housing of Minden</x:v>
      </x:c>
      <x:c r="H458" t="str" s="2">
        <x:v>Patrick Schuchart</x:v>
      </x:c>
      <x:c r="I458" t="str" s="2">
        <x:v>Karol Romero</x:v>
      </x:c>
      <x:c r="J458" s="0"/>
      <x:c r="K458" t="n" s="2">
        <x:v>5</x:v>
      </x:c>
      <x:c r="L458" t="str" s="2">
        <x:v>1.1</x:v>
      </x:c>
      <x:c r="M458" t="str" s="2">
        <x:v>Active</x:v>
      </x:c>
      <x:c r="N458" t="str" s="2">
        <x:v>Prospect</x:v>
      </x:c>
      <x:c r="O458" s="0"/>
      <x:c r="P458" s="6">
        <x:v>46230</x:v>
      </x:c>
      <x:c r="Q458" s="6">
        <x:v>46274.715070949074</x:v>
      </x:c>
      <x:c r="R458" s="0"/>
      <x:c r="S458" s="0"/>
      <x:c r="T458" s="0"/>
      <x:c r="U458" s="0"/>
      <x:c r="V458" s="0"/>
      <x:c r="W458" s="0"/>
      <x:c r="X458" t="str" s="2">
        <x:v>3182650255</x:v>
      </x:c>
      <x:c r="Y458" t="str" s="2">
        <x:v>daviserintina@yahoo.com</x:v>
      </x:c>
      <x:c r="Z458" s="6">
        <x:v>46295.84006550926</x:v>
      </x:c>
      <x:c r="AA458" t="str" s="2">
        <x:v>Kyla Brown</x:v>
      </x:c>
      <x:c r="AB458" s="6">
        <x:v>46230.95578788195</x:v>
      </x:c>
      <x:c r="AC458" t="n" s="2">
        <x:v>38790</x:v>
      </x:c>
      <x:c r="AD458" s="0"/>
      <x:c r="AE458" s="0"/>
      <x:c r="AF458" s="0"/>
      <x:c r="AG458" s="0"/>
      <x:c r="AH458" s="0"/>
      <x:c r="AI458" s="0"/>
      <x:c r="AJ458" s="0"/>
      <x:c r="AK458" s="0"/>
    </x:row>
    <x:row r="459">
      <x:c r="A459" t="str" s="2">
        <x:f>=HYPERLINK("https://rsms.futurehomex.com/lead/38791", "Taylor Cearley")</x:f>
      </x:c>
      <x:c r="B459" t="n" s="2">
        <x:v>78</x:v>
      </x:c>
      <x:c r="C459" t="str" s="2">
        <x:v>0/1</x:v>
      </x:c>
      <x:c r="D459" t="str" s="2">
        <x:f>=""</x:f>
      </x:c>
      <x:c r="E459" s="0"/>
      <x:c r="F459" t="str" s="2">
        <x:v>Financing Form</x:v>
      </x:c>
      <x:c r="G459" t="str" s="2">
        <x:v>Heritage Housing of Oklahoma City</x:v>
      </x:c>
      <x:c r="H459" t="str" s="2">
        <x:v>Trey Rixleben</x:v>
      </x:c>
      <x:c r="I459" t="str" s="2">
        <x:v>Karol Romero</x:v>
      </x:c>
      <x:c r="J459" s="0"/>
      <x:c r="K459" t="n" s="2">
        <x:v>5</x:v>
      </x:c>
      <x:c r="L459" t="str" s="2">
        <x:v>1.1</x:v>
      </x:c>
      <x:c r="M459" t="str" s="2">
        <x:v>Dead</x:v>
      </x:c>
      <x:c r="N459" t="str" s="2">
        <x:v>Prospect</x:v>
      </x:c>
      <x:c r="O459" s="0"/>
      <x:c r="P459" s="6">
        <x:v>46230</x:v>
      </x:c>
      <x:c r="Q459" s="6">
        <x:v>46296.802580902775</x:v>
      </x:c>
      <x:c r="R459" s="0"/>
      <x:c r="S459" s="0"/>
      <x:c r="T459" s="0"/>
      <x:c r="U459" s="0"/>
      <x:c r="V459" s="0"/>
      <x:c r="W459" s="0"/>
      <x:c r="X459" t="str" s="2">
        <x:v>4056763606</x:v>
      </x:c>
      <x:c r="Y459" t="str" s="2">
        <x:v>cearleycorean@gmail.com</x:v>
      </x:c>
      <x:c r="Z459" s="6">
        <x:v>46296.963661724534</x:v>
      </x:c>
      <x:c r="AA459" t="str" s="2">
        <x:v>Richard Bell</x:v>
      </x:c>
      <x:c r="AB459" s="6">
        <x:v>46230.95979556713</x:v>
      </x:c>
      <x:c r="AC459" t="n" s="2">
        <x:v>38791</x:v>
      </x:c>
      <x:c r="AD459" s="0"/>
      <x:c r="AE459" s="0"/>
      <x:c r="AF459" s="0"/>
      <x:c r="AG459" s="0"/>
      <x:c r="AH459" s="0"/>
      <x:c r="AI459" s="0"/>
      <x:c r="AJ459" s="0"/>
      <x:c r="AK459" s="0"/>
    </x:row>
    <x:row r="460">
      <x:c r="A460" t="str" s="2">
        <x:f>=HYPERLINK("https://rsms.futurehomex.com/lead/38793", "Phoebe Moore")</x:f>
      </x:c>
      <x:c r="B460" t="n" s="2">
        <x:v>77</x:v>
      </x:c>
      <x:c r="C460" t="str" s="2">
        <x:v/>
      </x:c>
      <x:c r="D460" t="str" s="2">
        <x:f>=""</x:f>
      </x:c>
      <x:c r="E460" s="0"/>
      <x:c r="F460" t="str" s="2">
        <x:v>LandingPage</x:v>
      </x:c>
      <x:c r="G460" t="str" s="2">
        <x:v>Heritage Housing of Tulsa</x:v>
      </x:c>
      <x:c r="H460" t="str" s="2">
        <x:v>Jenna Fransisco</x:v>
      </x:c>
      <x:c r="I460" s="0"/>
      <x:c r="J460" t="str" s="2">
        <x:v>Jenna Fransisco</x:v>
      </x:c>
      <x:c r="K460" t="n" s="2">
        <x:v>5</x:v>
      </x:c>
      <x:c r="L460" t="str" s="2">
        <x:v>1.1</x:v>
      </x:c>
      <x:c r="M460" t="str" s="2">
        <x:v>Tentative</x:v>
      </x:c>
      <x:c r="N460" t="str" s="2">
        <x:v>Deal Created</x:v>
      </x:c>
      <x:c r="O460" s="0"/>
      <x:c r="P460" s="6">
        <x:v>46231</x:v>
      </x:c>
      <x:c r="Q460" s="6">
        <x:v>46231.62233240741</x:v>
      </x:c>
      <x:c r="R460" s="0"/>
      <x:c r="S460" s="0"/>
      <x:c r="T460" s="0"/>
      <x:c r="U460" s="0"/>
      <x:c r="V460" s="0"/>
      <x:c r="W460" s="0"/>
      <x:c r="X460" t="str" s="2">
        <x:v>5412279151</x:v>
      </x:c>
      <x:c r="Y460" t="str" s="2">
        <x:v>phoebe.moore1992@gmail.com</x:v>
      </x:c>
      <x:c r="Z460" s="0"/>
      <x:c r="AA460" s="0"/>
      <x:c r="AB460" s="6">
        <x:v>46231.622333796295</x:v>
      </x:c>
      <x:c r="AC460" t="n" s="2">
        <x:v>38793</x:v>
      </x:c>
      <x:c r="AD460" s="0"/>
      <x:c r="AE460" s="0"/>
      <x:c r="AF460" s="0"/>
      <x:c r="AG460" s="0"/>
      <x:c r="AH460" s="0"/>
      <x:c r="AI460" s="0"/>
      <x:c r="AJ460" s="0"/>
      <x:c r="AK460" s="0"/>
    </x:row>
    <x:row r="461">
      <x:c r="A461" t="str" s="2">
        <x:f>=HYPERLINK("https://rsms.futurehomex.com/lead/38794", "Hahari Higueros")</x:f>
      </x:c>
      <x:c r="B461" t="n" s="2">
        <x:v>77</x:v>
      </x:c>
      <x:c r="C461" t="str" s="2">
        <x:v/>
      </x:c>
      <x:c r="D461" t="str" s="2">
        <x:f>=""</x:f>
      </x:c>
      <x:c r="E461" s="0"/>
      <x:c r="F461" t="str" s="2">
        <x:v>Meta Marketplace</x:v>
      </x:c>
      <x:c r="G461" t="str" s="2">
        <x:v>Heritage Housing of Asheboro</x:v>
      </x:c>
      <x:c r="H461" t="str" s="2">
        <x:v>Maria Lopez</x:v>
      </x:c>
      <x:c r="I461" t="str" s="2">
        <x:v>Karol Romero</x:v>
      </x:c>
      <x:c r="J461" t="str" s="2">
        <x:v>Maria Lopez</x:v>
      </x:c>
      <x:c r="K461" t="n" s="2">
        <x:v>21</x:v>
      </x:c>
      <x:c r="L461" t="str" s="2">
        <x:v>2.1</x:v>
      </x:c>
      <x:c r="M461" t="str" s="2">
        <x:v>Tentative</x:v>
      </x:c>
      <x:c r="N461" t="str" s="2">
        <x:v>Qualified</x:v>
      </x:c>
      <x:c r="O461" s="0"/>
      <x:c r="P461" s="6">
        <x:v>46231</x:v>
      </x:c>
      <x:c r="Q461" s="6">
        <x:v>46231.624965891206</x:v>
      </x:c>
      <x:c r="R461" s="0"/>
      <x:c r="S461" s="0"/>
      <x:c r="T461" s="0"/>
      <x:c r="U461" s="0"/>
      <x:c r="V461" s="0"/>
      <x:c r="W461" s="0"/>
      <x:c r="X461" t="str" s="2">
        <x:v>9195233982</x:v>
      </x:c>
      <x:c r="Y461" t="str" s="2">
        <x:v>9195233982</x:v>
      </x:c>
      <x:c r="Z461" s="6">
        <x:v>46238.679210069444</x:v>
      </x:c>
      <x:c r="AA461" t="str" s="2">
        <x:v>Jeremy Jacques</x:v>
      </x:c>
      <x:c r="AB461" s="6">
        <x:v>46231.62496778935</x:v>
      </x:c>
      <x:c r="AC461" t="n" s="2">
        <x:v>38794</x:v>
      </x:c>
      <x:c r="AD461" s="0"/>
      <x:c r="AE461" s="0"/>
      <x:c r="AF461" s="0"/>
      <x:c r="AG461" s="0"/>
      <x:c r="AH461" s="0"/>
      <x:c r="AI461" s="0"/>
      <x:c r="AJ461" s="0"/>
      <x:c r="AK461" s="0"/>
    </x:row>
    <x:row r="462">
      <x:c r="A462" t="str" s="2">
        <x:f>=HYPERLINK("https://rsms.futurehomex.com/lead/38795", "Chris Cagle")</x:f>
      </x:c>
      <x:c r="B462" t="n" s="2">
        <x:v>77</x:v>
      </x:c>
      <x:c r="C462" t="str" s="2">
        <x:v/>
      </x:c>
      <x:c r="D462" t="str" s="2">
        <x:f>=""</x:f>
      </x:c>
      <x:c r="E462" s="0"/>
      <x:c r="F462" t="str" s="2">
        <x:v>Walk-in</x:v>
      </x:c>
      <x:c r="G462" t="str" s="2">
        <x:v>Heritage Housing of Asheboro</x:v>
      </x:c>
      <x:c r="H462" t="str" s="2">
        <x:v>Maria Lopez</x:v>
      </x:c>
      <x:c r="I462" s="0"/>
      <x:c r="J462" s="0"/>
      <x:c r="K462" t="n" s="2">
        <x:v>21</x:v>
      </x:c>
      <x:c r="L462" t="str" s="2">
        <x:v>2.1</x:v>
      </x:c>
      <x:c r="M462" t="str" s="2">
        <x:v>Tentative</x:v>
      </x:c>
      <x:c r="N462" t="str" s="2">
        <x:v>Qualified</x:v>
      </x:c>
      <x:c r="O462" s="0"/>
      <x:c r="P462" s="6">
        <x:v>46231</x:v>
      </x:c>
      <x:c r="Q462" s="6">
        <x:v>46238.68909521991</x:v>
      </x:c>
      <x:c r="R462" s="0"/>
      <x:c r="S462" s="0"/>
      <x:c r="T462" s="0"/>
      <x:c r="U462" s="0"/>
      <x:c r="V462" s="0"/>
      <x:c r="W462" s="0"/>
      <x:c r="X462" t="str" s="2">
        <x:v>3362570857</x:v>
      </x:c>
      <x:c r="Y462" t="str" s="2">
        <x:v>csctransport27203@gmail.com</x:v>
      </x:c>
      <x:c r="Z462" s="6">
        <x:v>46238.68908244213</x:v>
      </x:c>
      <x:c r="AA462" t="str" s="2">
        <x:v>Jeremy Jacques</x:v>
      </x:c>
      <x:c r="AB462" s="6">
        <x:v>46231.629488506944</x:v>
      </x:c>
      <x:c r="AC462" t="n" s="2">
        <x:v>38795</x:v>
      </x:c>
      <x:c r="AD462" s="0"/>
      <x:c r="AE462" s="0"/>
      <x:c r="AF462" s="0"/>
      <x:c r="AG462" s="0"/>
      <x:c r="AH462" s="0"/>
      <x:c r="AI462" s="0"/>
      <x:c r="AJ462" s="0"/>
      <x:c r="AK462" s="0"/>
    </x:row>
    <x:row r="463">
      <x:c r="A463" t="str" s="2">
        <x:f>=HYPERLINK("https://rsms.futurehomex.com/lead/38796", "Lupita Bernal")</x:f>
      </x:c>
      <x:c r="B463" t="n" s="2">
        <x:v>77</x:v>
      </x:c>
      <x:c r="C463" t="str" s="2">
        <x:v/>
      </x:c>
      <x:c r="D463" t="str" s="2">
        <x:f>=""</x:f>
      </x:c>
      <x:c r="E463" s="0"/>
      <x:c r="F463" t="str" s="2">
        <x:v>Other</x:v>
      </x:c>
      <x:c r="G463" t="str" s="2">
        <x:v>Heritage Housing Mt Pleasant</x:v>
      </x:c>
      <x:c r="H463" t="str" s="2">
        <x:v>Sandra Saldana</x:v>
      </x:c>
      <x:c r="I463" s="0"/>
      <x:c r="J463" t="str" s="2">
        <x:v>Sandra Saldana</x:v>
      </x:c>
      <x:c r="K463" t="n" s="2">
        <x:v>5</x:v>
      </x:c>
      <x:c r="L463" t="str" s="2">
        <x:v>1.1</x:v>
      </x:c>
      <x:c r="M463" t="str" s="2">
        <x:v>Tentative</x:v>
      </x:c>
      <x:c r="N463" t="str" s="2">
        <x:v>Deal Created</x:v>
      </x:c>
      <x:c r="O463" s="0"/>
      <x:c r="P463" s="6">
        <x:v>46231</x:v>
      </x:c>
      <x:c r="Q463" s="6">
        <x:v>46231.648464895836</x:v>
      </x:c>
      <x:c r="R463" s="0"/>
      <x:c r="S463" s="0"/>
      <x:c r="T463" s="0"/>
      <x:c r="U463" s="0"/>
      <x:c r="V463" s="0"/>
      <x:c r="W463" s="0"/>
      <x:c r="X463" t="str" s="2">
        <x:v>9032618256</x:v>
      </x:c>
      <x:c r="Y463" t="str" s="2">
        <x:v>9032618256</x:v>
      </x:c>
      <x:c r="Z463" s="6">
        <x:v>46233.86628306713</x:v>
      </x:c>
      <x:c r="AA463" t="str" s="2">
        <x:v>Sandra Saldana</x:v>
      </x:c>
      <x:c r="AB463" s="6">
        <x:v>46231.64846643519</x:v>
      </x:c>
      <x:c r="AC463" t="n" s="2">
        <x:v>38796</x:v>
      </x:c>
      <x:c r="AD463" s="0"/>
      <x:c r="AE463" s="0"/>
      <x:c r="AF463" s="0"/>
      <x:c r="AG463" s="0"/>
      <x:c r="AH463" s="0"/>
      <x:c r="AI463" s="0"/>
      <x:c r="AJ463" s="0"/>
      <x:c r="AK463" s="0"/>
    </x:row>
    <x:row r="464">
      <x:c r="A464" t="str" s="2">
        <x:f>=HYPERLINK("https://rsms.futurehomex.com/lead/38798", "Stelarie Vidal")</x:f>
      </x:c>
      <x:c r="B464" t="n" s="2">
        <x:v>77</x:v>
      </x:c>
      <x:c r="C464" t="str" s="2">
        <x:v>2/4</x:v>
      </x:c>
      <x:c r="D464" t="str" s="2">
        <x:f>=""</x:f>
      </x:c>
      <x:c r="E464" t="str" s="2">
        <x:v>Justo Flores</x:v>
      </x:c>
      <x:c r="F464" t="str" s="2">
        <x:v>Referrals</x:v>
      </x:c>
      <x:c r="G464" t="str" s="2">
        <x:v>Legacy Housing Corp. DBA Americasa</x:v>
      </x:c>
      <x:c r="H464" t="str" s="2">
        <x:v>Jose Parada</x:v>
      </x:c>
      <x:c r="I464" t="str" s="2">
        <x:v>Karol Romero</x:v>
      </x:c>
      <x:c r="J464" t="str" s="2">
        <x:v>Rodrigo Ramirez</x:v>
      </x:c>
      <x:c r="K464" t="n" s="2">
        <x:v>5</x:v>
      </x:c>
      <x:c r="L464" t="str" s="2">
        <x:v>1.1</x:v>
      </x:c>
      <x:c r="M464" t="str" s="2">
        <x:v>Inactive</x:v>
      </x:c>
      <x:c r="N464" t="str" s="2">
        <x:v>Prospect</x:v>
      </x:c>
      <x:c r="O464" s="0"/>
      <x:c r="P464" s="6">
        <x:v>46231</x:v>
      </x:c>
      <x:c r="Q464" s="6">
        <x:v>46233.890598460646</x:v>
      </x:c>
      <x:c r="R464" s="0"/>
      <x:c r="S464" s="6">
        <x:v>46233</x:v>
      </x:c>
      <x:c r="T464" s="0"/>
      <x:c r="U464" s="0"/>
      <x:c r="V464" s="0"/>
      <x:c r="W464" s="0"/>
      <x:c r="X464" t="str" s="2">
        <x:v>3463828218</x:v>
      </x:c>
      <x:c r="Y464" t="str" s="2">
        <x:v>stelarievidal@gmail.com</x:v>
      </x:c>
      <x:c r="Z464" s="6">
        <x:v>46233.891894479166</x:v>
      </x:c>
      <x:c r="AA464" t="str" s="2">
        <x:v>Victoria Sanchez</x:v>
      </x:c>
      <x:c r="AB464" s="6">
        <x:v>46231.65240443287</x:v>
      </x:c>
      <x:c r="AC464" t="n" s="2">
        <x:v>38798</x:v>
      </x:c>
      <x:c r="AD464" s="0"/>
      <x:c r="AE464" s="0"/>
      <x:c r="AF464" s="0"/>
      <x:c r="AG464" s="0"/>
      <x:c r="AH464" s="0"/>
      <x:c r="AI464" s="0"/>
      <x:c r="AJ464" s="0"/>
      <x:c r="AK464" s="0"/>
    </x:row>
    <x:row r="465">
      <x:c r="A465" t="str" s="2">
        <x:f>=HYPERLINK("https://rsms.futurehomex.com/lead/38799", "Janie Broadwater")</x:f>
      </x:c>
      <x:c r="B465" t="n" s="2">
        <x:v>77</x:v>
      </x:c>
      <x:c r="C465" t="str" s="2">
        <x:v>0/4</x:v>
      </x:c>
      <x:c r="D465" t="str" s="2">
        <x:f>=""</x:f>
      </x:c>
      <x:c r="E465" t="str" s="2">
        <x:v>Cassandra Broadwater</x:v>
      </x:c>
      <x:c r="F465" t="str" s="2">
        <x:v>Facebook Messenger</x:v>
      </x:c>
      <x:c r="G465" t="str" s="2">
        <x:v>Heritage Housing of Albany</x:v>
      </x:c>
      <x:c r="H465" t="str" s="2">
        <x:v>Alexander Bryant</x:v>
      </x:c>
      <x:c r="I465" t="str" s="2">
        <x:v>Karol Romero</x:v>
      </x:c>
      <x:c r="J465" t="str" s="2">
        <x:v>Alexander Bryant</x:v>
      </x:c>
      <x:c r="K465" t="n" s="2">
        <x:v>48</x:v>
      </x:c>
      <x:c r="L465" t="str" s="2">
        <x:v>3.7</x:v>
      </x:c>
      <x:c r="M465" t="str" s="2">
        <x:v>Denied</x:v>
      </x:c>
      <x:c r="N465" t="str" s="2">
        <x:v>Loan Submitted</x:v>
      </x:c>
      <x:c r="O465" s="0"/>
      <x:c r="P465" s="6">
        <x:v>46231</x:v>
      </x:c>
      <x:c r="Q465" s="6">
        <x:v>46282.82666068287</x:v>
      </x:c>
      <x:c r="R465" s="0"/>
      <x:c r="S465" s="6">
        <x:v>46231</x:v>
      </x:c>
      <x:c r="T465" s="6">
        <x:v>46231</x:v>
      </x:c>
      <x:c r="U465" s="6">
        <x:v>46235</x:v>
      </x:c>
      <x:c r="V465" s="6">
        <x:v>46235</x:v>
      </x:c>
      <x:c r="W465" s="0"/>
      <x:c r="X465" t="str" s="2">
        <x:v>2296028662</x:v>
      </x:c>
      <x:c r="Y465" t="str" s="2">
        <x:v>janienicole6@gmail.com</x:v>
      </x:c>
      <x:c r="Z465" s="6">
        <x:v>46238.92927670139</x:v>
      </x:c>
      <x:c r="AA465" t="str" s="2">
        <x:v>Sarahi Vazquez</x:v>
      </x:c>
      <x:c r="AB465" s="6">
        <x:v>46231.654326006945</x:v>
      </x:c>
      <x:c r="AC465" t="n" s="2">
        <x:v>38799</x:v>
      </x:c>
      <x:c r="AD465" s="0"/>
      <x:c r="AE465" t="str" s="2">
        <x:v>Legacy Housing Corporation</x:v>
      </x:c>
      <x:c r="AF465" s="7">
        <x:v>8500</x:v>
      </x:c>
      <x:c r="AG465" s="7">
        <x:v>9000</x:v>
      </x:c>
      <x:c r="AH465" s="0"/>
      <x:c r="AI465" s="0"/>
      <x:c r="AJ465" s="0"/>
      <x:c r="AK465" s="0"/>
    </x:row>
    <x:row r="466">
      <x:c r="A466" t="str" s="2">
        <x:f>=HYPERLINK("https://rsms.futurehomex.com/lead/38800", "Lance Bradley")</x:f>
      </x:c>
      <x:c r="B466" t="n" s="2">
        <x:v>77</x:v>
      </x:c>
      <x:c r="C466" t="str" s="2">
        <x:v>0/4</x:v>
      </x:c>
      <x:c r="D466" t="str" s="2">
        <x:f>=""</x:f>
      </x:c>
      <x:c r="E466" s="0"/>
      <x:c r="F466" t="str" s="2">
        <x:v>Facebook Messenger</x:v>
      </x:c>
      <x:c r="G466" t="str" s="2">
        <x:v>Heritage Housing of Oklahoma City</x:v>
      </x:c>
      <x:c r="H466" t="str" s="2">
        <x:v>Steve Castell</x:v>
      </x:c>
      <x:c r="I466" s="0"/>
      <x:c r="J466" t="str" s="2">
        <x:v>Steve Castell</x:v>
      </x:c>
      <x:c r="K466" t="n" s="2">
        <x:v>5</x:v>
      </x:c>
      <x:c r="L466" t="str" s="2">
        <x:v>1.1</x:v>
      </x:c>
      <x:c r="M466" t="str" s="2">
        <x:v>Dead</x:v>
      </x:c>
      <x:c r="N466" t="str" s="2">
        <x:v>Deal Created</x:v>
      </x:c>
      <x:c r="O466" s="0"/>
      <x:c r="P466" s="6">
        <x:v>46231</x:v>
      </x:c>
      <x:c r="Q466" s="6">
        <x:v>46231.66427349537</x:v>
      </x:c>
      <x:c r="R466" s="0"/>
      <x:c r="S466" s="0"/>
      <x:c r="T466" s="0"/>
      <x:c r="U466" s="0"/>
      <x:c r="V466" s="0"/>
      <x:c r="W466" s="0"/>
      <x:c r="X466" t="str" s="2">
        <x:v>4057779192</x:v>
      </x:c>
      <x:c r="Y466" t="str" s="2">
        <x:v>lancebradley77@gmail.com</x:v>
      </x:c>
      <x:c r="Z466" s="6">
        <x:v>46262.04940795139</x:v>
      </x:c>
      <x:c r="AA466" t="str" s="2">
        <x:v>Steve Castell</x:v>
      </x:c>
      <x:c r="AB466" s="6">
        <x:v>46231.660039664355</x:v>
      </x:c>
      <x:c r="AC466" t="n" s="2">
        <x:v>38800</x:v>
      </x:c>
      <x:c r="AD466" s="0"/>
      <x:c r="AE466" s="0"/>
      <x:c r="AF466" s="0"/>
      <x:c r="AG466" s="0"/>
      <x:c r="AH466" s="0"/>
      <x:c r="AI466" s="0"/>
      <x:c r="AJ466" s="0"/>
      <x:c r="AK466" s="0"/>
    </x:row>
    <x:row r="467">
      <x:c r="A467" t="str" s="2">
        <x:f>=HYPERLINK("https://rsms.futurehomex.com/lead/38801", "Johnny Waybe")</x:f>
      </x:c>
      <x:c r="B467" t="n" s="2">
        <x:v>77</x:v>
      </x:c>
      <x:c r="C467" t="str" s="2">
        <x:v/>
      </x:c>
      <x:c r="D467" t="str" s="2">
        <x:f>=""</x:f>
      </x:c>
      <x:c r="E467" s="0"/>
      <x:c r="F467" t="str" s="2">
        <x:v>Canton</x:v>
      </x:c>
      <x:c r="G467" t="str" s="2">
        <x:v>Heritage Housing of Canton</x:v>
      </x:c>
      <x:c r="H467" t="str" s="2">
        <x:v>Adriana Jaimes-Martinez</x:v>
      </x:c>
      <x:c r="I467" s="0"/>
      <x:c r="J467" t="str" s="2">
        <x:v>Maira Garcia</x:v>
      </x:c>
      <x:c r="K467" t="n" s="2">
        <x:v>9</x:v>
      </x:c>
      <x:c r="L467" t="str" s="2">
        <x:v>1.2</x:v>
      </x:c>
      <x:c r="M467" t="str" s="2">
        <x:v>Inactive</x:v>
      </x:c>
      <x:c r="N467" t="str" s="2">
        <x:v>Deal Created</x:v>
      </x:c>
      <x:c r="O467" s="0"/>
      <x:c r="P467" s="6">
        <x:v>46231</x:v>
      </x:c>
      <x:c r="Q467" s="6">
        <x:v>46231.754157256946</x:v>
      </x:c>
      <x:c r="R467" s="0"/>
      <x:c r="S467" s="6">
        <x:v>46228</x:v>
      </x:c>
      <x:c r="T467" s="0"/>
      <x:c r="U467" s="0"/>
      <x:c r="V467" s="0"/>
      <x:c r="W467" s="0"/>
      <x:c r="X467" t="str" s="2">
        <x:v>4696521093</x:v>
      </x:c>
      <x:c r="Y467" t="str" s="2">
        <x:v>jalexanderwayne61@gmail.com</x:v>
      </x:c>
      <x:c r="Z467" s="0"/>
      <x:c r="AA467" s="0"/>
      <x:c r="AB467" s="6">
        <x:v>46231.668544409724</x:v>
      </x:c>
      <x:c r="AC467" t="n" s="2">
        <x:v>38801</x:v>
      </x:c>
      <x:c r="AD467" s="0"/>
      <x:c r="AE467" s="0"/>
      <x:c r="AF467" s="0"/>
      <x:c r="AG467" s="7">
        <x:v>10000</x:v>
      </x:c>
      <x:c r="AH467" s="0"/>
      <x:c r="AI467" s="0"/>
      <x:c r="AJ467" s="0"/>
      <x:c r="AK467" s="0"/>
    </x:row>
    <x:row r="468">
      <x:c r="A468" t="str" s="2">
        <x:f>=HYPERLINK("https://rsms.futurehomex.com/lead/38804", "Sarai Morales")</x:f>
      </x:c>
      <x:c r="B468" t="n" s="2">
        <x:v>77</x:v>
      </x:c>
      <x:c r="C468" t="str" s="2">
        <x:v>0/2</x:v>
      </x:c>
      <x:c r="D468" t="str" s="2">
        <x:f>=""</x:f>
      </x:c>
      <x:c r="E468" s="0"/>
      <x:c r="F468" t="str" s="2">
        <x:v>Website</x:v>
      </x:c>
      <x:c r="G468" t="str" s="2">
        <x:v>Legacy Housing Corp. DBA Americasa</x:v>
      </x:c>
      <x:c r="H468" t="str" s="2">
        <x:v>Joey Marquez</x:v>
      </x:c>
      <x:c r="I468" t="str" s="2">
        <x:v>Karol Romero</x:v>
      </x:c>
      <x:c r="J468" t="str" s="2">
        <x:v>Rodrigo Ramirez</x:v>
      </x:c>
      <x:c r="K468" t="n" s="2">
        <x:v>5</x:v>
      </x:c>
      <x:c r="L468" t="str" s="2">
        <x:v>1.1</x:v>
      </x:c>
      <x:c r="M468" t="str" s="2">
        <x:v>Tentative</x:v>
      </x:c>
      <x:c r="N468" t="str" s="2">
        <x:v>Deal Created</x:v>
      </x:c>
      <x:c r="O468" s="0"/>
      <x:c r="P468" s="6">
        <x:v>46231</x:v>
      </x:c>
      <x:c r="Q468" s="6">
        <x:v>46269.91737974537</x:v>
      </x:c>
      <x:c r="R468" s="0"/>
      <x:c r="S468" s="0"/>
      <x:c r="T468" s="0"/>
      <x:c r="U468" s="0"/>
      <x:c r="V468" s="0"/>
      <x:c r="W468" s="0"/>
      <x:c r="X468" t="str" s="2">
        <x:v>8322319952</x:v>
      </x:c>
      <x:c r="Y468" t="str" s="2">
        <x:v>8322319958</x:v>
      </x:c>
      <x:c r="Z468" s="6">
        <x:v>46289.79511616898</x:v>
      </x:c>
      <x:c r="AA468" t="str" s="2">
        <x:v>Joey Marquez</x:v>
      </x:c>
      <x:c r="AB468" s="6">
        <x:v>46231.767775231485</x:v>
      </x:c>
      <x:c r="AC468" t="n" s="2">
        <x:v>38804</x:v>
      </x:c>
      <x:c r="AD468" s="0"/>
      <x:c r="AE468" s="0"/>
      <x:c r="AF468" s="0"/>
      <x:c r="AG468" s="0"/>
      <x:c r="AH468" s="0"/>
      <x:c r="AI468" s="0"/>
      <x:c r="AJ468" s="0"/>
      <x:c r="AK468" s="0"/>
    </x:row>
    <x:row r="469">
      <x:c r="A469" t="str" s="2">
        <x:f>=HYPERLINK("https://rsms.futurehomex.com/lead/38805", "Jim Tipton")</x:f>
      </x:c>
      <x:c r="B469" t="n" s="2">
        <x:v>77</x:v>
      </x:c>
      <x:c r="C469" t="str" s="2">
        <x:v/>
      </x:c>
      <x:c r="D469" t="str" s="2">
        <x:f>=""</x:f>
      </x:c>
      <x:c r="E469" s="0"/>
      <x:c r="F469" t="str" s="2">
        <x:v>Walk-in</x:v>
      </x:c>
      <x:c r="G469" t="str" s="2">
        <x:v>Heritage Housing of Asheboro</x:v>
      </x:c>
      <x:c r="H469" t="str" s="2">
        <x:v>Maria Lopez</x:v>
      </x:c>
      <x:c r="I469" s="0"/>
      <x:c r="J469" s="0"/>
      <x:c r="K469" t="n" s="2">
        <x:v>21</x:v>
      </x:c>
      <x:c r="L469" t="str" s="2">
        <x:v>2.1</x:v>
      </x:c>
      <x:c r="M469" t="str" s="2">
        <x:v>Tentative</x:v>
      </x:c>
      <x:c r="N469" t="str" s="2">
        <x:v>Qualified</x:v>
      </x:c>
      <x:c r="O469" s="0"/>
      <x:c r="P469" s="6">
        <x:v>46231</x:v>
      </x:c>
      <x:c r="Q469" s="6">
        <x:v>46238.68154563657</x:v>
      </x:c>
      <x:c r="R469" s="0"/>
      <x:c r="S469" s="0"/>
      <x:c r="T469" s="0"/>
      <x:c r="U469" s="0"/>
      <x:c r="V469" s="0"/>
      <x:c r="W469" s="0"/>
      <x:c r="X469" t="str" s="2">
        <x:v>8603674425</x:v>
      </x:c>
      <x:c r="Y469" t="str" s="2">
        <x:v>cwo5@hotmail.com</x:v>
      </x:c>
      <x:c r="Z469" s="6">
        <x:v>46238.681531863425</x:v>
      </x:c>
      <x:c r="AA469" t="str" s="2">
        <x:v>Jeremy Jacques</x:v>
      </x:c>
      <x:c r="AB469" s="6">
        <x:v>46231.80404591435</x:v>
      </x:c>
      <x:c r="AC469" t="n" s="2">
        <x:v>38805</x:v>
      </x:c>
      <x:c r="AD469" s="0"/>
      <x:c r="AE469" s="0"/>
      <x:c r="AF469" s="0"/>
      <x:c r="AG469" s="0"/>
      <x:c r="AH469" s="0"/>
      <x:c r="AI469" s="0"/>
      <x:c r="AJ469" s="0"/>
      <x:c r="AK469" s="0"/>
    </x:row>
    <x:row r="470">
      <x:c r="A470" t="str" s="2">
        <x:f>=HYPERLINK("https://rsms.futurehomex.com/lead/38806", "STEPHANIE JEFFERSON")</x:f>
      </x:c>
      <x:c r="B470" t="n" s="2">
        <x:v>77</x:v>
      </x:c>
      <x:c r="C470" t="str" s="2">
        <x:v>1/2</x:v>
      </x:c>
      <x:c r="D470" t="str" s="2">
        <x:f>=""</x:f>
      </x:c>
      <x:c r="E470" s="0"/>
      <x:c r="F470" t="str" s="2">
        <x:v>Financing Form</x:v>
      </x:c>
      <x:c r="G470" t="str" s="2">
        <x:v>Heritage Housing of Augusta</x:v>
      </x:c>
      <x:c r="H470" t="str" s="2">
        <x:v>Jennifer Johnson</x:v>
      </x:c>
      <x:c r="I470" t="str" s="2">
        <x:v>Karol Romero</x:v>
      </x:c>
      <x:c r="J470" t="str" s="2">
        <x:v>Jennifer Johnson</x:v>
      </x:c>
      <x:c r="K470" t="n" s="2">
        <x:v>5</x:v>
      </x:c>
      <x:c r="L470" t="str" s="2">
        <x:v>1.1</x:v>
      </x:c>
      <x:c r="M470" t="str" s="2">
        <x:v>Active</x:v>
      </x:c>
      <x:c r="N470" t="str" s="2">
        <x:v>Deal Created</x:v>
      </x:c>
      <x:c r="O470" s="0"/>
      <x:c r="P470" s="6">
        <x:v>46231</x:v>
      </x:c>
      <x:c r="Q470" s="6">
        <x:v>46281.69715266204</x:v>
      </x:c>
      <x:c r="R470" s="0"/>
      <x:c r="S470" s="6">
        <x:v>46231</x:v>
      </x:c>
      <x:c r="T470" s="0"/>
      <x:c r="U470" s="0"/>
      <x:c r="V470" s="0"/>
      <x:c r="W470" s="0"/>
      <x:c r="X470" t="str" s="2">
        <x:v>8398395539</x:v>
      </x:c>
      <x:c r="Y470" t="str" s="2">
        <x:v>SMJ0901@protonmail.com</x:v>
      </x:c>
      <x:c r="Z470" s="6">
        <x:v>46281.69890065972</x:v>
      </x:c>
      <x:c r="AA470" t="str" s="2">
        <x:v>Alex Jones</x:v>
      </x:c>
      <x:c r="AB470" s="6">
        <x:v>46231.84132260417</x:v>
      </x:c>
      <x:c r="AC470" t="n" s="2">
        <x:v>38806</x:v>
      </x:c>
      <x:c r="AD470" s="0"/>
      <x:c r="AE470" s="0"/>
      <x:c r="AF470" s="0"/>
      <x:c r="AG470" s="7">
        <x:v>7000</x:v>
      </x:c>
      <x:c r="AH470" s="0"/>
      <x:c r="AI470" s="0"/>
      <x:c r="AJ470" s="0"/>
      <x:c r="AK470" s="0"/>
    </x:row>
    <x:row r="471">
      <x:c r="A471" t="str" s="2">
        <x:f>=HYPERLINK("https://rsms.futurehomex.com/lead/38809", "Oscar Calzadillas")</x:f>
      </x:c>
      <x:c r="B471" t="n" s="2">
        <x:v>77</x:v>
      </x:c>
      <x:c r="C471" t="str" s="2">
        <x:v/>
      </x:c>
      <x:c r="D471" t="str" s="2">
        <x:f>=""</x:f>
      </x:c>
      <x:c r="E471" s="0"/>
      <x:c r="F471" t="str" s="2">
        <x:v>Facebook Messenger</x:v>
      </x:c>
      <x:c r="G471" t="str" s="2">
        <x:v>Heritage Housing of Albany</x:v>
      </x:c>
      <x:c r="H471" t="str" s="2">
        <x:v>Alexander Bryant</x:v>
      </x:c>
      <x:c r="I471" s="0"/>
      <x:c r="J471" s="0"/>
      <x:c r="K471" t="n" s="2">
        <x:v>5</x:v>
      </x:c>
      <x:c r="L471" t="str" s="2">
        <x:v>1.1</x:v>
      </x:c>
      <x:c r="M471" t="str" s="2">
        <x:v>Tentative</x:v>
      </x:c>
      <x:c r="N471" t="str" s="2">
        <x:v>Prospect</x:v>
      </x:c>
      <x:c r="O471" s="0"/>
      <x:c r="P471" s="6">
        <x:v>46231</x:v>
      </x:c>
      <x:c r="Q471" s="6">
        <x:v>46288.661267905096</x:v>
      </x:c>
      <x:c r="R471" s="0"/>
      <x:c r="S471" s="6">
        <x:v>46231</x:v>
      </x:c>
      <x:c r="T471" s="0"/>
      <x:c r="U471" s="0"/>
      <x:c r="V471" s="0"/>
      <x:c r="W471" s="0"/>
      <x:c r="X471" t="str" s="2">
        <x:v>5756521901</x:v>
      </x:c>
      <x:c r="Y471" t="str" s="2">
        <x:v>5756521901</x:v>
      </x:c>
      <x:c r="Z471" s="6">
        <x:v>46231.9090715625</x:v>
      </x:c>
      <x:c r="AA471" t="str" s="2">
        <x:v>Justin Johnson</x:v>
      </x:c>
      <x:c r="AB471" s="6">
        <x:v>46231.907147881946</x:v>
      </x:c>
      <x:c r="AC471" t="n" s="2">
        <x:v>38809</x:v>
      </x:c>
      <x:c r="AD471" s="0"/>
      <x:c r="AE471" s="0"/>
      <x:c r="AF471" s="0"/>
      <x:c r="AG471" s="0"/>
      <x:c r="AH471" s="0"/>
      <x:c r="AI471" s="0"/>
      <x:c r="AJ471" s="0"/>
      <x:c r="AK471" s="0"/>
    </x:row>
    <x:row r="472">
      <x:c r="A472" t="str" s="2">
        <x:f>=HYPERLINK("https://rsms.futurehomex.com/lead/38811", "Debbie Secrest")</x:f>
      </x:c>
      <x:c r="B472" t="n" s="2">
        <x:v>77</x:v>
      </x:c>
      <x:c r="C472" t="str" s="2">
        <x:v>1/1</x:v>
      </x:c>
      <x:c r="D472" t="str" s="2">
        <x:f>=""</x:f>
      </x:c>
      <x:c r="E472" s="0"/>
      <x:c r="F472" t="str" s="2">
        <x:v>Facebook Messenger</x:v>
      </x:c>
      <x:c r="G472" t="str" s="2">
        <x:v>Heritage Housing of Oklahoma City</x:v>
      </x:c>
      <x:c r="H472" t="str" s="2">
        <x:v>Trey Rixleben</x:v>
      </x:c>
      <x:c r="I472" s="0"/>
      <x:c r="J472" s="0"/>
      <x:c r="K472" t="n" s="2">
        <x:v>5</x:v>
      </x:c>
      <x:c r="L472" t="str" s="2">
        <x:v>1.1</x:v>
      </x:c>
      <x:c r="M472" t="str" s="2">
        <x:v>Tentative</x:v>
      </x:c>
      <x:c r="N472" t="str" s="2">
        <x:v>Deal Created</x:v>
      </x:c>
      <x:c r="O472" s="0"/>
      <x:c r="P472" s="6">
        <x:v>46231</x:v>
      </x:c>
      <x:c r="Q472" s="6">
        <x:v>46231.95050987269</x:v>
      </x:c>
      <x:c r="R472" s="0"/>
      <x:c r="S472" s="0"/>
      <x:c r="T472" s="0"/>
      <x:c r="U472" s="0"/>
      <x:c r="V472" s="0"/>
      <x:c r="W472" s="0"/>
      <x:c r="X472" t="str" s="2">
        <x:v>9187732995</x:v>
      </x:c>
      <x:c r="Y472" t="str" s="2">
        <x:v>secrestdebbie@yahoo.com</x:v>
      </x:c>
      <x:c r="Z472" s="6">
        <x:v>46233.01038869213</x:v>
      </x:c>
      <x:c r="AA472" t="str" s="2">
        <x:v>Trey Rixleben</x:v>
      </x:c>
      <x:c r="AB472" s="6">
        <x:v>46231.94700443287</x:v>
      </x:c>
      <x:c r="AC472" t="n" s="2">
        <x:v>38811</x:v>
      </x:c>
      <x:c r="AD472" s="0"/>
      <x:c r="AE472" s="0"/>
      <x:c r="AF472" s="0"/>
      <x:c r="AG472" s="0"/>
      <x:c r="AH472" s="0"/>
      <x:c r="AI472" s="0"/>
      <x:c r="AJ472" s="0"/>
      <x:c r="AK472" s="0"/>
    </x:row>
    <x:row r="473">
      <x:c r="A473" t="str" s="2">
        <x:f>=HYPERLINK("https://rsms.futurehomex.com/lead/38812", "Logan McDaniel")</x:f>
      </x:c>
      <x:c r="B473" t="n" s="2">
        <x:v>77</x:v>
      </x:c>
      <x:c r="C473" t="str" s="2">
        <x:v>1/4</x:v>
      </x:c>
      <x:c r="D473" t="str" s="2">
        <x:f>=""</x:f>
      </x:c>
      <x:c r="E473" t="str" s="2">
        <x:v>Jaylee Dalton</x:v>
      </x:c>
      <x:c r="F473" t="str" s="2">
        <x:v>LandingPage</x:v>
      </x:c>
      <x:c r="G473" t="str" s="2">
        <x:v>Heritage Housing of Asheboro</x:v>
      </x:c>
      <x:c r="H473" t="str" s="2">
        <x:v>Maria Lopez</x:v>
      </x:c>
      <x:c r="I473" t="str" s="2">
        <x:v>Karol Romero</x:v>
      </x:c>
      <x:c r="J473" t="str" s="2">
        <x:v>Maria Lopez</x:v>
      </x:c>
      <x:c r="K473" t="n" s="2">
        <x:v>48</x:v>
      </x:c>
      <x:c r="L473" t="str" s="2">
        <x:v>3.7</x:v>
      </x:c>
      <x:c r="M473" t="str" s="2">
        <x:v>Denied</x:v>
      </x:c>
      <x:c r="N473" t="str" s="2">
        <x:v>Loan Submitted</x:v>
      </x:c>
      <x:c r="O473" s="0"/>
      <x:c r="P473" s="6">
        <x:v>46231</x:v>
      </x:c>
      <x:c r="Q473" s="6">
        <x:v>46239.763702743054</x:v>
      </x:c>
      <x:c r="R473" s="0"/>
      <x:c r="S473" s="6">
        <x:v>46231</x:v>
      </x:c>
      <x:c r="T473" s="0"/>
      <x:c r="U473" s="6">
        <x:v>46256</x:v>
      </x:c>
      <x:c r="V473" s="0"/>
      <x:c r="W473" s="0"/>
      <x:c r="X473" t="str" s="2">
        <x:v>3362336154</x:v>
      </x:c>
      <x:c r="Y473" t="str" s="2">
        <x:v>loganbrookedalton@gmail.com</x:v>
      </x:c>
      <x:c r="Z473" s="6">
        <x:v>46268.91695709491</x:v>
      </x:c>
      <x:c r="AA473" t="str" s="2">
        <x:v>Maria Lopez</x:v>
      </x:c>
      <x:c r="AB473" s="6">
        <x:v>46231.951509224535</x:v>
      </x:c>
      <x:c r="AC473" t="n" s="2">
        <x:v>38812</x:v>
      </x:c>
      <x:c r="AD473" t="str" s="2">
        <x:v>Singlewide</x:v>
      </x:c>
      <x:c r="AE473" t="str" s="2">
        <x:v>Legacy Housing Corporation</x:v>
      </x:c>
      <x:c r="AF473" s="7">
        <x:v>12600</x:v>
      </x:c>
      <x:c r="AG473" s="7">
        <x:v>12600</x:v>
      </x:c>
      <x:c r="AH473" s="0"/>
      <x:c r="AI473" s="0"/>
      <x:c r="AJ473" s="0"/>
      <x:c r="AK473" s="0"/>
    </x:row>
    <x:row r="474">
      <x:c r="A474" t="str" s="2">
        <x:f>=HYPERLINK("https://rsms.futurehomex.com/lead/38814", "Juwan Harrison")</x:f>
      </x:c>
      <x:c r="B474" t="n" s="2">
        <x:v>76</x:v>
      </x:c>
      <x:c r="C474" t="str" s="2">
        <x:v>1/4</x:v>
      </x:c>
      <x:c r="D474" t="str" s="2">
        <x:f>=""</x:f>
      </x:c>
      <x:c r="E474" t="str" s="2">
        <x:v>Kanita Harrison</x:v>
      </x:c>
      <x:c r="F474" t="str" s="2">
        <x:v>Walk-in</x:v>
      </x:c>
      <x:c r="G474" t="str" s="2">
        <x:v>Heritage Housing of Augusta</x:v>
      </x:c>
      <x:c r="H474" t="str" s="2">
        <x:v>Jennifer Johnson</x:v>
      </x:c>
      <x:c r="I474" t="str" s="2">
        <x:v>Karol Romero</x:v>
      </x:c>
      <x:c r="J474" t="str" s="2">
        <x:v>Jennifer Johnson</x:v>
      </x:c>
      <x:c r="K474" t="n" s="2">
        <x:v>64</x:v>
      </x:c>
      <x:c r="L474" t="str" s="2">
        <x:v>4.5</x:v>
      </x:c>
      <x:c r="M474" t="str" s="2">
        <x:v>Active</x:v>
      </x:c>
      <x:c r="N474" t="str" s="2">
        <x:v>Clear to Close</x:v>
      </x:c>
      <x:c r="O474" s="0"/>
      <x:c r="P474" s="6">
        <x:v>46232</x:v>
      </x:c>
      <x:c r="Q474" s="6">
        <x:v>46301.56412484954</x:v>
      </x:c>
      <x:c r="R474" s="0"/>
      <x:c r="S474" s="6">
        <x:v>46232</x:v>
      </x:c>
      <x:c r="T474" s="0"/>
      <x:c r="U474" s="6">
        <x:v>46232</x:v>
      </x:c>
      <x:c r="V474" s="0"/>
      <x:c r="W474" s="0"/>
      <x:c r="X474" t="str" s="2">
        <x:v>5108761895</x:v>
      </x:c>
      <x:c r="Y474" t="str" s="2">
        <x:v>juwanharrison96@gmail.com</x:v>
      </x:c>
      <x:c r="Z474" s="6">
        <x:v>46281.69623252315</x:v>
      </x:c>
      <x:c r="AA474" t="str" s="2">
        <x:v>Alex Jones</x:v>
      </x:c>
      <x:c r="AB474" s="6">
        <x:v>46232.66834938657</x:v>
      </x:c>
      <x:c r="AC474" t="n" s="2">
        <x:v>38814</x:v>
      </x:c>
      <x:c r="AD474" t="str" s="2">
        <x:v>Singlewide</x:v>
      </x:c>
      <x:c r="AE474" s="0"/>
      <x:c r="AF474" s="0"/>
      <x:c r="AG474" s="7">
        <x:v>6000</x:v>
      </x:c>
      <x:c r="AH474" s="0"/>
      <x:c r="AI474" t="str" s="2">
        <x:v>587</x:v>
      </x:c>
      <x:c r="AJ474" s="0"/>
      <x:c r="AK474" s="0"/>
    </x:row>
    <x:row r="475">
      <x:c r="A475" t="str" s="2">
        <x:f>=HYPERLINK("https://rsms.futurehomex.com/lead/38817", "Maegan Withworth")</x:f>
      </x:c>
      <x:c r="B475" t="n" s="2">
        <x:v>76</x:v>
      </x:c>
      <x:c r="C475" t="str" s="2">
        <x:v>0/1</x:v>
      </x:c>
      <x:c r="D475" t="str" s="2">
        <x:f>=""</x:f>
      </x:c>
      <x:c r="E475" s="0"/>
      <x:c r="F475" t="str" s="2">
        <x:v>Meta Marketplace</x:v>
      </x:c>
      <x:c r="G475" t="str" s="2">
        <x:v>Legacy Housing Corp. DBA Americasa</x:v>
      </x:c>
      <x:c r="H475" t="str" s="2">
        <x:v>Joey Marquez</x:v>
      </x:c>
      <x:c r="I475" t="str" s="2">
        <x:v>Karol Romero</x:v>
      </x:c>
      <x:c r="J475" t="str" s="2">
        <x:v>Rodrigo Ramirez</x:v>
      </x:c>
      <x:c r="K475" t="n" s="2">
        <x:v>5</x:v>
      </x:c>
      <x:c r="L475" t="str" s="2">
        <x:v>1.1</x:v>
      </x:c>
      <x:c r="M475" t="str" s="2">
        <x:v>Tentative</x:v>
      </x:c>
      <x:c r="N475" t="str" s="2">
        <x:v>Deal Created</x:v>
      </x:c>
      <x:c r="O475" s="0"/>
      <x:c r="P475" s="6">
        <x:v>46232</x:v>
      </x:c>
      <x:c r="Q475" s="6">
        <x:v>46232.71320443287</x:v>
      </x:c>
      <x:c r="R475" s="0"/>
      <x:c r="S475" s="0"/>
      <x:c r="T475" s="0"/>
      <x:c r="U475" s="0"/>
      <x:c r="V475" s="0"/>
      <x:c r="W475" s="0"/>
      <x:c r="X475" t="str" s="2">
        <x:v>8327071353</x:v>
      </x:c>
      <x:c r="Y475" t="str" s="2">
        <x:v>8327071353</x:v>
      </x:c>
      <x:c r="Z475" s="6">
        <x:v>46252.82348908565</x:v>
      </x:c>
      <x:c r="AA475" t="str" s="2">
        <x:v>Rodrigo Ramirez</x:v>
      </x:c>
      <x:c r="AB475" s="6">
        <x:v>46232.71320663195</x:v>
      </x:c>
      <x:c r="AC475" t="n" s="2">
        <x:v>38817</x:v>
      </x:c>
      <x:c r="AD475" s="0"/>
      <x:c r="AE475" s="0"/>
      <x:c r="AF475" s="0"/>
      <x:c r="AG475" s="0"/>
      <x:c r="AH475" s="0"/>
      <x:c r="AI475" s="0"/>
      <x:c r="AJ475" s="0"/>
      <x:c r="AK475" s="0"/>
    </x:row>
    <x:row r="476">
      <x:c r="A476" t="str" s="2">
        <x:f>=HYPERLINK("https://rsms.futurehomex.com/lead/38818", "HOWARD TURNER")</x:f>
      </x:c>
      <x:c r="B476" t="n" s="2">
        <x:v>76</x:v>
      </x:c>
      <x:c r="C476" t="str" s="2">
        <x:v/>
      </x:c>
      <x:c r="D476" t="str" s="2">
        <x:f>=""</x:f>
      </x:c>
      <x:c r="E476" s="0"/>
      <x:c r="F476" t="str" s="2">
        <x:v>Walk-in</x:v>
      </x:c>
      <x:c r="G476" t="str" s="2">
        <x:v>Heritage Housing of Augusta</x:v>
      </x:c>
      <x:c r="H476" t="str" s="2">
        <x:v>Faye Lively</x:v>
      </x:c>
      <x:c r="I476" t="str" s="2">
        <x:v>Karol Romero</x:v>
      </x:c>
      <x:c r="J476" t="str" s="2">
        <x:v>Faye Lively</x:v>
      </x:c>
      <x:c r="K476" t="n" s="2">
        <x:v>5</x:v>
      </x:c>
      <x:c r="L476" t="str" s="2">
        <x:v>1.1</x:v>
      </x:c>
      <x:c r="M476" t="str" s="2">
        <x:v>Tentative</x:v>
      </x:c>
      <x:c r="N476" t="str" s="2">
        <x:v>Deal Created</x:v>
      </x:c>
      <x:c r="O476" s="0"/>
      <x:c r="P476" s="6">
        <x:v>46232</x:v>
      </x:c>
      <x:c r="Q476" s="6">
        <x:v>46232.72727311343</x:v>
      </x:c>
      <x:c r="R476" s="0"/>
      <x:c r="S476" s="0"/>
      <x:c r="T476" s="0"/>
      <x:c r="U476" s="0"/>
      <x:c r="V476" s="0"/>
      <x:c r="W476" s="0"/>
      <x:c r="X476" t="str" s="2">
        <x:v>5599153266</x:v>
      </x:c>
      <x:c r="Y476" t="str" s="2">
        <x:v>HOWARDTURNER59@GMAIL.COM</x:v>
      </x:c>
      <x:c r="Z476" s="0"/>
      <x:c r="AA476" s="0"/>
      <x:c r="AB476" s="6">
        <x:v>46232.72727511574</x:v>
      </x:c>
      <x:c r="AC476" t="n" s="2">
        <x:v>38818</x:v>
      </x:c>
      <x:c r="AD476" s="0"/>
      <x:c r="AE476" s="0"/>
      <x:c r="AF476" s="0"/>
      <x:c r="AG476" s="0"/>
      <x:c r="AH476" s="0"/>
      <x:c r="AI476" s="0"/>
      <x:c r="AJ476" s="0"/>
      <x:c r="AK476" s="0"/>
    </x:row>
    <x:row r="477">
      <x:c r="A477" t="str" s="2">
        <x:f>=HYPERLINK("https://rsms.futurehomex.com/lead/38820", "Trina And Rick Pringle")</x:f>
      </x:c>
      <x:c r="B477" t="n" s="2">
        <x:v>76</x:v>
      </x:c>
      <x:c r="C477" t="str" s="2">
        <x:v>0/4</x:v>
      </x:c>
      <x:c r="D477" t="str" s="2">
        <x:f>=""</x:f>
      </x:c>
      <x:c r="E477" s="0"/>
      <x:c r="F477" t="str" s="2">
        <x:v>Walk-in</x:v>
      </x:c>
      <x:c r="G477" t="str" s="2">
        <x:v>Heritage Housing of Minden</x:v>
      </x:c>
      <x:c r="H477" t="str" s="2">
        <x:v>Patrick Schuchart</x:v>
      </x:c>
      <x:c r="I477" t="str" s="2">
        <x:v>Karol Romero</x:v>
      </x:c>
      <x:c r="J477" t="str" s="2">
        <x:v>Patrick Schuchart</x:v>
      </x:c>
      <x:c r="K477" t="n" s="2">
        <x:v>5</x:v>
      </x:c>
      <x:c r="L477" t="str" s="2">
        <x:v>1.1</x:v>
      </x:c>
      <x:c r="M477" t="str" s="2">
        <x:v>Active</x:v>
      </x:c>
      <x:c r="N477" t="str" s="2">
        <x:v>Deal Created</x:v>
      </x:c>
      <x:c r="O477" s="0"/>
      <x:c r="P477" s="6">
        <x:v>46232</x:v>
      </x:c>
      <x:c r="Q477" s="6">
        <x:v>46274.755097835645</x:v>
      </x:c>
      <x:c r="R477" t="str" s="2">
        <x:v>Patrick Schuchart</x:v>
      </x:c>
      <x:c r="S477" s="0"/>
      <x:c r="T477" s="0"/>
      <x:c r="U477" s="0"/>
      <x:c r="V477" s="0"/>
      <x:c r="W477" s="0"/>
      <x:c r="X477" t="str" s="2">
        <x:v>3182658105</x:v>
      </x:c>
      <x:c r="Y477" t="str" s="2">
        <x:v>ntrinaculookin@gmail.com</x:v>
      </x:c>
      <x:c r="Z477" s="6">
        <x:v>46302.60410671296</x:v>
      </x:c>
      <x:c r="AA477" t="str" s="2">
        <x:v>Kyla Brown</x:v>
      </x:c>
      <x:c r="AB477" s="6">
        <x:v>46232.75105520833</x:v>
      </x:c>
      <x:c r="AC477" t="n" s="2">
        <x:v>38820</x:v>
      </x:c>
      <x:c r="AD477" s="0"/>
      <x:c r="AE477" s="0"/>
      <x:c r="AF477" s="0"/>
      <x:c r="AG477" s="0"/>
      <x:c r="AH477" s="0"/>
      <x:c r="AI477" s="0"/>
      <x:c r="AJ477" s="0"/>
      <x:c r="AK477" s="0"/>
    </x:row>
    <x:row r="478">
      <x:c r="A478" t="str" s="2">
        <x:f>=HYPERLINK("https://rsms.futurehomex.com/lead/38821", "Brenda Baker")</x:f>
      </x:c>
      <x:c r="B478" t="n" s="2">
        <x:v>76</x:v>
      </x:c>
      <x:c r="C478" t="str" s="2">
        <x:v>1/2</x:v>
      </x:c>
      <x:c r="D478" t="str" s="2">
        <x:f>=""</x:f>
      </x:c>
      <x:c r="E478" s="0"/>
      <x:c r="F478" t="str" s="2">
        <x:v>Walk-in</x:v>
      </x:c>
      <x:c r="G478" t="str" s="2">
        <x:v>Heritage Housing of Oklahoma City</x:v>
      </x:c>
      <x:c r="H478" t="str" s="2">
        <x:v>Trey Rixleben</x:v>
      </x:c>
      <x:c r="I478" t="str" s="2">
        <x:v>Karol Romero</x:v>
      </x:c>
      <x:c r="J478" t="str" s="2">
        <x:v>Trey Rixleben</x:v>
      </x:c>
      <x:c r="K478" t="n" s="2">
        <x:v>5</x:v>
      </x:c>
      <x:c r="L478" t="str" s="2">
        <x:v>1.1</x:v>
      </x:c>
      <x:c r="M478" t="str" s="2">
        <x:v>Tentative</x:v>
      </x:c>
      <x:c r="N478" t="str" s="2">
        <x:v>Deal Created</x:v>
      </x:c>
      <x:c r="O478" s="0"/>
      <x:c r="P478" s="6">
        <x:v>46232</x:v>
      </x:c>
      <x:c r="Q478" s="6">
        <x:v>46247.597288310186</x:v>
      </x:c>
      <x:c r="R478" s="0"/>
      <x:c r="S478" s="0"/>
      <x:c r="T478" s="0"/>
      <x:c r="U478" s="0"/>
      <x:c r="V478" s="0"/>
      <x:c r="W478" s="0"/>
      <x:c r="X478" t="str" s="2">
        <x:v>4057404425</x:v>
      </x:c>
      <x:c r="Y478" t="str" s="2">
        <x:v>bcbaker131@gmail.com</x:v>
      </x:c>
      <x:c r="Z478" s="6">
        <x:v>46247.5996900463</x:v>
      </x:c>
      <x:c r="AA478" t="str" s="2">
        <x:v>Trey Rixleben</x:v>
      </x:c>
      <x:c r="AB478" s="6">
        <x:v>46232.75167939815</x:v>
      </x:c>
      <x:c r="AC478" t="n" s="2">
        <x:v>38821</x:v>
      </x:c>
      <x:c r="AD478" s="0"/>
      <x:c r="AE478" s="0"/>
      <x:c r="AF478" s="0"/>
      <x:c r="AG478" s="0"/>
      <x:c r="AH478" s="0"/>
      <x:c r="AI478" s="0"/>
      <x:c r="AJ478" s="0"/>
      <x:c r="AK478" s="0"/>
    </x:row>
    <x:row r="479">
      <x:c r="A479" t="str" s="2">
        <x:f>=HYPERLINK("https://rsms.futurehomex.com/lead/38822", "Karla Brizuela")</x:f>
      </x:c>
      <x:c r="B479" t="n" s="2">
        <x:v>76</x:v>
      </x:c>
      <x:c r="C479" t="str" s="2">
        <x:v/>
      </x:c>
      <x:c r="D479" t="str" s="2">
        <x:f>=""</x:f>
      </x:c>
      <x:c r="E479" s="0"/>
      <x:c r="F479" t="str" s="2">
        <x:v>HH - Oklahoma City</x:v>
      </x:c>
      <x:c r="G479" t="str" s="2">
        <x:v>Heritage Housing of Oklahoma City</x:v>
      </x:c>
      <x:c r="H479" t="str" s="2">
        <x:v>Karla Brizuela</x:v>
      </x:c>
      <x:c r="I479" t="str" s="2">
        <x:v>Karol Romero</x:v>
      </x:c>
      <x:c r="J479" t="str" s="2">
        <x:v>Karla Brizuela</x:v>
      </x:c>
      <x:c r="K479" t="n" s="2">
        <x:v>5</x:v>
      </x:c>
      <x:c r="L479" t="str" s="2">
        <x:v>1.1</x:v>
      </x:c>
      <x:c r="M479" t="str" s="2">
        <x:v>Dead</x:v>
      </x:c>
      <x:c r="N479" t="str" s="2">
        <x:v>Deal Created</x:v>
      </x:c>
      <x:c r="O479" s="0"/>
      <x:c r="P479" s="6">
        <x:v>46232</x:v>
      </x:c>
      <x:c r="Q479" s="6">
        <x:v>46245.84756832176</x:v>
      </x:c>
      <x:c r="R479" s="0"/>
      <x:c r="S479" s="0"/>
      <x:c r="T479" s="0"/>
      <x:c r="U479" s="0"/>
      <x:c r="V479" s="0"/>
      <x:c r="W479" s="0"/>
      <x:c r="X479" t="str" s="2">
        <x:v>4058458514</x:v>
      </x:c>
      <x:c r="Y479" t="str" s="2">
        <x:v>4058458514</x:v>
      </x:c>
      <x:c r="Z479" s="6">
        <x:v>46232.77793591435</x:v>
      </x:c>
      <x:c r="AA479" t="str" s="2">
        <x:v>Karla Brizuela</x:v>
      </x:c>
      <x:c r="AB479" s="6">
        <x:v>46232.77697508102</x:v>
      </x:c>
      <x:c r="AC479" t="n" s="2">
        <x:v>38822</x:v>
      </x:c>
      <x:c r="AD479" s="0"/>
      <x:c r="AE479" s="0"/>
      <x:c r="AF479" s="0"/>
      <x:c r="AG479" s="0"/>
      <x:c r="AH479" s="0"/>
      <x:c r="AI479" s="0"/>
      <x:c r="AJ479" s="0"/>
      <x:c r="AK479" s="0"/>
    </x:row>
    <x:row r="480">
      <x:c r="A480" t="str" s="2">
        <x:f>=HYPERLINK("https://rsms.futurehomex.com/lead/38823", "Dally Bronc Johnson")</x:f>
      </x:c>
      <x:c r="B480" t="n" s="2">
        <x:v>76</x:v>
      </x:c>
      <x:c r="C480" t="str" s="2">
        <x:v>0/2</x:v>
      </x:c>
      <x:c r="D480" t="str" s="2">
        <x:f>=""</x:f>
      </x:c>
      <x:c r="E480" s="0"/>
      <x:c r="F480" t="str" s="2">
        <x:v>HH - Oklahoma City</x:v>
      </x:c>
      <x:c r="G480" t="str" s="2">
        <x:v>Heritage Housing of Oklahoma City</x:v>
      </x:c>
      <x:c r="H480" t="str" s="2">
        <x:v>Alejandra Calderon</x:v>
      </x:c>
      <x:c r="I480" s="0"/>
      <x:c r="J480" s="0"/>
      <x:c r="K480" t="n" s="2">
        <x:v>5</x:v>
      </x:c>
      <x:c r="L480" t="str" s="2">
        <x:v>1.1</x:v>
      </x:c>
      <x:c r="M480" t="str" s="2">
        <x:v>Dead</x:v>
      </x:c>
      <x:c r="N480" t="str" s="2">
        <x:v>Deal Created</x:v>
      </x:c>
      <x:c r="O480" s="0"/>
      <x:c r="P480" s="6">
        <x:v>46232</x:v>
      </x:c>
      <x:c r="Q480" s="6">
        <x:v>46281.947075</x:v>
      </x:c>
      <x:c r="R480" t="str" s="2">
        <x:v>Trey Rixleben</x:v>
      </x:c>
      <x:c r="S480" s="0"/>
      <x:c r="T480" s="0"/>
      <x:c r="U480" s="0"/>
      <x:c r="V480" s="0"/>
      <x:c r="W480" s="0"/>
      <x:c r="X480" t="str" s="2">
        <x:v>4056587273</x:v>
      </x:c>
      <x:c r="Y480" t="str" s="2">
        <x:v>broncg34@gmail.com</x:v>
      </x:c>
      <x:c r="Z480" s="6">
        <x:v>46282.84501767361</x:v>
      </x:c>
      <x:c r="AA480" t="str" s="2">
        <x:v>Richard Bell</x:v>
      </x:c>
      <x:c r="AB480" s="6">
        <x:v>46232.780248842595</x:v>
      </x:c>
      <x:c r="AC480" t="n" s="2">
        <x:v>38823</x:v>
      </x:c>
      <x:c r="AD480" s="0"/>
      <x:c r="AE480" s="0"/>
      <x:c r="AF480" s="0"/>
      <x:c r="AG480" s="0"/>
      <x:c r="AH480" s="0"/>
      <x:c r="AI480" s="0"/>
      <x:c r="AJ480" s="0"/>
      <x:c r="AK480" s="0"/>
    </x:row>
    <x:row r="481">
      <x:c r="A481" t="str" s="2">
        <x:f>=HYPERLINK("https://rsms.futurehomex.com/lead/38825", "KRISTEN SKEENS")</x:f>
      </x:c>
      <x:c r="B481" t="n" s="2">
        <x:v>76</x:v>
      </x:c>
      <x:c r="C481" t="str" s="2">
        <x:v/>
      </x:c>
      <x:c r="D481" t="str" s="2">
        <x:f>=""</x:f>
      </x:c>
      <x:c r="E481" s="0"/>
      <x:c r="F481" t="str" s="2">
        <x:v>Walk-in</x:v>
      </x:c>
      <x:c r="G481" t="str" s="2">
        <x:v>Heritage Housing of Augusta</x:v>
      </x:c>
      <x:c r="H481" t="str" s="2">
        <x:v>Faye Lively</x:v>
      </x:c>
      <x:c r="I481" t="str" s="2">
        <x:v>Karol Romero</x:v>
      </x:c>
      <x:c r="J481" t="str" s="2">
        <x:v>Faye Lively</x:v>
      </x:c>
      <x:c r="K481" t="n" s="2">
        <x:v>5</x:v>
      </x:c>
      <x:c r="L481" t="str" s="2">
        <x:v>1.1</x:v>
      </x:c>
      <x:c r="M481" t="str" s="2">
        <x:v>Tentative</x:v>
      </x:c>
      <x:c r="N481" t="str" s="2">
        <x:v>Deal Created</x:v>
      </x:c>
      <x:c r="O481" s="0"/>
      <x:c r="P481" s="6">
        <x:v>46232</x:v>
      </x:c>
      <x:c r="Q481" s="6">
        <x:v>46232.805796064815</x:v>
      </x:c>
      <x:c r="R481" s="0"/>
      <x:c r="S481" s="0"/>
      <x:c r="T481" s="0"/>
      <x:c r="U481" s="0"/>
      <x:c r="V481" s="0"/>
      <x:c r="W481" s="0"/>
      <x:c r="X481" t="str" s="2">
        <x:v>7068717723</x:v>
      </x:c>
      <x:c r="Y481" t="str" s="2">
        <x:v>icremsneeks77@gmail.com</x:v>
      </x:c>
      <x:c r="Z481" s="0"/>
      <x:c r="AA481" s="0"/>
      <x:c r="AB481" s="6">
        <x:v>46232.80579748843</x:v>
      </x:c>
      <x:c r="AC481" t="n" s="2">
        <x:v>38825</x:v>
      </x:c>
      <x:c r="AD481" s="0"/>
      <x:c r="AE481" s="0"/>
      <x:c r="AF481" s="0"/>
      <x:c r="AG481" s="0"/>
      <x:c r="AH481" s="0"/>
      <x:c r="AI481" s="0"/>
      <x:c r="AJ481" s="0"/>
      <x:c r="AK481" s="0"/>
    </x:row>
    <x:row r="482">
      <x:c r="A482" t="str" s="2">
        <x:f>=HYPERLINK("https://rsms.futurehomex.com/lead/38826", "Kristopher Charles Bonikowske")</x:f>
      </x:c>
      <x:c r="B482" t="n" s="2">
        <x:v>76</x:v>
      </x:c>
      <x:c r="C482" t="str" s="2">
        <x:v>0/3</x:v>
      </x:c>
      <x:c r="D482" t="str" s="2">
        <x:f>=""</x:f>
      </x:c>
      <x:c r="E482" s="0"/>
      <x:c r="F482" t="str" s="2">
        <x:v>HH - Oklahoma City</x:v>
      </x:c>
      <x:c r="G482" t="str" s="2">
        <x:v>Heritage Housing of Oklahoma City</x:v>
      </x:c>
      <x:c r="H482" t="str" s="2">
        <x:v>Alejandra Calderon</x:v>
      </x:c>
      <x:c r="I482" s="0"/>
      <x:c r="J482" s="0"/>
      <x:c r="K482" t="n" s="2">
        <x:v>5</x:v>
      </x:c>
      <x:c r="L482" t="str" s="2">
        <x:v>1.1</x:v>
      </x:c>
      <x:c r="M482" t="str" s="2">
        <x:v>Inactive</x:v>
      </x:c>
      <x:c r="N482" t="str" s="2">
        <x:v>Deal Created</x:v>
      </x:c>
      <x:c r="O482" s="0"/>
      <x:c r="P482" s="6">
        <x:v>46232</x:v>
      </x:c>
      <x:c r="Q482" s="6">
        <x:v>46265.96716226852</x:v>
      </x:c>
      <x:c r="R482" t="str" s="2">
        <x:v>Trey Rixleben</x:v>
      </x:c>
      <x:c r="S482" s="0"/>
      <x:c r="T482" s="0"/>
      <x:c r="U482" s="0"/>
      <x:c r="V482" s="0"/>
      <x:c r="W482" s="0"/>
      <x:c r="X482" t="str" s="2">
        <x:v>7152225480</x:v>
      </x:c>
      <x:c r="Y482" t="str" s="2">
        <x:v>kcbonikowske@gmail.com</x:v>
      </x:c>
      <x:c r="Z482" s="6">
        <x:v>46265.96771203704</x:v>
      </x:c>
      <x:c r="AA482" t="str" s="2">
        <x:v>Alejandra Calderon</x:v>
      </x:c>
      <x:c r="AB482" s="6">
        <x:v>46232.84901929398</x:v>
      </x:c>
      <x:c r="AC482" t="n" s="2">
        <x:v>38826</x:v>
      </x:c>
      <x:c r="AD482" s="0"/>
      <x:c r="AE482" s="0"/>
      <x:c r="AF482" s="0"/>
      <x:c r="AG482" s="0"/>
      <x:c r="AH482" s="0"/>
      <x:c r="AI482" s="0"/>
      <x:c r="AJ482" s="0"/>
      <x:c r="AK482" s="0"/>
    </x:row>
    <x:row r="483">
      <x:c r="A483" t="str" s="2">
        <x:f>=HYPERLINK("https://rsms.futurehomex.com/lead/38827", "Michael Coleman")</x:f>
      </x:c>
      <x:c r="B483" t="n" s="2">
        <x:v>76</x:v>
      </x:c>
      <x:c r="C483" t="str" s="2">
        <x:v/>
      </x:c>
      <x:c r="D483" t="str" s="2">
        <x:f>=""</x:f>
      </x:c>
      <x:c r="E483" s="0"/>
      <x:c r="F483" t="str" s="2">
        <x:v>Facebook Messenger</x:v>
      </x:c>
      <x:c r="G483" t="str" s="2">
        <x:v>Heritage Housing Gainesville</x:v>
      </x:c>
      <x:c r="H483" t="str" s="2">
        <x:v>John Schwichtenberg</x:v>
      </x:c>
      <x:c r="I483" s="0"/>
      <x:c r="J483" s="0"/>
      <x:c r="K483" t="n" s="2">
        <x:v>5</x:v>
      </x:c>
      <x:c r="L483" t="str" s="2">
        <x:v>1.1</x:v>
      </x:c>
      <x:c r="M483" t="str" s="2">
        <x:v>Dead</x:v>
      </x:c>
      <x:c r="N483" t="str" s="2">
        <x:v>Prospect</x:v>
      </x:c>
      <x:c r="O483" s="0"/>
      <x:c r="P483" s="6">
        <x:v>46232</x:v>
      </x:c>
      <x:c r="Q483" s="6">
        <x:v>46232.937300729165</x:v>
      </x:c>
      <x:c r="R483" s="0"/>
      <x:c r="S483" s="6">
        <x:v>46232</x:v>
      </x:c>
      <x:c r="T483" s="0"/>
      <x:c r="U483" s="0"/>
      <x:c r="V483" s="0"/>
      <x:c r="W483" s="0"/>
      <x:c r="X483" t="str" s="2">
        <x:v>9402247867</x:v>
      </x:c>
      <x:c r="Y483" t="str" s="2">
        <x:v>abcdetailin@gmail.com</x:v>
      </x:c>
      <x:c r="Z483" s="0"/>
      <x:c r="AA483" s="0"/>
      <x:c r="AB483" s="6">
        <x:v>46232.89686631945</x:v>
      </x:c>
      <x:c r="AC483" t="n" s="2">
        <x:v>38827</x:v>
      </x:c>
      <x:c r="AD483" s="0"/>
      <x:c r="AE483" s="0"/>
      <x:c r="AF483" s="0"/>
      <x:c r="AG483" s="0"/>
      <x:c r="AH483" s="0"/>
      <x:c r="AI483" s="0"/>
      <x:c r="AJ483" s="0"/>
      <x:c r="AK483" s="0"/>
    </x:row>
    <x:row r="484">
      <x:c r="A484" t="str" s="2">
        <x:f>=HYPERLINK("https://rsms.futurehomex.com/lead/38828", "Eric Williams")</x:f>
      </x:c>
      <x:c r="B484" t="n" s="2">
        <x:v>76</x:v>
      </x:c>
      <x:c r="C484" t="str" s="2">
        <x:v>0/1</x:v>
      </x:c>
      <x:c r="D484" t="str" s="2">
        <x:f>=""</x:f>
      </x:c>
      <x:c r="E484" s="0"/>
      <x:c r="F484" t="str" s="2">
        <x:v>Walk-in</x:v>
      </x:c>
      <x:c r="G484" t="str" s="2">
        <x:v>Heritage Housing of Albany</x:v>
      </x:c>
      <x:c r="H484" t="str" s="2">
        <x:v>Alexander Bryant</x:v>
      </x:c>
      <x:c r="I484" t="str" s="2">
        <x:v>Karol Romero</x:v>
      </x:c>
      <x:c r="J484" t="str" s="2">
        <x:v>Alexander Bryant</x:v>
      </x:c>
      <x:c r="K484" t="n" s="2">
        <x:v>5</x:v>
      </x:c>
      <x:c r="L484" t="str" s="2">
        <x:v>1.1</x:v>
      </x:c>
      <x:c r="M484" t="str" s="2">
        <x:v>Tentative</x:v>
      </x:c>
      <x:c r="N484" t="str" s="2">
        <x:v>Deal Created</x:v>
      </x:c>
      <x:c r="O484" s="0"/>
      <x:c r="P484" s="6">
        <x:v>46232</x:v>
      </x:c>
      <x:c r="Q484" s="6">
        <x:v>46241.85595621528</x:v>
      </x:c>
      <x:c r="R484" s="0"/>
      <x:c r="S484" s="6">
        <x:v>46232</x:v>
      </x:c>
      <x:c r="T484" s="0"/>
      <x:c r="U484" s="0"/>
      <x:c r="V484" s="0"/>
      <x:c r="W484" s="0"/>
      <x:c r="X484" t="str" s="2">
        <x:v>4075923713</x:v>
      </x:c>
      <x:c r="Y484" t="str" s="2">
        <x:v>weric4370@gmail.com</x:v>
      </x:c>
      <x:c r="Z484" s="6">
        <x:v>46269.87264707176</x:v>
      </x:c>
      <x:c r="AA484" t="str" s="2">
        <x:v>Alexander Bryant</x:v>
      </x:c>
      <x:c r="AB484" s="6">
        <x:v>46232.87716886574</x:v>
      </x:c>
      <x:c r="AC484" t="n" s="2">
        <x:v>38828</x:v>
      </x:c>
      <x:c r="AD484" s="0"/>
      <x:c r="AE484" s="0"/>
      <x:c r="AF484" s="0"/>
      <x:c r="AG484" s="7">
        <x:v>30000</x:v>
      </x:c>
      <x:c r="AH484" s="0"/>
      <x:c r="AI484" s="0"/>
      <x:c r="AJ484" s="0"/>
      <x:c r="AK484" s="0"/>
    </x:row>
    <x:row r="485">
      <x:c r="A485" t="str" s="2">
        <x:f>=HYPERLINK("https://rsms.futurehomex.com/lead/38829", "Ma Sidronia Reynaga")</x:f>
      </x:c>
      <x:c r="B485" t="n" s="2">
        <x:v>76</x:v>
      </x:c>
      <x:c r="C485" t="str" s="2">
        <x:v>0/2</x:v>
      </x:c>
      <x:c r="D485" t="str" s="2">
        <x:f>=""</x:f>
      </x:c>
      <x:c r="E485" s="0"/>
      <x:c r="F485" t="str" s="2">
        <x:v>Referrals</x:v>
      </x:c>
      <x:c r="G485" t="str" s="2">
        <x:v>Legacy Housing Corp. DBA Americasa</x:v>
      </x:c>
      <x:c r="H485" t="str" s="2">
        <x:v>Jose Parada</x:v>
      </x:c>
      <x:c r="I485" t="str" s="2">
        <x:v>Karol Romero</x:v>
      </x:c>
      <x:c r="J485" s="0"/>
      <x:c r="K485" t="n" s="2">
        <x:v>5</x:v>
      </x:c>
      <x:c r="L485" t="str" s="2">
        <x:v>1.1</x:v>
      </x:c>
      <x:c r="M485" t="str" s="2">
        <x:v>Tentative</x:v>
      </x:c>
      <x:c r="N485" t="str" s="2">
        <x:v>Prospect</x:v>
      </x:c>
      <x:c r="O485" s="0"/>
      <x:c r="P485" s="6">
        <x:v>46232</x:v>
      </x:c>
      <x:c r="Q485" s="6">
        <x:v>46232.87813445602</x:v>
      </x:c>
      <x:c r="R485" s="0"/>
      <x:c r="S485" s="0"/>
      <x:c r="T485" s="0"/>
      <x:c r="U485" s="0"/>
      <x:c r="V485" s="0"/>
      <x:c r="W485" s="0"/>
      <x:c r="X485" t="str" s="2">
        <x:v>3462606767</x:v>
      </x:c>
      <x:c r="Y485" t="str" s="2">
        <x:v>mariareynagac1969@gmail.com</x:v>
      </x:c>
      <x:c r="Z485" s="6">
        <x:v>46247.88494603009</x:v>
      </x:c>
      <x:c r="AA485" t="str" s="2">
        <x:v>Rodrigo Ramirez</x:v>
      </x:c>
      <x:c r="AB485" s="6">
        <x:v>46232.878135416664</x:v>
      </x:c>
      <x:c r="AC485" t="n" s="2">
        <x:v>38829</x:v>
      </x:c>
      <x:c r="AD485" s="0"/>
      <x:c r="AE485" s="0"/>
      <x:c r="AF485" s="0"/>
      <x:c r="AG485" s="0"/>
      <x:c r="AH485" s="0"/>
      <x:c r="AI485" s="0"/>
      <x:c r="AJ485" s="0"/>
      <x:c r="AK485" s="0"/>
    </x:row>
    <x:row r="486">
      <x:c r="A486" t="str" s="2">
        <x:f>=HYPERLINK("https://rsms.futurehomex.com/lead/38830", "GLORIA AZUCENA JUAREZ")</x:f>
      </x:c>
      <x:c r="B486" t="n" s="2">
        <x:v>76</x:v>
      </x:c>
      <x:c r="C486" t="str" s="2">
        <x:v>0/5</x:v>
      </x:c>
      <x:c r="D486" t="str" s="2">
        <x:f>=""</x:f>
      </x:c>
      <x:c r="E486" s="0"/>
      <x:c r="F486" t="str" s="2">
        <x:v>Referrals</x:v>
      </x:c>
      <x:c r="G486" t="str" s="2">
        <x:v>Legacy Housing Corp. DBA Americasa</x:v>
      </x:c>
      <x:c r="H486" t="str" s="2">
        <x:v>Joey Marquez</x:v>
      </x:c>
      <x:c r="I486" t="str" s="2">
        <x:v>Karol Romero</x:v>
      </x:c>
      <x:c r="J486" s="0"/>
      <x:c r="K486" t="n" s="2">
        <x:v>5</x:v>
      </x:c>
      <x:c r="L486" t="str" s="2">
        <x:v>1.1</x:v>
      </x:c>
      <x:c r="M486" t="str" s="2">
        <x:v>Tentative</x:v>
      </x:c>
      <x:c r="N486" t="str" s="2">
        <x:v>Prospect</x:v>
      </x:c>
      <x:c r="O486" s="0"/>
      <x:c r="P486" s="6">
        <x:v>46232</x:v>
      </x:c>
      <x:c r="Q486" s="6">
        <x:v>46240.975845023146</x:v>
      </x:c>
      <x:c r="R486" s="0"/>
      <x:c r="S486" s="0"/>
      <x:c r="T486" s="0"/>
      <x:c r="U486" s="0"/>
      <x:c r="V486" s="0"/>
      <x:c r="W486" s="0"/>
      <x:c r="X486" t="str" s="2">
        <x:v>7865636343</x:v>
      </x:c>
      <x:c r="Y486" t="str" s="2">
        <x:v>camilajuares2014@gmail.com</x:v>
      </x:c>
      <x:c r="Z486" s="6">
        <x:v>46289.71239811343</x:v>
      </x:c>
      <x:c r="AA486" t="str" s="2">
        <x:v>Joey Marquez</x:v>
      </x:c>
      <x:c r="AB486" s="6">
        <x:v>46232.88656396991</x:v>
      </x:c>
      <x:c r="AC486" t="n" s="2">
        <x:v>38830</x:v>
      </x:c>
      <x:c r="AD486" s="0"/>
      <x:c r="AE486" s="0"/>
      <x:c r="AF486" s="0"/>
      <x:c r="AG486" s="0"/>
      <x:c r="AH486" s="0"/>
      <x:c r="AI486" s="0"/>
      <x:c r="AJ486" s="0"/>
      <x:c r="AK486" s="0"/>
    </x:row>
    <x:row r="487">
      <x:c r="A487" t="str" s="2">
        <x:f>=HYPERLINK("https://rsms.futurehomex.com/lead/38831", "Robert Candy")</x:f>
      </x:c>
      <x:c r="B487" t="n" s="2">
        <x:v>76</x:v>
      </x:c>
      <x:c r="C487" t="str" s="2">
        <x:v>0/1</x:v>
      </x:c>
      <x:c r="D487" t="str" s="2">
        <x:f>=""</x:f>
      </x:c>
      <x:c r="E487" s="0"/>
      <x:c r="F487" t="str" s="2">
        <x:v>Walk-in</x:v>
      </x:c>
      <x:c r="G487" t="str" s="2">
        <x:v>Heritage Housing of Oklahoma City</x:v>
      </x:c>
      <x:c r="H487" t="str" s="2">
        <x:v>Trey Rixleben</x:v>
      </x:c>
      <x:c r="I487" t="str" s="2">
        <x:v>Karol Romero</x:v>
      </x:c>
      <x:c r="J487" t="str" s="2">
        <x:v>Trey Rixleben</x:v>
      </x:c>
      <x:c r="K487" t="n" s="2">
        <x:v>5</x:v>
      </x:c>
      <x:c r="L487" t="str" s="2">
        <x:v>1.1</x:v>
      </x:c>
      <x:c r="M487" t="str" s="2">
        <x:v>Dead</x:v>
      </x:c>
      <x:c r="N487" t="str" s="2">
        <x:v>Deal Created</x:v>
      </x:c>
      <x:c r="O487" s="0"/>
      <x:c r="P487" s="6">
        <x:v>46232</x:v>
      </x:c>
      <x:c r="Q487" s="6">
        <x:v>46261.83807600694</x:v>
      </x:c>
      <x:c r="R487" s="0"/>
      <x:c r="S487" s="0"/>
      <x:c r="T487" s="0"/>
      <x:c r="U487" s="0"/>
      <x:c r="V487" s="0"/>
      <x:c r="W487" s="0"/>
      <x:c r="X487" t="str" s="2">
        <x:v>4054012583</x:v>
      </x:c>
      <x:c r="Y487" t="str" s="2">
        <x:v>rectorcandy65@yahoo.com</x:v>
      </x:c>
      <x:c r="Z487" s="6">
        <x:v>46261.84241084491</x:v>
      </x:c>
      <x:c r="AA487" t="str" s="2">
        <x:v>Trey Rixleben</x:v>
      </x:c>
      <x:c r="AB487" s="6">
        <x:v>46232.89126392361</x:v>
      </x:c>
      <x:c r="AC487" t="n" s="2">
        <x:v>38831</x:v>
      </x:c>
      <x:c r="AD487" s="0"/>
      <x:c r="AE487" s="0"/>
      <x:c r="AF487" s="0"/>
      <x:c r="AG487" s="0"/>
      <x:c r="AH487" s="0"/>
      <x:c r="AI487" s="0"/>
      <x:c r="AJ487" s="0"/>
      <x:c r="AK487" s="0"/>
    </x:row>
    <x:row r="488">
      <x:c r="A488" t="str" s="2">
        <x:f>=HYPERLINK("https://rsms.futurehomex.com/lead/38833", "Steven Apgar")</x:f>
      </x:c>
      <x:c r="B488" t="n" s="2">
        <x:v>76</x:v>
      </x:c>
      <x:c r="C488" t="str" s="2">
        <x:v>1/3</x:v>
      </x:c>
      <x:c r="D488" t="str" s="2">
        <x:f>=""</x:f>
      </x:c>
      <x:c r="E488" s="0"/>
      <x:c r="F488" t="str" s="2">
        <x:v>HH - Oklahoma City</x:v>
      </x:c>
      <x:c r="G488" t="str" s="2">
        <x:v>Heritage Housing of Oklahoma City</x:v>
      </x:c>
      <x:c r="H488" t="str" s="2">
        <x:v>Alejandra Calderon</x:v>
      </x:c>
      <x:c r="I488" s="0"/>
      <x:c r="J488" s="0"/>
      <x:c r="K488" t="n" s="2">
        <x:v>5</x:v>
      </x:c>
      <x:c r="L488" t="str" s="2">
        <x:v>1.1</x:v>
      </x:c>
      <x:c r="M488" t="str" s="2">
        <x:v>Tentative</x:v>
      </x:c>
      <x:c r="N488" t="str" s="2">
        <x:v>Deal Created</x:v>
      </x:c>
      <x:c r="O488" s="0"/>
      <x:c r="P488" s="6">
        <x:v>46232</x:v>
      </x:c>
      <x:c r="Q488" s="6">
        <x:v>46232.90770015046</x:v>
      </x:c>
      <x:c r="R488" t="str" s="2">
        <x:v>Trey Rixleben</x:v>
      </x:c>
      <x:c r="S488" s="6">
        <x:v>46232</x:v>
      </x:c>
      <x:c r="T488" s="0"/>
      <x:c r="U488" s="0"/>
      <x:c r="V488" s="0"/>
      <x:c r="W488" s="0"/>
      <x:c r="X488" t="str" s="2">
        <x:v>4052878523</x:v>
      </x:c>
      <x:c r="Y488" t="str" s="2">
        <x:v>4052878523</x:v>
      </x:c>
      <x:c r="Z488" s="6">
        <x:v>46297.9219503125</x:v>
      </x:c>
      <x:c r="AA488" t="str" s="2">
        <x:v>Trey Rixleben</x:v>
      </x:c>
      <x:c r="AB488" s="6">
        <x:v>46232.90770150463</x:v>
      </x:c>
      <x:c r="AC488" t="n" s="2">
        <x:v>38833</x:v>
      </x:c>
      <x:c r="AD488" s="0"/>
      <x:c r="AE488" s="0"/>
      <x:c r="AF488" s="0"/>
      <x:c r="AG488" s="0"/>
      <x:c r="AH488" s="0"/>
      <x:c r="AI488" s="0"/>
      <x:c r="AJ488" s="0"/>
      <x:c r="AK488" s="0"/>
    </x:row>
    <x:row r="489">
      <x:c r="A489" t="str" s="2">
        <x:f>=HYPERLINK("https://rsms.futurehomex.com/lead/38834", "Dianne Moore")</x:f>
      </x:c>
      <x:c r="B489" t="n" s="2">
        <x:v>76</x:v>
      </x:c>
      <x:c r="C489" t="str" s="2">
        <x:v>0/2</x:v>
      </x:c>
      <x:c r="D489" t="str" s="2">
        <x:f>=""</x:f>
      </x:c>
      <x:c r="E489" s="0"/>
      <x:c r="F489" t="str" s="2">
        <x:v>Walk-in</x:v>
      </x:c>
      <x:c r="G489" t="str" s="2">
        <x:v>Heritage Housing of Jennings</x:v>
      </x:c>
      <x:c r="H489" t="str" s="2">
        <x:v>Mervin Leslie Smith</x:v>
      </x:c>
      <x:c r="I489" s="0"/>
      <x:c r="J489" s="0"/>
      <x:c r="K489" t="n" s="2">
        <x:v>5</x:v>
      </x:c>
      <x:c r="L489" t="str" s="2">
        <x:v>1.1</x:v>
      </x:c>
      <x:c r="M489" t="str" s="2">
        <x:v>Inactive</x:v>
      </x:c>
      <x:c r="N489" t="str" s="2">
        <x:v>Prospect</x:v>
      </x:c>
      <x:c r="O489" s="0"/>
      <x:c r="P489" s="6">
        <x:v>46232</x:v>
      </x:c>
      <x:c r="Q489" s="6">
        <x:v>46233.88443510417</x:v>
      </x:c>
      <x:c r="R489" s="0"/>
      <x:c r="S489" s="6">
        <x:v>46232</x:v>
      </x:c>
      <x:c r="T489" s="0"/>
      <x:c r="U489" s="0"/>
      <x:c r="V489" s="0"/>
      <x:c r="W489" s="0"/>
      <x:c r="X489" t="str" s="2">
        <x:v>3374058214</x:v>
      </x:c>
      <x:c r="Y489" t="str" s="2">
        <x:v>diannemoore96@icloud.com</x:v>
      </x:c>
      <x:c r="Z489" s="6">
        <x:v>46266.81336438657</x:v>
      </x:c>
      <x:c r="AA489" t="str" s="2">
        <x:v>Mervin Leslie Smith</x:v>
      </x:c>
      <x:c r="AB489" s="6">
        <x:v>46232.93594459491</x:v>
      </x:c>
      <x:c r="AC489" t="n" s="2">
        <x:v>38834</x:v>
      </x:c>
      <x:c r="AD489" s="0"/>
      <x:c r="AE489" s="0"/>
      <x:c r="AF489" s="0"/>
      <x:c r="AG489" s="0"/>
      <x:c r="AH489" s="0"/>
      <x:c r="AI489" s="0"/>
      <x:c r="AJ489" s="0"/>
      <x:c r="AK489" s="0"/>
    </x:row>
    <x:row r="490">
      <x:c r="A490" t="str" s="2">
        <x:f>=HYPERLINK("https://rsms.futurehomex.com/lead/38835", "Amber Hymes")</x:f>
      </x:c>
      <x:c r="B490" t="n" s="2">
        <x:v>76</x:v>
      </x:c>
      <x:c r="C490" t="str" s="2">
        <x:v>0/3</x:v>
      </x:c>
      <x:c r="D490" t="str" s="2">
        <x:f>=""</x:f>
      </x:c>
      <x:c r="E490" s="0"/>
      <x:c r="F490" t="str" s="2">
        <x:v>Financing Form</x:v>
      </x:c>
      <x:c r="G490" t="str" s="2">
        <x:v>Heritage Housing of Oklahoma City</x:v>
      </x:c>
      <x:c r="H490" t="str" s="2">
        <x:v>Alejandra Calderon</x:v>
      </x:c>
      <x:c r="I490" t="str" s="2">
        <x:v>Karol Romero</x:v>
      </x:c>
      <x:c r="J490" s="0"/>
      <x:c r="K490" t="n" s="2">
        <x:v>5</x:v>
      </x:c>
      <x:c r="L490" t="str" s="2">
        <x:v>1.1</x:v>
      </x:c>
      <x:c r="M490" t="str" s="2">
        <x:v>Tentative</x:v>
      </x:c>
      <x:c r="N490" t="str" s="2">
        <x:v>Prospect</x:v>
      </x:c>
      <x:c r="O490" s="0"/>
      <x:c r="P490" s="6">
        <x:v>46232</x:v>
      </x:c>
      <x:c r="Q490" s="6">
        <x:v>46267.62806053241</x:v>
      </x:c>
      <x:c r="R490" s="0"/>
      <x:c r="S490" s="0"/>
      <x:c r="T490" s="0"/>
      <x:c r="U490" s="0"/>
      <x:c r="V490" s="0"/>
      <x:c r="W490" s="0"/>
      <x:c r="X490" t="str" s="2">
        <x:v>6232758519</x:v>
      </x:c>
      <x:c r="Y490" t="str" s="2">
        <x:v>ambkelhymes@gmail.com</x:v>
      </x:c>
      <x:c r="Z490" s="6">
        <x:v>46273.96453981481</x:v>
      </x:c>
      <x:c r="AA490" t="str" s="2">
        <x:v>Alejandra Calderon</x:v>
      </x:c>
      <x:c r="AB490" s="6">
        <x:v>46232.95485072917</x:v>
      </x:c>
      <x:c r="AC490" t="n" s="2">
        <x:v>38835</x:v>
      </x:c>
      <x:c r="AD490" s="0"/>
      <x:c r="AE490" s="0"/>
      <x:c r="AF490" s="0"/>
      <x:c r="AG490" s="0"/>
      <x:c r="AH490" s="0"/>
      <x:c r="AI490" s="0"/>
      <x:c r="AJ490" s="0"/>
      <x:c r="AK490" s="0"/>
    </x:row>
    <x:row r="491">
      <x:c r="A491" t="str" s="2">
        <x:f>=HYPERLINK("https://rsms.futurehomex.com/lead/38836", "Eli Love")</x:f>
      </x:c>
      <x:c r="B491" t="n" s="2">
        <x:v>76</x:v>
      </x:c>
      <x:c r="C491" t="str" s="2">
        <x:v>0/2</x:v>
      </x:c>
      <x:c r="D491" t="str" s="2">
        <x:f>=""</x:f>
      </x:c>
      <x:c r="E491" s="0"/>
      <x:c r="F491" t="str" s="2">
        <x:v>Office Hot Calls</x:v>
      </x:c>
      <x:c r="G491" t="str" s="2">
        <x:v>Heritage Housing of Minden</x:v>
      </x:c>
      <x:c r="H491" t="str" s="2">
        <x:v>Patrick Schuchart</x:v>
      </x:c>
      <x:c r="I491" t="str" s="2">
        <x:v>Karol Romero</x:v>
      </x:c>
      <x:c r="J491" t="str" s="2">
        <x:v>Patrick Schuchart</x:v>
      </x:c>
      <x:c r="K491" t="n" s="2">
        <x:v>5</x:v>
      </x:c>
      <x:c r="L491" t="str" s="2">
        <x:v>1.1</x:v>
      </x:c>
      <x:c r="M491" t="str" s="2">
        <x:v>Tentative</x:v>
      </x:c>
      <x:c r="N491" t="str" s="2">
        <x:v>Deal Created</x:v>
      </x:c>
      <x:c r="O491" s="0"/>
      <x:c r="P491" s="6">
        <x:v>46232</x:v>
      </x:c>
      <x:c r="Q491" s="6">
        <x:v>46242.661246840275</x:v>
      </x:c>
      <x:c r="R491" s="0"/>
      <x:c r="S491" s="0"/>
      <x:c r="T491" s="0"/>
      <x:c r="U491" s="0"/>
      <x:c r="V491" s="0"/>
      <x:c r="W491" s="0"/>
      <x:c r="X491" t="str" s="2">
        <x:v>9722467117</x:v>
      </x:c>
      <x:c r="Y491" t="str" s="2">
        <x:v>9722467117</x:v>
      </x:c>
      <x:c r="Z491" s="6">
        <x:v>46302.60418333334</x:v>
      </x:c>
      <x:c r="AA491" t="str" s="2">
        <x:v>Kyla Brown</x:v>
      </x:c>
      <x:c r="AB491" s="6">
        <x:v>46232.95576292824</x:v>
      </x:c>
      <x:c r="AC491" t="n" s="2">
        <x:v>38836</x:v>
      </x:c>
      <x:c r="AD491" s="0"/>
      <x:c r="AE491" s="0"/>
      <x:c r="AF491" s="0"/>
      <x:c r="AG491" s="0"/>
      <x:c r="AH491" s="0"/>
      <x:c r="AI491" s="0"/>
      <x:c r="AJ491" s="0"/>
      <x:c r="AK491" s="0"/>
    </x:row>
    <x:row r="492">
      <x:c r="A492" t="str" s="2">
        <x:f>=HYPERLINK("https://rsms.futurehomex.com/lead/38839", "David Clark")</x:f>
      </x:c>
      <x:c r="B492" t="n" s="2">
        <x:v>76</x:v>
      </x:c>
      <x:c r="C492" t="str" s="2">
        <x:v/>
      </x:c>
      <x:c r="D492" t="str" s="2">
        <x:f>=""</x:f>
      </x:c>
      <x:c r="E492" s="0"/>
      <x:c r="F492" t="str" s="2">
        <x:v>Walk-in</x:v>
      </x:c>
      <x:c r="G492" t="str" s="2">
        <x:v>Heritage Housing of Asheboro</x:v>
      </x:c>
      <x:c r="H492" t="str" s="2">
        <x:v>Maria Lopez</x:v>
      </x:c>
      <x:c r="I492" s="0"/>
      <x:c r="J492" s="0"/>
      <x:c r="K492" t="n" s="2">
        <x:v>21</x:v>
      </x:c>
      <x:c r="L492" t="str" s="2">
        <x:v>2.1</x:v>
      </x:c>
      <x:c r="M492" t="str" s="2">
        <x:v>Dead</x:v>
      </x:c>
      <x:c r="N492" t="str" s="2">
        <x:v>Qualified</x:v>
      </x:c>
      <x:c r="O492" s="0"/>
      <x:c r="P492" s="6">
        <x:v>46232</x:v>
      </x:c>
      <x:c r="Q492" s="6">
        <x:v>46238.677038622685</x:v>
      </x:c>
      <x:c r="R492" s="0"/>
      <x:c r="S492" s="0"/>
      <x:c r="T492" s="0"/>
      <x:c r="U492" s="0"/>
      <x:c r="V492" s="0"/>
      <x:c r="W492" s="0"/>
      <x:c r="X492" t="str" s="2">
        <x:v>3369532341</x:v>
      </x:c>
      <x:c r="Y492" t="str" s="2">
        <x:v>Woodylatham82@gmail.com</x:v>
      </x:c>
      <x:c r="Z492" s="6">
        <x:v>46268.7752440162</x:v>
      </x:c>
      <x:c r="AA492" t="str" s="2">
        <x:v>Maria Lopez</x:v>
      </x:c>
      <x:c r="AB492" s="6">
        <x:v>46232.9592840625</x:v>
      </x:c>
      <x:c r="AC492" t="n" s="2">
        <x:v>38839</x:v>
      </x:c>
      <x:c r="AD492" s="0"/>
      <x:c r="AE492" s="0"/>
      <x:c r="AF492" s="0"/>
      <x:c r="AG492" s="0"/>
      <x:c r="AH492" s="0"/>
      <x:c r="AI492" s="0"/>
      <x:c r="AJ492" s="0"/>
      <x:c r="AK492" s="0"/>
    </x:row>
    <x:row r="493">
      <x:c r="A493" t="str" s="2">
        <x:f>=HYPERLINK("https://rsms.futurehomex.com/lead/38840", "Sherry Chaffin")</x:f>
      </x:c>
      <x:c r="B493" t="n" s="2">
        <x:v>75</x:v>
      </x:c>
      <x:c r="C493" t="str" s="2">
        <x:v>1/4</x:v>
      </x:c>
      <x:c r="D493" t="str" s="2">
        <x:f>=""</x:f>
      </x:c>
      <x:c r="E493" s="0"/>
      <x:c r="F493" t="str" s="2">
        <x:v>Facebook Messenger</x:v>
      </x:c>
      <x:c r="G493" t="str" s="2">
        <x:v>Heritage Housing of Oklahoma City</x:v>
      </x:c>
      <x:c r="H493" t="str" s="2">
        <x:v>Steve Castell</x:v>
      </x:c>
      <x:c r="I493" s="0"/>
      <x:c r="J493" t="str" s="2">
        <x:v>Steve Castell</x:v>
      </x:c>
      <x:c r="K493" t="n" s="2">
        <x:v>5</x:v>
      </x:c>
      <x:c r="L493" t="str" s="2">
        <x:v>1.1</x:v>
      </x:c>
      <x:c r="M493" t="str" s="2">
        <x:v>Tentative</x:v>
      </x:c>
      <x:c r="N493" t="str" s="2">
        <x:v>Deal Created</x:v>
      </x:c>
      <x:c r="O493" s="0"/>
      <x:c r="P493" s="6">
        <x:v>46233</x:v>
      </x:c>
      <x:c r="Q493" s="6">
        <x:v>46233.64588225695</x:v>
      </x:c>
      <x:c r="R493" s="0"/>
      <x:c r="S493" s="0"/>
      <x:c r="T493" s="0"/>
      <x:c r="U493" s="0"/>
      <x:c r="V493" s="0"/>
      <x:c r="W493" s="0"/>
      <x:c r="X493" t="str" s="2">
        <x:v>4052551290</x:v>
      </x:c>
      <x:c r="Y493" t="str" s="2">
        <x:v>wendymagnus1@aol.com</x:v>
      </x:c>
      <x:c r="Z493" s="6">
        <x:v>46268.95341403935</x:v>
      </x:c>
      <x:c r="AA493" t="str" s="2">
        <x:v>Steve Castell</x:v>
      </x:c>
      <x:c r="AB493" s="6">
        <x:v>46233.64431681713</x:v>
      </x:c>
      <x:c r="AC493" t="n" s="2">
        <x:v>38840</x:v>
      </x:c>
      <x:c r="AD493" s="0"/>
      <x:c r="AE493" s="0"/>
      <x:c r="AF493" s="0"/>
      <x:c r="AG493" s="0"/>
      <x:c r="AH493" s="0"/>
      <x:c r="AI493" s="0"/>
      <x:c r="AJ493" s="0"/>
      <x:c r="AK493" s="0"/>
    </x:row>
    <x:row r="494">
      <x:c r="A494" t="str" s="2">
        <x:f>=HYPERLINK("https://rsms.futurehomex.com/lead/38841", "Heather Baughman")</x:f>
      </x:c>
      <x:c r="B494" t="n" s="2">
        <x:v>75</x:v>
      </x:c>
      <x:c r="C494" t="str" s="2">
        <x:v/>
      </x:c>
      <x:c r="D494" t="str" s="2">
        <x:f>=""</x:f>
      </x:c>
      <x:c r="E494" s="0"/>
      <x:c r="F494" t="str" s="2">
        <x:v>Walk-in</x:v>
      </x:c>
      <x:c r="G494" t="str" s="2">
        <x:v>Heritage Housing of Asheboro</x:v>
      </x:c>
      <x:c r="H494" t="str" s="2">
        <x:v>Maria Lopez</x:v>
      </x:c>
      <x:c r="I494" s="0"/>
      <x:c r="J494" s="0"/>
      <x:c r="K494" t="n" s="2">
        <x:v>21</x:v>
      </x:c>
      <x:c r="L494" t="str" s="2">
        <x:v>2.1</x:v>
      </x:c>
      <x:c r="M494" t="str" s="2">
        <x:v>Tentative</x:v>
      </x:c>
      <x:c r="N494" t="str" s="2">
        <x:v>Qualified</x:v>
      </x:c>
      <x:c r="O494" s="0"/>
      <x:c r="P494" s="6">
        <x:v>46233</x:v>
      </x:c>
      <x:c r="Q494" s="6">
        <x:v>46238.675541400466</x:v>
      </x:c>
      <x:c r="R494" s="0"/>
      <x:c r="S494" s="0"/>
      <x:c r="T494" s="0"/>
      <x:c r="U494" s="0"/>
      <x:c r="V494" s="0"/>
      <x:c r="W494" s="0"/>
      <x:c r="X494" t="str" s="2">
        <x:v>7046683823</x:v>
      </x:c>
      <x:c r="Y494" t="str" s="2">
        <x:v>hbaughman01@gmail.com</x:v>
      </x:c>
      <x:c r="Z494" s="6">
        <x:v>46238.67552978009</x:v>
      </x:c>
      <x:c r="AA494" t="str" s="2">
        <x:v>Jeremy Jacques</x:v>
      </x:c>
      <x:c r="AB494" s="6">
        <x:v>46233.65697253472</x:v>
      </x:c>
      <x:c r="AC494" t="n" s="2">
        <x:v>38841</x:v>
      </x:c>
      <x:c r="AD494" s="0"/>
      <x:c r="AE494" s="0"/>
      <x:c r="AF494" s="0"/>
      <x:c r="AG494" s="0"/>
      <x:c r="AH494" s="0"/>
      <x:c r="AI494" s="0"/>
      <x:c r="AJ494" s="0"/>
      <x:c r="AK494" s="0"/>
    </x:row>
    <x:row r="495">
      <x:c r="A495" t="str" s="2">
        <x:f>=HYPERLINK("https://rsms.futurehomex.com/lead/38842", "Kayla Robert")</x:f>
      </x:c>
      <x:c r="B495" t="n" s="2">
        <x:v>75</x:v>
      </x:c>
      <x:c r="C495" t="str" s="2">
        <x:v/>
      </x:c>
      <x:c r="D495" t="str" s="2">
        <x:f>=""</x:f>
      </x:c>
      <x:c r="E495" s="0"/>
      <x:c r="F495" t="str" s="2">
        <x:v>Walk-in</x:v>
      </x:c>
      <x:c r="G495" t="str" s="2">
        <x:v>Heritage Housing of Asheboro</x:v>
      </x:c>
      <x:c r="H495" t="str" s="2">
        <x:v>Maria Lopez</x:v>
      </x:c>
      <x:c r="I495" s="0"/>
      <x:c r="J495" s="0"/>
      <x:c r="K495" t="n" s="2">
        <x:v>21</x:v>
      </x:c>
      <x:c r="L495" t="str" s="2">
        <x:v>2.1</x:v>
      </x:c>
      <x:c r="M495" t="str" s="2">
        <x:v>Dead</x:v>
      </x:c>
      <x:c r="N495" t="str" s="2">
        <x:v>Qualified</x:v>
      </x:c>
      <x:c r="O495" s="0"/>
      <x:c r="P495" s="6">
        <x:v>46233</x:v>
      </x:c>
      <x:c r="Q495" s="6">
        <x:v>46238.67607037037</x:v>
      </x:c>
      <x:c r="R495" s="0"/>
      <x:c r="S495" s="0"/>
      <x:c r="T495" s="0"/>
      <x:c r="U495" s="0"/>
      <x:c r="V495" s="0"/>
      <x:c r="W495" s="0"/>
      <x:c r="X495" t="str" s="2">
        <x:v>9193066890</x:v>
      </x:c>
      <x:c r="Y495" t="str" s="2">
        <x:v>kaylarobert069@gmail.com</x:v>
      </x:c>
      <x:c r="Z495" s="6">
        <x:v>46268.77436134259</x:v>
      </x:c>
      <x:c r="AA495" t="str" s="2">
        <x:v>Maria Lopez</x:v>
      </x:c>
      <x:c r="AB495" s="6">
        <x:v>46233.75401172454</x:v>
      </x:c>
      <x:c r="AC495" t="n" s="2">
        <x:v>38842</x:v>
      </x:c>
      <x:c r="AD495" s="0"/>
      <x:c r="AE495" s="0"/>
      <x:c r="AF495" s="0"/>
      <x:c r="AG495" s="0"/>
      <x:c r="AH495" s="0"/>
      <x:c r="AI495" s="0"/>
      <x:c r="AJ495" s="0"/>
      <x:c r="AK495" s="0"/>
    </x:row>
    <x:row r="496">
      <x:c r="A496" t="str" s="2">
        <x:f>=HYPERLINK("https://rsms.futurehomex.com/lead/38843", "Sharice Jordan")</x:f>
      </x:c>
      <x:c r="B496" t="n" s="2">
        <x:v>75</x:v>
      </x:c>
      <x:c r="C496" t="str" s="2">
        <x:v>1/1</x:v>
      </x:c>
      <x:c r="D496" t="str" s="2">
        <x:f>=""</x:f>
      </x:c>
      <x:c r="E496" s="0"/>
      <x:c r="F496" t="str" s="2">
        <x:v>LandingPage</x:v>
      </x:c>
      <x:c r="G496" t="str" s="2">
        <x:v>Heritage Housing of Augusta</x:v>
      </x:c>
      <x:c r="H496" t="str" s="2">
        <x:v>Jennifer Johnson</x:v>
      </x:c>
      <x:c r="I496" t="str" s="2">
        <x:v>Karol Romero</x:v>
      </x:c>
      <x:c r="J496" t="str" s="2">
        <x:v>Jennifer Johnson</x:v>
      </x:c>
      <x:c r="K496" t="n" s="2">
        <x:v>5</x:v>
      </x:c>
      <x:c r="L496" t="str" s="2">
        <x:v>1.1</x:v>
      </x:c>
      <x:c r="M496" t="str" s="2">
        <x:v>Inactive</x:v>
      </x:c>
      <x:c r="N496" t="str" s="2">
        <x:v>Deal Created</x:v>
      </x:c>
      <x:c r="O496" s="0"/>
      <x:c r="P496" s="6">
        <x:v>46233</x:v>
      </x:c>
      <x:c r="Q496" s="6">
        <x:v>46281.67710300926</x:v>
      </x:c>
      <x:c r="R496" s="0"/>
      <x:c r="S496" s="6">
        <x:v>46233</x:v>
      </x:c>
      <x:c r="T496" s="0"/>
      <x:c r="U496" s="0"/>
      <x:c r="V496" s="0"/>
      <x:c r="W496" s="0"/>
      <x:c r="X496" t="str" s="2">
        <x:v>7067555896</x:v>
      </x:c>
      <x:c r="Y496" t="str" s="2">
        <x:v>sharice1999@gmail.com</x:v>
      </x:c>
      <x:c r="Z496" s="6">
        <x:v>46242.848266354165</x:v>
      </x:c>
      <x:c r="AA496" t="str" s="2">
        <x:v>Alex Jones</x:v>
      </x:c>
      <x:c r="AB496" s="6">
        <x:v>46233.76983005787</x:v>
      </x:c>
      <x:c r="AC496" t="n" s="2">
        <x:v>38843</x:v>
      </x:c>
      <x:c r="AD496" s="0"/>
      <x:c r="AE496" s="0"/>
      <x:c r="AF496" s="0"/>
      <x:c r="AG496" s="7">
        <x:v>7000</x:v>
      </x:c>
      <x:c r="AH496" s="0"/>
      <x:c r="AI496" s="0"/>
      <x:c r="AJ496" s="0"/>
      <x:c r="AK496" s="0"/>
    </x:row>
    <x:row r="497">
      <x:c r="A497" t="str" s="2">
        <x:f>=HYPERLINK("https://rsms.futurehomex.com/lead/38844", "Felipe Dortolina")</x:f>
      </x:c>
      <x:c r="B497" t="n" s="2">
        <x:v>75</x:v>
      </x:c>
      <x:c r="C497" t="str" s="2">
        <x:v>0/3</x:v>
      </x:c>
      <x:c r="D497" t="str" s="2">
        <x:f>=""</x:f>
      </x:c>
      <x:c r="E497" s="0"/>
      <x:c r="F497" t="str" s="2">
        <x:v>Meta Marketplace</x:v>
      </x:c>
      <x:c r="G497" t="str" s="2">
        <x:v>Legacy Housing Corp. DBA Americasa</x:v>
      </x:c>
      <x:c r="H497" t="str" s="2">
        <x:v>Jose Parada</x:v>
      </x:c>
      <x:c r="I497" t="str" s="2">
        <x:v>Karol Romero</x:v>
      </x:c>
      <x:c r="J497" t="str" s="2">
        <x:v>Rodrigo Ramirez</x:v>
      </x:c>
      <x:c r="K497" t="n" s="2">
        <x:v>5</x:v>
      </x:c>
      <x:c r="L497" t="str" s="2">
        <x:v>1.1</x:v>
      </x:c>
      <x:c r="M497" t="str" s="2">
        <x:v>Tentative</x:v>
      </x:c>
      <x:c r="N497" t="str" s="2">
        <x:v>Deal Created</x:v>
      </x:c>
      <x:c r="O497" s="0"/>
      <x:c r="P497" s="6">
        <x:v>46233</x:v>
      </x:c>
      <x:c r="Q497" s="6">
        <x:v>46241.789956168985</x:v>
      </x:c>
      <x:c r="R497" s="0"/>
      <x:c r="S497" s="0"/>
      <x:c r="T497" s="0"/>
      <x:c r="U497" s="0"/>
      <x:c r="V497" s="0"/>
      <x:c r="W497" s="0"/>
      <x:c r="X497" t="str" s="2">
        <x:v>3179937802</x:v>
      </x:c>
      <x:c r="Y497" t="str" s="2">
        <x:v>3179937805</x:v>
      </x:c>
      <x:c r="Z497" s="6">
        <x:v>46241.83159320602</x:v>
      </x:c>
      <x:c r="AA497" t="str" s="2">
        <x:v>Victoria Sanchez</x:v>
      </x:c>
      <x:c r="AB497" s="6">
        <x:v>46233.77300787037</x:v>
      </x:c>
      <x:c r="AC497" t="n" s="2">
        <x:v>38844</x:v>
      </x:c>
      <x:c r="AD497" s="0"/>
      <x:c r="AE497" s="0"/>
      <x:c r="AF497" s="0"/>
      <x:c r="AG497" s="0"/>
      <x:c r="AH497" s="0"/>
      <x:c r="AI497" s="0"/>
      <x:c r="AJ497" s="0"/>
      <x:c r="AK497" s="0"/>
    </x:row>
    <x:row r="498">
      <x:c r="A498" t="str" s="2">
        <x:f>=HYPERLINK("https://rsms.futurehomex.com/lead/38845", "Omar Mccrea")</x:f>
      </x:c>
      <x:c r="B498" t="n" s="2">
        <x:v>75</x:v>
      </x:c>
      <x:c r="C498" t="str" s="2">
        <x:v>1/2</x:v>
      </x:c>
      <x:c r="D498" t="str" s="2">
        <x:f>=""</x:f>
      </x:c>
      <x:c r="E498" s="0"/>
      <x:c r="F498" t="str" s="2">
        <x:v>Financing Form</x:v>
      </x:c>
      <x:c r="G498" t="str" s="2">
        <x:v>Heritage Housing of Jennings</x:v>
      </x:c>
      <x:c r="H498" t="str" s="2">
        <x:v>Mervin Leslie Smith</x:v>
      </x:c>
      <x:c r="I498" s="0"/>
      <x:c r="J498" t="str" s="2">
        <x:v>Mervin Leslie Smith</x:v>
      </x:c>
      <x:c r="K498" t="n" s="2">
        <x:v>5</x:v>
      </x:c>
      <x:c r="L498" t="str" s="2">
        <x:v>1.1</x:v>
      </x:c>
      <x:c r="M498" t="str" s="2">
        <x:v>Inactive</x:v>
      </x:c>
      <x:c r="N498" t="str" s="2">
        <x:v>Deal Created</x:v>
      </x:c>
      <x:c r="O498" s="0"/>
      <x:c r="P498" s="6">
        <x:v>46233</x:v>
      </x:c>
      <x:c r="Q498" s="6">
        <x:v>46233.77535123842</x:v>
      </x:c>
      <x:c r="R498" s="0"/>
      <x:c r="S498" s="0"/>
      <x:c r="T498" s="0"/>
      <x:c r="U498" s="0"/>
      <x:c r="V498" s="0"/>
      <x:c r="W498" s="0"/>
      <x:c r="X498" t="str" s="2">
        <x:v>3379981046</x:v>
      </x:c>
      <x:c r="Y498" t="str" s="2">
        <x:v>omarmccrea23@yahoo.com</x:v>
      </x:c>
      <x:c r="Z498" s="6">
        <x:v>46308.666737962965</x:v>
      </x:c>
      <x:c r="AA498" t="str" s="2">
        <x:v>Mervin Leslie Smith</x:v>
      </x:c>
      <x:c r="AB498" s="6">
        <x:v>46233.77535181713</x:v>
      </x:c>
      <x:c r="AC498" t="n" s="2">
        <x:v>38845</x:v>
      </x:c>
      <x:c r="AD498" s="0"/>
      <x:c r="AE498" s="0"/>
      <x:c r="AF498" s="0"/>
      <x:c r="AG498" s="0"/>
      <x:c r="AH498" s="0"/>
      <x:c r="AI498" s="0"/>
      <x:c r="AJ498" s="0"/>
      <x:c r="AK498" s="0"/>
    </x:row>
    <x:row r="499">
      <x:c r="A499" t="str" s="2">
        <x:f>=HYPERLINK("https://rsms.futurehomex.com/lead/38846", "Eva Oliver")</x:f>
      </x:c>
      <x:c r="B499" t="n" s="2">
        <x:v>75</x:v>
      </x:c>
      <x:c r="C499" t="str" s="2">
        <x:v/>
      </x:c>
      <x:c r="D499" t="str" s="2">
        <x:f>=""</x:f>
      </x:c>
      <x:c r="E499" s="0"/>
      <x:c r="F499" t="str" s="2">
        <x:v>Facebook Messenger</x:v>
      </x:c>
      <x:c r="G499" t="str" s="2">
        <x:v>Heritage Housing of Albany</x:v>
      </x:c>
      <x:c r="H499" t="str" s="2">
        <x:v>Alexander Bryant</x:v>
      </x:c>
      <x:c r="I499" s="0"/>
      <x:c r="J499" t="str" s="2">
        <x:v>Justin Johnson</x:v>
      </x:c>
      <x:c r="K499" t="n" s="2">
        <x:v>5</x:v>
      </x:c>
      <x:c r="L499" t="str" s="2">
        <x:v>1.1</x:v>
      </x:c>
      <x:c r="M499" t="str" s="2">
        <x:v>Tentative</x:v>
      </x:c>
      <x:c r="N499" t="str" s="2">
        <x:v>Deal Created</x:v>
      </x:c>
      <x:c r="O499" s="0"/>
      <x:c r="P499" s="6">
        <x:v>46233</x:v>
      </x:c>
      <x:c r="Q499" s="6">
        <x:v>46233.81160755787</x:v>
      </x:c>
      <x:c r="R499" s="0"/>
      <x:c r="S499" s="6">
        <x:v>46234</x:v>
      </x:c>
      <x:c r="T499" s="0"/>
      <x:c r="U499" s="0"/>
      <x:c r="V499" s="0"/>
      <x:c r="W499" s="0"/>
      <x:c r="X499" t="str" s="2">
        <x:v>7069849088</x:v>
      </x:c>
      <x:c r="Y499" t="str" s="2">
        <x:v>joelhatter@hotmail.com</x:v>
      </x:c>
      <x:c r="Z499" s="6">
        <x:v>46234.94934699074</x:v>
      </x:c>
      <x:c r="AA499" t="str" s="2">
        <x:v>Alexander Bryant</x:v>
      </x:c>
      <x:c r="AB499" s="6">
        <x:v>46233.811609606484</x:v>
      </x:c>
      <x:c r="AC499" t="n" s="2">
        <x:v>38846</x:v>
      </x:c>
      <x:c r="AD499" s="0"/>
      <x:c r="AE499" s="0"/>
      <x:c r="AF499" s="0"/>
      <x:c r="AG499" s="0"/>
      <x:c r="AH499" s="0"/>
      <x:c r="AI499" s="0"/>
      <x:c r="AJ499" s="0"/>
      <x:c r="AK499" s="0"/>
    </x:row>
    <x:row r="500">
      <x:c r="A500" t="str" s="2">
        <x:f>=HYPERLINK("https://rsms.futurehomex.com/lead/38847", "Lawrence King")</x:f>
      </x:c>
      <x:c r="B500" t="n" s="2">
        <x:v>75</x:v>
      </x:c>
      <x:c r="C500" t="str" s="2">
        <x:v/>
      </x:c>
      <x:c r="D500" t="str" s="2">
        <x:f>=""</x:f>
      </x:c>
      <x:c r="E500" s="0"/>
      <x:c r="F500" t="str" s="2">
        <x:v>Facebook Messenger</x:v>
      </x:c>
      <x:c r="G500" t="str" s="2">
        <x:v>Heritage Housing of Oklahoma City</x:v>
      </x:c>
      <x:c r="H500" t="str" s="2">
        <x:v>Trey Rixleben</x:v>
      </x:c>
      <x:c r="I500" s="0"/>
      <x:c r="J500" s="0"/>
      <x:c r="K500" t="n" s="2">
        <x:v>5</x:v>
      </x:c>
      <x:c r="L500" t="str" s="2">
        <x:v>1.1</x:v>
      </x:c>
      <x:c r="M500" t="str" s="2">
        <x:v>Dead</x:v>
      </x:c>
      <x:c r="N500" t="str" s="2">
        <x:v>Deal Created</x:v>
      </x:c>
      <x:c r="O500" s="0"/>
      <x:c r="P500" s="6">
        <x:v>46233</x:v>
      </x:c>
      <x:c r="Q500" s="6">
        <x:v>46233.83928703704</x:v>
      </x:c>
      <x:c r="R500" s="0"/>
      <x:c r="S500" s="0"/>
      <x:c r="T500" s="0"/>
      <x:c r="U500" s="0"/>
      <x:c r="V500" s="0"/>
      <x:c r="W500" s="0"/>
      <x:c r="X500" t="str" s="2">
        <x:v>4054763736</x:v>
      </x:c>
      <x:c r="Y500" t="str" s="2">
        <x:v>lawrenceking136@yahoo.com</x:v>
      </x:c>
      <x:c r="Z500" s="6">
        <x:v>46233.8528121875</x:v>
      </x:c>
      <x:c r="AA500" t="str" s="2">
        <x:v>Trey Rixleben</x:v>
      </x:c>
      <x:c r="AB500" s="6">
        <x:v>46233.839289895834</x:v>
      </x:c>
      <x:c r="AC500" t="n" s="2">
        <x:v>38847</x:v>
      </x:c>
      <x:c r="AD500" s="0"/>
      <x:c r="AE500" s="0"/>
      <x:c r="AF500" s="0"/>
      <x:c r="AG500" s="0"/>
      <x:c r="AH500" s="0"/>
      <x:c r="AI500" s="0"/>
      <x:c r="AJ500" s="0"/>
      <x:c r="AK500" s="0"/>
    </x:row>
    <x:row r="501">
      <x:c r="A501" t="str" s="2">
        <x:f>=HYPERLINK("https://rsms.futurehomex.com/lead/38848", "Stanley Williams")</x:f>
      </x:c>
      <x:c r="B501" t="n" s="2">
        <x:v>75</x:v>
      </x:c>
      <x:c r="C501" t="str" s="2">
        <x:v>0/1</x:v>
      </x:c>
      <x:c r="D501" t="str" s="2">
        <x:f>=""</x:f>
      </x:c>
      <x:c r="E501" s="0"/>
      <x:c r="F501" t="str" s="2">
        <x:v>Office Hot Calls</x:v>
      </x:c>
      <x:c r="G501" t="str" s="2">
        <x:v>Heritage Housing of Minden</x:v>
      </x:c>
      <x:c r="H501" t="str" s="2">
        <x:v>Patrick Schuchart</x:v>
      </x:c>
      <x:c r="I501" s="0"/>
      <x:c r="J501" t="str" s="2">
        <x:v>Patrick Schuchart</x:v>
      </x:c>
      <x:c r="K501" t="n" s="2">
        <x:v>5</x:v>
      </x:c>
      <x:c r="L501" t="str" s="2">
        <x:v>1.1</x:v>
      </x:c>
      <x:c r="M501" t="str" s="2">
        <x:v>Active</x:v>
      </x:c>
      <x:c r="N501" t="str" s="2">
        <x:v>Prospect</x:v>
      </x:c>
      <x:c r="O501" s="0"/>
      <x:c r="P501" s="6">
        <x:v>46233</x:v>
      </x:c>
      <x:c r="Q501" s="6">
        <x:v>46237.838129131946</x:v>
      </x:c>
      <x:c r="R501" s="0"/>
      <x:c r="S501" s="0"/>
      <x:c r="T501" s="0"/>
      <x:c r="U501" s="0"/>
      <x:c r="V501" s="0"/>
      <x:c r="W501" s="0"/>
      <x:c r="X501" t="str" s="2">
        <x:v>3185148044</x:v>
      </x:c>
      <x:c r="Y501" t="str" s="2">
        <x:v>3185148044@noemail.com</x:v>
      </x:c>
      <x:c r="Z501" s="6">
        <x:v>46294.88947792824</x:v>
      </x:c>
      <x:c r="AA501" t="str" s="2">
        <x:v>Kyla Brown</x:v>
      </x:c>
      <x:c r="AB501" s="6">
        <x:v>46233.873801967595</x:v>
      </x:c>
      <x:c r="AC501" t="n" s="2">
        <x:v>38848</x:v>
      </x:c>
      <x:c r="AD501" s="0"/>
      <x:c r="AE501" s="0"/>
      <x:c r="AF501" s="0"/>
      <x:c r="AG501" s="0"/>
      <x:c r="AH501" s="0"/>
      <x:c r="AI501" s="0"/>
      <x:c r="AJ501" s="0"/>
      <x:c r="AK501" s="0"/>
    </x:row>
    <x:row r="502">
      <x:c r="A502" t="str" s="2">
        <x:f>=HYPERLINK("https://rsms.futurehomex.com/lead/38850", "Brandi Daluge")</x:f>
      </x:c>
      <x:c r="B502" t="n" s="2">
        <x:v>75</x:v>
      </x:c>
      <x:c r="C502" t="str" s="2">
        <x:v/>
      </x:c>
      <x:c r="D502" t="str" s="2">
        <x:f>=""</x:f>
      </x:c>
      <x:c r="E502" s="0"/>
      <x:c r="F502" t="str" s="2">
        <x:v>HH - Tulsa</x:v>
      </x:c>
      <x:c r="G502" t="str" s="2">
        <x:v>Heritage Housing of Tulsa</x:v>
      </x:c>
      <x:c r="H502" t="str" s="2">
        <x:v>Jenna Fransisco</x:v>
      </x:c>
      <x:c r="I502" s="0"/>
      <x:c r="J502" t="str" s="2">
        <x:v>Jenna Fransisco</x:v>
      </x:c>
      <x:c r="K502" t="n" s="2">
        <x:v>5</x:v>
      </x:c>
      <x:c r="L502" t="str" s="2">
        <x:v>1.1</x:v>
      </x:c>
      <x:c r="M502" t="str" s="2">
        <x:v>Active</x:v>
      </x:c>
      <x:c r="N502" t="str" s="2">
        <x:v>Deal Created</x:v>
      </x:c>
      <x:c r="O502" s="0"/>
      <x:c r="P502" s="6">
        <x:v>46233</x:v>
      </x:c>
      <x:c r="Q502" s="6">
        <x:v>46233.88465486111</x:v>
      </x:c>
      <x:c r="R502" s="0"/>
      <x:c r="S502" s="6">
        <x:v>46233</x:v>
      </x:c>
      <x:c r="T502" s="0"/>
      <x:c r="U502" s="0"/>
      <x:c r="V502" s="0"/>
      <x:c r="W502" s="0"/>
      <x:c r="X502" t="str" s="2">
        <x:v>9165831959</x:v>
      </x:c>
      <x:c r="Y502" t="str" s="2">
        <x:v>brandidaluge@gmail.com</x:v>
      </x:c>
      <x:c r="Z502" s="0"/>
      <x:c r="AA502" s="0"/>
      <x:c r="AB502" s="6">
        <x:v>46233.884656215276</x:v>
      </x:c>
      <x:c r="AC502" t="n" s="2">
        <x:v>38850</x:v>
      </x:c>
      <x:c r="AD502" s="0"/>
      <x:c r="AE502" s="0"/>
      <x:c r="AF502" s="0"/>
      <x:c r="AG502" s="0"/>
      <x:c r="AH502" s="0"/>
      <x:c r="AI502" s="0"/>
      <x:c r="AJ502" s="0"/>
      <x:c r="AK502" s="0"/>
    </x:row>
    <x:row r="503">
      <x:c r="A503" t="str" s="2">
        <x:f>=HYPERLINK("https://rsms.futurehomex.com/lead/38851", "Patricia Smith")</x:f>
      </x:c>
      <x:c r="B503" t="n" s="2">
        <x:v>75</x:v>
      </x:c>
      <x:c r="C503" t="str" s="2">
        <x:v>0/3</x:v>
      </x:c>
      <x:c r="D503" t="str" s="2">
        <x:f>=""</x:f>
      </x:c>
      <x:c r="E503" s="0"/>
      <x:c r="F503" t="str" s="2">
        <x:v>Facebook Messenger</x:v>
      </x:c>
      <x:c r="G503" t="str" s="2">
        <x:v>Heritage Housing of Oklahoma City</x:v>
      </x:c>
      <x:c r="H503" t="str" s="2">
        <x:v>Trey Rixleben</x:v>
      </x:c>
      <x:c r="I503" s="0"/>
      <x:c r="J503" t="str" s="2">
        <x:v>Mariea Grayson</x:v>
      </x:c>
      <x:c r="K503" t="n" s="2">
        <x:v>5</x:v>
      </x:c>
      <x:c r="L503" t="str" s="2">
        <x:v>1.1</x:v>
      </x:c>
      <x:c r="M503" t="str" s="2">
        <x:v>Tentative</x:v>
      </x:c>
      <x:c r="N503" t="str" s="2">
        <x:v>Deal Created</x:v>
      </x:c>
      <x:c r="O503" s="0"/>
      <x:c r="P503" s="6">
        <x:v>46233</x:v>
      </x:c>
      <x:c r="Q503" s="6">
        <x:v>46275.93045806713</x:v>
      </x:c>
      <x:c r="R503" s="0"/>
      <x:c r="S503" s="0"/>
      <x:c r="T503" s="0"/>
      <x:c r="U503" s="0"/>
      <x:c r="V503" s="0"/>
      <x:c r="W503" s="0"/>
      <x:c r="X503" t="str" s="2">
        <x:v>4056158148</x:v>
      </x:c>
      <x:c r="Y503" t="str" s="2">
        <x:v>triciasmith.tricia@gmail.com</x:v>
      </x:c>
      <x:c r="Z503" s="6">
        <x:v>46275.93697592593</x:v>
      </x:c>
      <x:c r="AA503" t="str" s="2">
        <x:v>Trey Rixleben</x:v>
      </x:c>
      <x:c r="AB503" s="6">
        <x:v>46237.670487233794</x:v>
      </x:c>
      <x:c r="AC503" t="n" s="2">
        <x:v>38851</x:v>
      </x:c>
      <x:c r="AD503" s="0"/>
      <x:c r="AE503" s="0"/>
      <x:c r="AF503" s="0"/>
      <x:c r="AG503" s="0"/>
      <x:c r="AH503" s="0"/>
      <x:c r="AI503" t="str" s="2">
        <x:v>503</x:v>
      </x:c>
      <x:c r="AJ503" s="0"/>
      <x:c r="AK503" s="0"/>
    </x:row>
    <x:row r="504">
      <x:c r="A504" t="str" s="2">
        <x:f>=HYPERLINK("https://rsms.futurehomex.com/lead/38852", "Johnith Kiffe")</x:f>
      </x:c>
      <x:c r="B504" t="n" s="2">
        <x:v>75</x:v>
      </x:c>
      <x:c r="C504" t="str" s="2">
        <x:v>1/2</x:v>
      </x:c>
      <x:c r="D504" t="str" s="2">
        <x:f>=""</x:f>
      </x:c>
      <x:c r="E504" s="0"/>
      <x:c r="F504" t="str" s="2">
        <x:v>Walk-in</x:v>
      </x:c>
      <x:c r="G504" t="str" s="2">
        <x:v>Heritage Housing of Jennings</x:v>
      </x:c>
      <x:c r="H504" t="str" s="2">
        <x:v>Mervin Leslie Smith</x:v>
      </x:c>
      <x:c r="I504" s="0"/>
      <x:c r="J504" s="0"/>
      <x:c r="K504" t="n" s="2">
        <x:v>5</x:v>
      </x:c>
      <x:c r="L504" t="str" s="2">
        <x:v>1.1</x:v>
      </x:c>
      <x:c r="M504" t="str" s="2">
        <x:v>Inactive</x:v>
      </x:c>
      <x:c r="N504" t="str" s="2">
        <x:v>Prospect</x:v>
      </x:c>
      <x:c r="O504" s="0"/>
      <x:c r="P504" s="6">
        <x:v>46233</x:v>
      </x:c>
      <x:c r="Q504" s="6">
        <x:v>46233.940862268515</x:v>
      </x:c>
      <x:c r="R504" s="0"/>
      <x:c r="S504" s="0"/>
      <x:c r="T504" s="0"/>
      <x:c r="U504" s="0"/>
      <x:c r="V504" s="0"/>
      <x:c r="W504" s="0"/>
      <x:c r="X504" t="str" s="2">
        <x:v>3377640531</x:v>
      </x:c>
      <x:c r="Y504" t="str" s="2">
        <x:v>kiffejohnith@gmail.com</x:v>
      </x:c>
      <x:c r="Z504" s="6">
        <x:v>46239.8176559375</x:v>
      </x:c>
      <x:c r="AA504" t="str" s="2">
        <x:v>Mervin Leslie Smith</x:v>
      </x:c>
      <x:c r="AB504" s="6">
        <x:v>46233.94086284722</x:v>
      </x:c>
      <x:c r="AC504" t="n" s="2">
        <x:v>38852</x:v>
      </x:c>
      <x:c r="AD504" s="0"/>
      <x:c r="AE504" s="0"/>
      <x:c r="AF504" s="0"/>
      <x:c r="AG504" s="0"/>
      <x:c r="AH504" s="0"/>
      <x:c r="AI504" s="0"/>
      <x:c r="AJ504" s="0"/>
      <x:c r="AK504" s="0"/>
    </x:row>
    <x:row r="505">
      <x:c r="A505" t="str" s="2">
        <x:f>=HYPERLINK("https://rsms.futurehomex.com/lead/38854", "Christine Bunton")</x:f>
      </x:c>
      <x:c r="B505" t="n" s="2">
        <x:v>74</x:v>
      </x:c>
      <x:c r="C505" t="str" s="2">
        <x:v/>
      </x:c>
      <x:c r="D505" t="str" s="2">
        <x:f>=""</x:f>
      </x:c>
      <x:c r="E505" s="0"/>
      <x:c r="F505" t="str" s="2">
        <x:v>Walk-in</x:v>
      </x:c>
      <x:c r="G505" t="str" s="2">
        <x:v>Heritage Housing of Asheboro</x:v>
      </x:c>
      <x:c r="H505" t="str" s="2">
        <x:v>Maria Lopez</x:v>
      </x:c>
      <x:c r="I505" s="0"/>
      <x:c r="J505" s="0"/>
      <x:c r="K505" t="n" s="2">
        <x:v>21</x:v>
      </x:c>
      <x:c r="L505" t="str" s="2">
        <x:v>2.1</x:v>
      </x:c>
      <x:c r="M505" t="str" s="2">
        <x:v>Tentative</x:v>
      </x:c>
      <x:c r="N505" t="str" s="2">
        <x:v>Qualified</x:v>
      </x:c>
      <x:c r="O505" s="0"/>
      <x:c r="P505" s="6">
        <x:v>46234</x:v>
      </x:c>
      <x:c r="Q505" s="6">
        <x:v>46238.67450864583</x:v>
      </x:c>
      <x:c r="R505" s="0"/>
      <x:c r="S505" s="0"/>
      <x:c r="T505" s="0"/>
      <x:c r="U505" s="0"/>
      <x:c r="V505" s="0"/>
      <x:c r="W505" s="0"/>
      <x:c r="X505" t="str" s="2">
        <x:v>3362020384</x:v>
      </x:c>
      <x:c r="Y505" t="str" s="2">
        <x:v>rayv5@hotmail.com</x:v>
      </x:c>
      <x:c r="Z505" s="6">
        <x:v>46238.67449510417</x:v>
      </x:c>
      <x:c r="AA505" t="str" s="2">
        <x:v>Jeremy Jacques</x:v>
      </x:c>
      <x:c r="AB505" s="6">
        <x:v>46234.65030142361</x:v>
      </x:c>
      <x:c r="AC505" t="n" s="2">
        <x:v>38854</x:v>
      </x:c>
      <x:c r="AD505" s="0"/>
      <x:c r="AE505" s="0"/>
      <x:c r="AF505" s="0"/>
      <x:c r="AG505" s="0"/>
      <x:c r="AH505" s="0"/>
      <x:c r="AI505" s="0"/>
      <x:c r="AJ505" s="0"/>
      <x:c r="AK505" s="0"/>
    </x:row>
    <x:row r="506">
      <x:c r="A506" t="str" s="2">
        <x:f>=HYPERLINK("https://rsms.futurehomex.com/lead/38855", "Maria Estela Gallardo Bailon")</x:f>
      </x:c>
      <x:c r="B506" t="n" s="2">
        <x:v>74</x:v>
      </x:c>
      <x:c r="C506" t="str" s="2">
        <x:v>0/3</x:v>
      </x:c>
      <x:c r="D506" t="str" s="2">
        <x:f>=""</x:f>
      </x:c>
      <x:c r="E506" s="0"/>
      <x:c r="F506" t="str" s="2">
        <x:v>Other</x:v>
      </x:c>
      <x:c r="G506" t="str" s="2">
        <x:v>Heritage Housing Mt Pleasant</x:v>
      </x:c>
      <x:c r="H506" t="str" s="2">
        <x:v>Elias Gallardo</x:v>
      </x:c>
      <x:c r="I506" s="0"/>
      <x:c r="J506" t="str" s="2">
        <x:v>Elias Gallardo</x:v>
      </x:c>
      <x:c r="K506" t="n" s="2">
        <x:v>38</x:v>
      </x:c>
      <x:c r="L506" t="str" s="2">
        <x:v>3.2</x:v>
      </x:c>
      <x:c r="M506" t="str" s="2">
        <x:v>Active</x:v>
      </x:c>
      <x:c r="N506" t="str" s="2">
        <x:v>Application</x:v>
      </x:c>
      <x:c r="O506" s="0"/>
      <x:c r="P506" s="6">
        <x:v>46234</x:v>
      </x:c>
      <x:c r="Q506" s="6">
        <x:v>46234.74304394676</x:v>
      </x:c>
      <x:c r="R506" s="0"/>
      <x:c r="S506" s="6">
        <x:v>46234</x:v>
      </x:c>
      <x:c r="T506" s="0"/>
      <x:c r="U506" s="0"/>
      <x:c r="V506" s="0"/>
      <x:c r="W506" s="0"/>
      <x:c r="X506" t="str" s="2">
        <x:v>4302499339</x:v>
      </x:c>
      <x:c r="Y506" t="str" s="2">
        <x:v>Ecm053021@gmail.com</x:v>
      </x:c>
      <x:c r="Z506" s="6">
        <x:v>46237.98676443287</x:v>
      </x:c>
      <x:c r="AA506" t="str" s="2">
        <x:v>Elias Gallardo</x:v>
      </x:c>
      <x:c r="AB506" s="6">
        <x:v>46234.73784375</x:v>
      </x:c>
      <x:c r="AC506" t="n" s="2">
        <x:v>38855</x:v>
      </x:c>
      <x:c r="AD506" s="0"/>
      <x:c r="AE506" s="0"/>
      <x:c r="AF506" s="0"/>
      <x:c r="AG506" s="7">
        <x:v>0</x:v>
      </x:c>
      <x:c r="AH506" s="0"/>
      <x:c r="AI506" s="0"/>
      <x:c r="AJ506" s="0"/>
      <x:c r="AK506" s="0"/>
    </x:row>
    <x:row r="507">
      <x:c r="A507" t="str" s="2">
        <x:f>=HYPERLINK("https://rsms.futurehomex.com/lead/38856", "C Hobley")</x:f>
      </x:c>
      <x:c r="B507" t="n" s="2">
        <x:v>74</x:v>
      </x:c>
      <x:c r="C507" t="str" s="2">
        <x:v>0/1</x:v>
      </x:c>
      <x:c r="D507" t="str" s="2">
        <x:f>=""</x:f>
      </x:c>
      <x:c r="E507" s="0"/>
      <x:c r="F507" t="str" s="2">
        <x:v>Walk-in</x:v>
      </x:c>
      <x:c r="G507" t="str" s="2">
        <x:v>Heritage Housing of Minden</x:v>
      </x:c>
      <x:c r="H507" t="str" s="2">
        <x:v>Patrick Schuchart</x:v>
      </x:c>
      <x:c r="I507" t="str" s="2">
        <x:v>Karol Romero</x:v>
      </x:c>
      <x:c r="J507" t="str" s="2">
        <x:v>Kyla Brown</x:v>
      </x:c>
      <x:c r="K507" t="n" s="2">
        <x:v>5</x:v>
      </x:c>
      <x:c r="L507" t="str" s="2">
        <x:v>1.1</x:v>
      </x:c>
      <x:c r="M507" t="str" s="2">
        <x:v>Active</x:v>
      </x:c>
      <x:c r="N507" t="str" s="2">
        <x:v>Deal Created</x:v>
      </x:c>
      <x:c r="O507" s="0"/>
      <x:c r="P507" s="6">
        <x:v>46234</x:v>
      </x:c>
      <x:c r="Q507" s="6">
        <x:v>46239.90396265046</x:v>
      </x:c>
      <x:c r="R507" s="0"/>
      <x:c r="S507" s="6">
        <x:v>46234</x:v>
      </x:c>
      <x:c r="T507" s="0"/>
      <x:c r="U507" s="0"/>
      <x:c r="V507" s="0"/>
      <x:c r="W507" s="0"/>
      <x:c r="X507" t="str" s="2">
        <x:v>3184649094</x:v>
      </x:c>
      <x:c r="Y507" t="str" s="2">
        <x:v>3184649094</x:v>
      </x:c>
      <x:c r="Z507" s="6">
        <x:v>46295.87082364583</x:v>
      </x:c>
      <x:c r="AA507" t="str" s="2">
        <x:v>Kyla Brown</x:v>
      </x:c>
      <x:c r="AB507" s="6">
        <x:v>46237.55578553241</x:v>
      </x:c>
      <x:c r="AC507" t="n" s="2">
        <x:v>38856</x:v>
      </x:c>
      <x:c r="AD507" s="0"/>
      <x:c r="AE507" s="0"/>
      <x:c r="AF507" s="0"/>
      <x:c r="AG507" s="0"/>
      <x:c r="AH507" s="0"/>
      <x:c r="AI507" s="0"/>
      <x:c r="AJ507" s="0"/>
      <x:c r="AK507" s="0"/>
    </x:row>
    <x:row r="508">
      <x:c r="A508" t="str" s="2">
        <x:f>=HYPERLINK("https://rsms.futurehomex.com/lead/38857", "Deborah Mcdaniel Mcdaniel")</x:f>
      </x:c>
      <x:c r="B508" t="n" s="2">
        <x:v>74</x:v>
      </x:c>
      <x:c r="C508" t="str" s="2">
        <x:v/>
      </x:c>
      <x:c r="D508" t="str" s="2">
        <x:f>=""</x:f>
      </x:c>
      <x:c r="E508" s="0"/>
      <x:c r="F508" t="str" s="2">
        <x:v>Financing Form</x:v>
      </x:c>
      <x:c r="G508" t="str" s="2">
        <x:v>Heritage Housing of Augusta</x:v>
      </x:c>
      <x:c r="H508" t="str" s="2">
        <x:v>Faye Lively</x:v>
      </x:c>
      <x:c r="I508" t="str" s="2">
        <x:v>Karol Romero</x:v>
      </x:c>
      <x:c r="J508" s="0"/>
      <x:c r="K508" t="n" s="2">
        <x:v>5</x:v>
      </x:c>
      <x:c r="L508" t="str" s="2">
        <x:v>1.1</x:v>
      </x:c>
      <x:c r="M508" t="str" s="2">
        <x:v>Tentative</x:v>
      </x:c>
      <x:c r="N508" t="str" s="2">
        <x:v>Prospect</x:v>
      </x:c>
      <x:c r="O508" s="0"/>
      <x:c r="P508" s="6">
        <x:v>46234</x:v>
      </x:c>
      <x:c r="Q508" s="6">
        <x:v>46234.778919525466</x:v>
      </x:c>
      <x:c r="R508" s="0"/>
      <x:c r="S508" s="0"/>
      <x:c r="T508" s="0"/>
      <x:c r="U508" s="0"/>
      <x:c r="V508" s="0"/>
      <x:c r="W508" s="0"/>
      <x:c r="X508" t="str" s="2">
        <x:v>7703105383</x:v>
      </x:c>
      <x:c r="Y508" t="str" s="2">
        <x:v>deborahmcdaniel1@yahoo.co</x:v>
      </x:c>
      <x:c r="Z508" s="0"/>
      <x:c r="AA508" s="0"/>
      <x:c r="AB508" s="6">
        <x:v>46234.777001469905</x:v>
      </x:c>
      <x:c r="AC508" t="n" s="2">
        <x:v>38857</x:v>
      </x:c>
      <x:c r="AD508" s="0"/>
      <x:c r="AE508" s="0"/>
      <x:c r="AF508" s="0"/>
      <x:c r="AG508" s="0"/>
      <x:c r="AH508" s="0"/>
      <x:c r="AI508" s="0"/>
      <x:c r="AJ508" s="0"/>
      <x:c r="AK508" s="0"/>
    </x:row>
    <x:row r="509">
      <x:c r="A509" t="str" s="2">
        <x:f>=HYPERLINK("https://rsms.futurehomex.com/lead/38858", "Kailee Glaude")</x:f>
      </x:c>
      <x:c r="B509" t="n" s="2">
        <x:v>74</x:v>
      </x:c>
      <x:c r="C509" t="str" s="2">
        <x:v>1/1</x:v>
      </x:c>
      <x:c r="D509" t="str" s="2">
        <x:f>=""</x:f>
      </x:c>
      <x:c r="E509" s="0"/>
      <x:c r="F509" t="str" s="2">
        <x:v>Website</x:v>
      </x:c>
      <x:c r="G509" t="str" s="2">
        <x:v>Heritage Housing of Jennings</x:v>
      </x:c>
      <x:c r="H509" t="str" s="2">
        <x:v>Mervin Leslie Smith</x:v>
      </x:c>
      <x:c r="I509" s="0"/>
      <x:c r="J509" t="str" s="2">
        <x:v>Mervin Leslie Smith</x:v>
      </x:c>
      <x:c r="K509" t="n" s="2">
        <x:v>5</x:v>
      </x:c>
      <x:c r="L509" t="str" s="2">
        <x:v>1.1</x:v>
      </x:c>
      <x:c r="M509" t="str" s="2">
        <x:v>Inactive</x:v>
      </x:c>
      <x:c r="N509" t="str" s="2">
        <x:v>Deal Created</x:v>
      </x:c>
      <x:c r="O509" s="0"/>
      <x:c r="P509" s="6">
        <x:v>46234</x:v>
      </x:c>
      <x:c r="Q509" s="6">
        <x:v>46234.7957196412</x:v>
      </x:c>
      <x:c r="R509" s="0"/>
      <x:c r="S509" s="0"/>
      <x:c r="T509" s="0"/>
      <x:c r="U509" s="0"/>
      <x:c r="V509" s="0"/>
      <x:c r="W509" s="0"/>
      <x:c r="X509" t="str" s="2">
        <x:v>9178065257</x:v>
      </x:c>
      <x:c r="Y509" t="str" s="2">
        <x:v>saddaysnomo@gmail.com</x:v>
      </x:c>
      <x:c r="Z509" s="0"/>
      <x:c r="AA509" s="0"/>
      <x:c r="AB509" s="6">
        <x:v>46234.79572109954</x:v>
      </x:c>
      <x:c r="AC509" t="n" s="2">
        <x:v>38858</x:v>
      </x:c>
      <x:c r="AD509" s="0"/>
      <x:c r="AE509" s="0"/>
      <x:c r="AF509" s="0"/>
      <x:c r="AG509" s="0"/>
      <x:c r="AH509" s="0"/>
      <x:c r="AI509" s="0"/>
      <x:c r="AJ509" s="0"/>
      <x:c r="AK509" s="0"/>
    </x:row>
    <x:row r="510">
      <x:c r="A510" t="str" s="2">
        <x:f>=HYPERLINK("https://rsms.futurehomex.com/lead/38859", "Isabel Castro")</x:f>
      </x:c>
      <x:c r="B510" t="n" s="2">
        <x:v>74</x:v>
      </x:c>
      <x:c r="C510" t="str" s="2">
        <x:v>1/1</x:v>
      </x:c>
      <x:c r="D510" t="str" s="2">
        <x:f>=""</x:f>
      </x:c>
      <x:c r="E510" s="0"/>
      <x:c r="F510" t="str" s="2">
        <x:v>HH - Oklahoma City</x:v>
      </x:c>
      <x:c r="G510" t="str" s="2">
        <x:v>Heritage Housing of Oklahoma City</x:v>
      </x:c>
      <x:c r="H510" t="str" s="2">
        <x:v>Alejandra Calderon</x:v>
      </x:c>
      <x:c r="I510" s="0"/>
      <x:c r="J510" t="str" s="2">
        <x:v>Steve Castell</x:v>
      </x:c>
      <x:c r="K510" t="n" s="2">
        <x:v>5</x:v>
      </x:c>
      <x:c r="L510" t="str" s="2">
        <x:v>1.1</x:v>
      </x:c>
      <x:c r="M510" t="str" s="2">
        <x:v>Tentative</x:v>
      </x:c>
      <x:c r="N510" t="str" s="2">
        <x:v>Deal Created</x:v>
      </x:c>
      <x:c r="O510" s="0"/>
      <x:c r="P510" s="6">
        <x:v>46234</x:v>
      </x:c>
      <x:c r="Q510" s="6">
        <x:v>46234.823346412035</x:v>
      </x:c>
      <x:c r="R510" s="0"/>
      <x:c r="S510" s="0"/>
      <x:c r="T510" s="0"/>
      <x:c r="U510" s="0"/>
      <x:c r="V510" s="0"/>
      <x:c r="W510" s="0"/>
      <x:c r="X510" t="str" s="2">
        <x:v>4059778245</x:v>
      </x:c>
      <x:c r="Y510" t="str" s="2">
        <x:v>4059778245</x:v>
      </x:c>
      <x:c r="Z510" s="6">
        <x:v>46234.84324876157</x:v>
      </x:c>
      <x:c r="AA510" t="str" s="2">
        <x:v>Karla Brizuela</x:v>
      </x:c>
      <x:c r="AB510" s="6">
        <x:v>46234.82334841435</x:v>
      </x:c>
      <x:c r="AC510" t="n" s="2">
        <x:v>38859</x:v>
      </x:c>
      <x:c r="AD510" s="0"/>
      <x:c r="AE510" s="0"/>
      <x:c r="AF510" s="0"/>
      <x:c r="AG510" s="0"/>
      <x:c r="AH510" s="0"/>
      <x:c r="AI510" s="0"/>
      <x:c r="AJ510" s="0"/>
      <x:c r="AK510" s="0"/>
    </x:row>
    <x:row r="511">
      <x:c r="A511" t="str" s="2">
        <x:f>=HYPERLINK("https://rsms.futurehomex.com/lead/38860", "Lisa Ricks")</x:f>
      </x:c>
      <x:c r="B511" t="n" s="2">
        <x:v>74</x:v>
      </x:c>
      <x:c r="C511" t="str" s="2">
        <x:v/>
      </x:c>
      <x:c r="D511" t="str" s="2">
        <x:f>=""</x:f>
      </x:c>
      <x:c r="E511" s="0"/>
      <x:c r="F511" t="str" s="2">
        <x:v>Meta Ads - Forms</x:v>
      </x:c>
      <x:c r="G511" t="str" s="2">
        <x:v>Heritage Housing of Athens</x:v>
      </x:c>
      <x:c r="H511" t="str" s="2">
        <x:v>Alex Jones</x:v>
      </x:c>
      <x:c r="I511" t="str" s="2">
        <x:v>Karol Romero</x:v>
      </x:c>
      <x:c r="J511" t="str" s="2">
        <x:v>Alex Jones</x:v>
      </x:c>
      <x:c r="K511" t="n" s="2">
        <x:v>5</x:v>
      </x:c>
      <x:c r="L511" t="str" s="2">
        <x:v>1.1</x:v>
      </x:c>
      <x:c r="M511" t="str" s="2">
        <x:v>Dead</x:v>
      </x:c>
      <x:c r="N511" t="str" s="2">
        <x:v>Deal Created</x:v>
      </x:c>
      <x:c r="O511" s="0"/>
      <x:c r="P511" s="6">
        <x:v>46234</x:v>
      </x:c>
      <x:c r="Q511" s="6">
        <x:v>46234.82780501158</x:v>
      </x:c>
      <x:c r="R511" s="0"/>
      <x:c r="S511" s="6">
        <x:v>46235</x:v>
      </x:c>
      <x:c r="T511" s="0"/>
      <x:c r="U511" s="0"/>
      <x:c r="V511" s="0"/>
      <x:c r="W511" s="0"/>
      <x:c r="X511" t="str" s="2">
        <x:v>4049039789</x:v>
      </x:c>
      <x:c r="Y511" t="str" s="2">
        <x:v>royandlisa4ever@gmail.con</x:v>
      </x:c>
      <x:c r="Z511" s="6">
        <x:v>46246.5911537037</x:v>
      </x:c>
      <x:c r="AA511" t="str" s="2">
        <x:v>Alex Jones</x:v>
      </x:c>
      <x:c r="AB511" s="6">
        <x:v>46234.827805671295</x:v>
      </x:c>
      <x:c r="AC511" t="n" s="2">
        <x:v>38860</x:v>
      </x:c>
      <x:c r="AD511" s="0"/>
      <x:c r="AE511" s="0"/>
      <x:c r="AF511" s="0"/>
      <x:c r="AG511" s="0"/>
      <x:c r="AH511" s="0"/>
      <x:c r="AI511" s="0"/>
      <x:c r="AJ511" s="0"/>
      <x:c r="AK511" s="0"/>
    </x:row>
    <x:row r="512">
      <x:c r="A512" t="str" s="2">
        <x:f>=HYPERLINK("https://rsms.futurehomex.com/lead/38861", "Linsay Leonard")</x:f>
      </x:c>
      <x:c r="B512" t="n" s="2">
        <x:v>74</x:v>
      </x:c>
      <x:c r="C512" t="str" s="2">
        <x:v/>
      </x:c>
      <x:c r="D512" t="str" s="2">
        <x:f>=""</x:f>
      </x:c>
      <x:c r="E512" s="0"/>
      <x:c r="F512" t="str" s="2">
        <x:v>Walk-in</x:v>
      </x:c>
      <x:c r="G512" t="str" s="2">
        <x:v>Heritage Housing of Asheboro</x:v>
      </x:c>
      <x:c r="H512" t="str" s="2">
        <x:v>Maria Lopez</x:v>
      </x:c>
      <x:c r="I512" s="0"/>
      <x:c r="J512" s="0"/>
      <x:c r="K512" t="n" s="2">
        <x:v>21</x:v>
      </x:c>
      <x:c r="L512" t="str" s="2">
        <x:v>2.1</x:v>
      </x:c>
      <x:c r="M512" t="str" s="2">
        <x:v>Tentative</x:v>
      </x:c>
      <x:c r="N512" t="str" s="2">
        <x:v>Qualified</x:v>
      </x:c>
      <x:c r="O512" s="0"/>
      <x:c r="P512" s="6">
        <x:v>46234</x:v>
      </x:c>
      <x:c r="Q512" s="6">
        <x:v>46238.67489135417</x:v>
      </x:c>
      <x:c r="R512" s="0"/>
      <x:c r="S512" s="0"/>
      <x:c r="T512" s="0"/>
      <x:c r="U512" s="0"/>
      <x:c r="V512" s="0"/>
      <x:c r="W512" s="0"/>
      <x:c r="X512" t="str" s="2">
        <x:v>7044313352</x:v>
      </x:c>
      <x:c r="Y512" t="str" s="2">
        <x:v>linsayleonard@gmail.com</x:v>
      </x:c>
      <x:c r="Z512" s="6">
        <x:v>46238.6748790162</x:v>
      </x:c>
      <x:c r="AA512" t="str" s="2">
        <x:v>Jeremy Jacques</x:v>
      </x:c>
      <x:c r="AB512" s="6">
        <x:v>46234.83734583333</x:v>
      </x:c>
      <x:c r="AC512" t="n" s="2">
        <x:v>38861</x:v>
      </x:c>
      <x:c r="AD512" s="0"/>
      <x:c r="AE512" s="0"/>
      <x:c r="AF512" s="0"/>
      <x:c r="AG512" s="0"/>
      <x:c r="AH512" s="0"/>
      <x:c r="AI512" s="0"/>
      <x:c r="AJ512" s="0"/>
      <x:c r="AK512" s="0"/>
    </x:row>
    <x:row r="513">
      <x:c r="A513" t="str" s="2">
        <x:f>=HYPERLINK("https://rsms.futurehomex.com/lead/38862", "Widow of James Foley Foley")</x:f>
      </x:c>
      <x:c r="B513" t="n" s="2">
        <x:v>74</x:v>
      </x:c>
      <x:c r="C513" t="str" s="2">
        <x:v>1/2</x:v>
      </x:c>
      <x:c r="D513" t="str" s="2">
        <x:f>=""</x:f>
      </x:c>
      <x:c r="E513" s="0"/>
      <x:c r="F513" t="str" s="2">
        <x:v>Meta Ads - Forms</x:v>
      </x:c>
      <x:c r="G513" t="str" s="2">
        <x:v>Heritage Housing of Jennings</x:v>
      </x:c>
      <x:c r="H513" t="str" s="2">
        <x:v>Mervin Leslie Smith</x:v>
      </x:c>
      <x:c r="I513" s="0"/>
      <x:c r="J513" t="str" s="2">
        <x:v>Mervin Leslie Smith</x:v>
      </x:c>
      <x:c r="K513" t="n" s="2">
        <x:v>5</x:v>
      </x:c>
      <x:c r="L513" t="str" s="2">
        <x:v>1.1</x:v>
      </x:c>
      <x:c r="M513" t="str" s="2">
        <x:v>Inactive</x:v>
      </x:c>
      <x:c r="N513" t="str" s="2">
        <x:v>Deal Created</x:v>
      </x:c>
      <x:c r="O513" s="0"/>
      <x:c r="P513" s="6">
        <x:v>46234</x:v>
      </x:c>
      <x:c r="Q513" s="6">
        <x:v>46234.85207931713</x:v>
      </x:c>
      <x:c r="R513" s="0"/>
      <x:c r="S513" s="0"/>
      <x:c r="T513" s="0"/>
      <x:c r="U513" s="0"/>
      <x:c r="V513" s="0"/>
      <x:c r="W513" s="0"/>
      <x:c r="X513" t="str" s="2">
        <x:v>3379307377</x:v>
      </x:c>
      <x:c r="Y513" t="str" s="2">
        <x:v>foleywanda59@gmail.com</x:v>
      </x:c>
      <x:c r="Z513" s="6">
        <x:v>46294.77823920139</x:v>
      </x:c>
      <x:c r="AA513" t="str" s="2">
        <x:v>Mervin Leslie Smith</x:v>
      </x:c>
      <x:c r="AB513" s="6">
        <x:v>46234.85207986111</x:v>
      </x:c>
      <x:c r="AC513" t="n" s="2">
        <x:v>38862</x:v>
      </x:c>
      <x:c r="AD513" s="0"/>
      <x:c r="AE513" s="0"/>
      <x:c r="AF513" s="0"/>
      <x:c r="AG513" s="0"/>
      <x:c r="AH513" s="0"/>
      <x:c r="AI513" s="0"/>
      <x:c r="AJ513" s="0"/>
      <x:c r="AK513" s="0"/>
    </x:row>
    <x:row r="514">
      <x:c r="A514" t="str" s="2">
        <x:f>=HYPERLINK("https://rsms.futurehomex.com/lead/38863", "LaToya Solomon")</x:f>
      </x:c>
      <x:c r="B514" t="n" s="2">
        <x:v>74</x:v>
      </x:c>
      <x:c r="C514" t="str" s="2">
        <x:v>0/1</x:v>
      </x:c>
      <x:c r="D514" t="str" s="2">
        <x:f>=""</x:f>
      </x:c>
      <x:c r="E514" s="0"/>
      <x:c r="F514" t="str" s="2">
        <x:v>Walk-in</x:v>
      </x:c>
      <x:c r="G514" t="str" s="2">
        <x:v>Heritage Housing of Jennings</x:v>
      </x:c>
      <x:c r="H514" t="str" s="2">
        <x:v>Mervin Leslie Smith</x:v>
      </x:c>
      <x:c r="I514" s="0"/>
      <x:c r="J514" s="0"/>
      <x:c r="K514" t="n" s="2">
        <x:v>5</x:v>
      </x:c>
      <x:c r="L514" t="str" s="2">
        <x:v>1.1</x:v>
      </x:c>
      <x:c r="M514" t="str" s="2">
        <x:v>Inactive</x:v>
      </x:c>
      <x:c r="N514" t="str" s="2">
        <x:v>Prospect</x:v>
      </x:c>
      <x:c r="O514" s="0"/>
      <x:c r="P514" s="6">
        <x:v>46234</x:v>
      </x:c>
      <x:c r="Q514" s="6">
        <x:v>46237.78575952546</x:v>
      </x:c>
      <x:c r="R514" s="0"/>
      <x:c r="S514" s="0"/>
      <x:c r="T514" s="0"/>
      <x:c r="U514" s="0"/>
      <x:c r="V514" s="0"/>
      <x:c r="W514" s="0"/>
      <x:c r="X514" t="str" s="2">
        <x:v>3373846171</x:v>
      </x:c>
      <x:c r="Y514" t="str" s="2">
        <x:v>latoyasolomon92@yahoo.com</x:v>
      </x:c>
      <x:c r="Z514" s="6">
        <x:v>46275.81999887731</x:v>
      </x:c>
      <x:c r="AA514" t="str" s="2">
        <x:v>Mervin Leslie Smith</x:v>
      </x:c>
      <x:c r="AB514" s="6">
        <x:v>46234.87415289352</x:v>
      </x:c>
      <x:c r="AC514" t="n" s="2">
        <x:v>38863</x:v>
      </x:c>
      <x:c r="AD514" s="0"/>
      <x:c r="AE514" s="0"/>
      <x:c r="AF514" s="0"/>
      <x:c r="AG514" s="0"/>
      <x:c r="AH514" s="0"/>
      <x:c r="AI514" t="str" s="2">
        <x:v>712</x:v>
      </x:c>
      <x:c r="AJ514" s="0"/>
      <x:c r="AK514" s="0"/>
    </x:row>
    <x:row r="515">
      <x:c r="A515" t="str" s="2">
        <x:f>=HYPERLINK("https://rsms.futurehomex.com/lead/38864", "Carol Blood")</x:f>
      </x:c>
      <x:c r="B515" t="n" s="2">
        <x:v>74</x:v>
      </x:c>
      <x:c r="C515" t="str" s="2">
        <x:v>1/1</x:v>
      </x:c>
      <x:c r="D515" t="str" s="2">
        <x:f>=""</x:f>
      </x:c>
      <x:c r="E515" s="0"/>
      <x:c r="F515" t="str" s="2">
        <x:v>Walk-in</x:v>
      </x:c>
      <x:c r="G515" t="str" s="2">
        <x:v>Heritage Housing of Oklahoma City</x:v>
      </x:c>
      <x:c r="H515" t="str" s="2">
        <x:v>Trey Rixleben</x:v>
      </x:c>
      <x:c r="I515" s="0"/>
      <x:c r="J515" s="0"/>
      <x:c r="K515" t="n" s="2">
        <x:v>5</x:v>
      </x:c>
      <x:c r="L515" t="str" s="2">
        <x:v>1.1</x:v>
      </x:c>
      <x:c r="M515" t="str" s="2">
        <x:v>Tentative</x:v>
      </x:c>
      <x:c r="N515" t="str" s="2">
        <x:v>Deal Created</x:v>
      </x:c>
      <x:c r="O515" s="0"/>
      <x:c r="P515" s="6">
        <x:v>46234</x:v>
      </x:c>
      <x:c r="Q515" s="6">
        <x:v>46234.88787708333</x:v>
      </x:c>
      <x:c r="R515" s="0"/>
      <x:c r="S515" s="6">
        <x:v>46234</x:v>
      </x:c>
      <x:c r="T515" s="0"/>
      <x:c r="U515" s="0"/>
      <x:c r="V515" s="0"/>
      <x:c r="W515" s="0"/>
      <x:c r="X515" t="str" s="2">
        <x:v>4057608177</x:v>
      </x:c>
      <x:c r="Y515" t="str" s="2">
        <x:v>cblood73@gmail.com</x:v>
      </x:c>
      <x:c r="Z515" s="6">
        <x:v>46252.621309953705</x:v>
      </x:c>
      <x:c r="AA515" t="str" s="2">
        <x:v>Trey Rixleben</x:v>
      </x:c>
      <x:c r="AB515" s="6">
        <x:v>46234.88787943287</x:v>
      </x:c>
      <x:c r="AC515" t="n" s="2">
        <x:v>38864</x:v>
      </x:c>
      <x:c r="AD515" s="0"/>
      <x:c r="AE515" s="0"/>
      <x:c r="AF515" s="0"/>
      <x:c r="AG515" s="0"/>
      <x:c r="AH515" s="0"/>
      <x:c r="AI515" s="0"/>
      <x:c r="AJ515" s="0"/>
      <x:c r="AK515" s="0"/>
    </x:row>
    <x:row r="516">
      <x:c r="A516" t="str" s="2">
        <x:f>=HYPERLINK("https://rsms.futurehomex.com/lead/38865", "Jaelyn Rajanee Norford Williams")</x:f>
      </x:c>
      <x:c r="B516" t="n" s="2">
        <x:v>74</x:v>
      </x:c>
      <x:c r="C516" t="str" s="2">
        <x:v/>
      </x:c>
      <x:c r="D516" t="str" s="2">
        <x:f>=""</x:f>
      </x:c>
      <x:c r="E516" s="0"/>
      <x:c r="F516" t="str" s="2">
        <x:v>Website</x:v>
      </x:c>
      <x:c r="G516" t="str" s="2">
        <x:v>Legacy Housing Corp. DBA Americasa</x:v>
      </x:c>
      <x:c r="H516" t="str" s="2">
        <x:v>Jose Parada</x:v>
      </x:c>
      <x:c r="I516" t="str" s="2">
        <x:v>Karol Romero</x:v>
      </x:c>
      <x:c r="J516" s="0"/>
      <x:c r="K516" t="n" s="2">
        <x:v>5</x:v>
      </x:c>
      <x:c r="L516" t="str" s="2">
        <x:v>1.1</x:v>
      </x:c>
      <x:c r="M516" t="str" s="2">
        <x:v>Tentative</x:v>
      </x:c>
      <x:c r="N516" t="str" s="2">
        <x:v>Prospect</x:v>
      </x:c>
      <x:c r="O516" s="0"/>
      <x:c r="P516" s="6">
        <x:v>46234</x:v>
      </x:c>
      <x:c r="Q516" s="6">
        <x:v>46234.89879251157</x:v>
      </x:c>
      <x:c r="R516" s="0"/>
      <x:c r="S516" s="0"/>
      <x:c r="T516" s="0"/>
      <x:c r="U516" s="0"/>
      <x:c r="V516" s="0"/>
      <x:c r="W516" s="0"/>
      <x:c r="X516" t="str" s="2">
        <x:v>9403374915</x:v>
      </x:c>
      <x:c r="Y516" t="str" s="2">
        <x:v>williamsjaelyn@icloud.com</x:v>
      </x:c>
      <x:c r="Z516" s="0"/>
      <x:c r="AA516" s="0"/>
      <x:c r="AB516" s="6">
        <x:v>46234.89879366898</x:v>
      </x:c>
      <x:c r="AC516" t="n" s="2">
        <x:v>38865</x:v>
      </x:c>
      <x:c r="AD516" s="0"/>
      <x:c r="AE516" s="0"/>
      <x:c r="AF516" s="0"/>
      <x:c r="AG516" s="0"/>
      <x:c r="AH516" s="0"/>
      <x:c r="AI516" s="0"/>
      <x:c r="AJ516" s="0"/>
      <x:c r="AK516" s="0"/>
    </x:row>
    <x:row r="517">
      <x:c r="A517" t="str" s="2">
        <x:f>=HYPERLINK("https://rsms.futurehomex.com/lead/38866", "Cheryl Grimaldo")</x:f>
      </x:c>
      <x:c r="B517" t="n" s="2">
        <x:v>74</x:v>
      </x:c>
      <x:c r="C517" t="str" s="2">
        <x:v>0/2</x:v>
      </x:c>
      <x:c r="D517" t="str" s="2">
        <x:f>=""</x:f>
      </x:c>
      <x:c r="E517" s="0"/>
      <x:c r="F517" t="str" s="2">
        <x:v>Website</x:v>
      </x:c>
      <x:c r="G517" t="str" s="2">
        <x:v>Legacy Housing Corp. DBA Americasa</x:v>
      </x:c>
      <x:c r="H517" t="str" s="2">
        <x:v>Joey Marquez</x:v>
      </x:c>
      <x:c r="I517" t="str" s="2">
        <x:v>Karol Romero</x:v>
      </x:c>
      <x:c r="J517" s="0"/>
      <x:c r="K517" t="n" s="2">
        <x:v>5</x:v>
      </x:c>
      <x:c r="L517" t="str" s="2">
        <x:v>1.1</x:v>
      </x:c>
      <x:c r="M517" t="str" s="2">
        <x:v>Tentative</x:v>
      </x:c>
      <x:c r="N517" t="str" s="2">
        <x:v>Prospect</x:v>
      </x:c>
      <x:c r="O517" s="0"/>
      <x:c r="P517" s="6">
        <x:v>46234</x:v>
      </x:c>
      <x:c r="Q517" s="6">
        <x:v>46251.85729409722</x:v>
      </x:c>
      <x:c r="R517" s="0"/>
      <x:c r="S517" s="0"/>
      <x:c r="T517" s="0"/>
      <x:c r="U517" s="0"/>
      <x:c r="V517" s="0"/>
      <x:c r="W517" s="0"/>
      <x:c r="X517" t="str" s="2">
        <x:v>3462438584</x:v>
      </x:c>
      <x:c r="Y517" t="str" s="2">
        <x:v>clublake3471@gmail.com</x:v>
      </x:c>
      <x:c r="Z517" s="6">
        <x:v>46286.616228935185</x:v>
      </x:c>
      <x:c r="AA517" t="str" s="2">
        <x:v>Joey Marquez</x:v>
      </x:c>
      <x:c r="AB517" s="6">
        <x:v>46234.902296608794</x:v>
      </x:c>
      <x:c r="AC517" t="n" s="2">
        <x:v>38866</x:v>
      </x:c>
      <x:c r="AD517" s="0"/>
      <x:c r="AE517" s="0"/>
      <x:c r="AF517" s="0"/>
      <x:c r="AG517" s="0"/>
      <x:c r="AH517" s="0"/>
      <x:c r="AI517" s="0"/>
      <x:c r="AJ517" s="0"/>
      <x:c r="AK517" s="0"/>
    </x:row>
    <x:row r="518">
      <x:c r="A518" t="str" s="2">
        <x:f>=HYPERLINK("https://rsms.futurehomex.com/lead/38867", "James Hill")</x:f>
      </x:c>
      <x:c r="B518" t="n" s="2">
        <x:v>74</x:v>
      </x:c>
      <x:c r="C518" t="str" s="2">
        <x:v>0/5</x:v>
      </x:c>
      <x:c r="D518" t="str" s="2">
        <x:f>="CASH"</x:f>
      </x:c>
      <x:c r="E518" s="0"/>
      <x:c r="F518" t="str" s="2">
        <x:v>Facebook Messenger</x:v>
      </x:c>
      <x:c r="G518" t="str" s="2">
        <x:v>Heritage Housing of Oklahoma City</x:v>
      </x:c>
      <x:c r="H518" t="str" s="2">
        <x:v>Trey Rixleben</x:v>
      </x:c>
      <x:c r="I518" s="0"/>
      <x:c r="J518" t="str" s="2">
        <x:v>Trey Rixleben</x:v>
      </x:c>
      <x:c r="K518" t="n" s="2">
        <x:v>100</x:v>
      </x:c>
      <x:c r="L518" t="str" s="2">
        <x:v>6.2</x:v>
      </x:c>
      <x:c r="M518" t="str" s="2">
        <x:v>Closed</x:v>
      </x:c>
      <x:c r="N518" t="str" s="2">
        <x:v>Delivered</x:v>
      </x:c>
      <x:c r="O518" s="6">
        <x:v>46295</x:v>
      </x:c>
      <x:c r="P518" s="6">
        <x:v>46234</x:v>
      </x:c>
      <x:c r="Q518" s="6">
        <x:v>46275.923399155094</x:v>
      </x:c>
      <x:c r="R518" s="0"/>
      <x:c r="S518" s="6">
        <x:v>46256</x:v>
      </x:c>
      <x:c r="T518" s="6">
        <x:v>46256</x:v>
      </x:c>
      <x:c r="U518" s="6">
        <x:v>46259</x:v>
      </x:c>
      <x:c r="V518" s="6">
        <x:v>46256</x:v>
      </x:c>
      <x:c r="W518" s="6">
        <x:v>46275</x:v>
      </x:c>
      <x:c r="X518" t="str" s="2">
        <x:v>4174384750</x:v>
      </x:c>
      <x:c r="Y518" t="str" s="2">
        <x:v>jboranch@gmail.com</x:v>
      </x:c>
      <x:c r="Z518" s="6">
        <x:v>46291.764679976855</x:v>
      </x:c>
      <x:c r="AA518" t="str" s="2">
        <x:v>Trey Rixleben</x:v>
      </x:c>
      <x:c r="AB518" s="6">
        <x:v>46234.90697820602</x:v>
      </x:c>
      <x:c r="AC518" t="n" s="2">
        <x:v>38867</x:v>
      </x:c>
      <x:c r="AD518" t="str" s="2">
        <x:v>Singlewide</x:v>
      </x:c>
      <x:c r="AE518" s="0"/>
      <x:c r="AF518" s="7">
        <x:v>110900</x:v>
      </x:c>
      <x:c r="AG518" s="7">
        <x:v>110900</x:v>
      </x:c>
      <x:c r="AH518" s="0"/>
      <x:c r="AI518" s="0"/>
      <x:c r="AJ518" s="0"/>
      <x:c r="AK518" t="str" s="6">
        <x:v>2026-09-09</x:v>
      </x:c>
    </x:row>
    <x:row r="519">
      <x:c r="A519" t="str" s="2">
        <x:f>=HYPERLINK("https://rsms.futurehomex.com/lead/38870", "Rhonda Roe")</x:f>
      </x:c>
      <x:c r="B519" t="n" s="2">
        <x:v>74</x:v>
      </x:c>
      <x:c r="C519" t="str" s="2">
        <x:v>1/1</x:v>
      </x:c>
      <x:c r="D519" t="str" s="2">
        <x:f>=""</x:f>
      </x:c>
      <x:c r="E519" s="0"/>
      <x:c r="F519" t="str" s="2">
        <x:v>Walk-in</x:v>
      </x:c>
      <x:c r="G519" t="str" s="2">
        <x:v>Heritage Housing of Oklahoma City</x:v>
      </x:c>
      <x:c r="H519" t="str" s="2">
        <x:v>Trey Rixleben</x:v>
      </x:c>
      <x:c r="I519" t="str" s="2">
        <x:v>Karol Romero</x:v>
      </x:c>
      <x:c r="J519" t="str" s="2">
        <x:v>Trey Rixleben</x:v>
      </x:c>
      <x:c r="K519" t="n" s="2">
        <x:v>5</x:v>
      </x:c>
      <x:c r="L519" t="str" s="2">
        <x:v>1.1</x:v>
      </x:c>
      <x:c r="M519" t="str" s="2">
        <x:v>Dead</x:v>
      </x:c>
      <x:c r="N519" t="str" s="2">
        <x:v>Deal Created</x:v>
      </x:c>
      <x:c r="O519" s="0"/>
      <x:c r="P519" s="6">
        <x:v>46234</x:v>
      </x:c>
      <x:c r="Q519" s="6">
        <x:v>46234.98805196759</x:v>
      </x:c>
      <x:c r="R519" s="0"/>
      <x:c r="S519" s="0"/>
      <x:c r="T519" s="0"/>
      <x:c r="U519" s="0"/>
      <x:c r="V519" s="0"/>
      <x:c r="W519" s="0"/>
      <x:c r="X519" t="str" s="2">
        <x:v>4056400042</x:v>
      </x:c>
      <x:c r="Y519" t="str" s="2">
        <x:v>4056400042</x:v>
      </x:c>
      <x:c r="Z519" s="6">
        <x:v>46296.818741550924</x:v>
      </x:c>
      <x:c r="AA519" t="str" s="2">
        <x:v>Trey Rixleben</x:v>
      </x:c>
      <x:c r="AB519" s="6">
        <x:v>46234.988053900466</x:v>
      </x:c>
      <x:c r="AC519" t="n" s="2">
        <x:v>38870</x:v>
      </x:c>
      <x:c r="AD519" s="0"/>
      <x:c r="AE519" s="0"/>
      <x:c r="AF519" s="0"/>
      <x:c r="AG519" s="0"/>
      <x:c r="AH519" s="0"/>
      <x:c r="AI519" s="0"/>
      <x:c r="AJ519" s="0"/>
      <x:c r="AK519" s="0"/>
    </x:row>
    <x:row r="520">
      <x:c r="A520" t="str" s="2">
        <x:f>=HYPERLINK("https://rsms.futurehomex.com/lead/38871", "Donnie Harkrider")</x:f>
      </x:c>
      <x:c r="B520" t="n" s="2">
        <x:v>73</x:v>
      </x:c>
      <x:c r="C520" t="str" s="2">
        <x:v/>
      </x:c>
      <x:c r="D520" t="str" s="2">
        <x:f>=""</x:f>
      </x:c>
      <x:c r="E520" s="0"/>
      <x:c r="F520" t="str" s="2">
        <x:v>Website</x:v>
      </x:c>
      <x:c r="G520" t="str" s="2">
        <x:v>Heritage Housing Mt Pleasant</x:v>
      </x:c>
      <x:c r="H520" t="str" s="2">
        <x:v>Yarelis Torres</x:v>
      </x:c>
      <x:c r="I520" s="0"/>
      <x:c r="J520" t="str" s="2">
        <x:v>Yarelis Torres</x:v>
      </x:c>
      <x:c r="K520" t="n" s="2">
        <x:v>5</x:v>
      </x:c>
      <x:c r="L520" t="str" s="2">
        <x:v>1.1</x:v>
      </x:c>
      <x:c r="M520" t="str" s="2">
        <x:v>Tentative</x:v>
      </x:c>
      <x:c r="N520" t="str" s="2">
        <x:v>Prospect</x:v>
      </x:c>
      <x:c r="O520" s="0"/>
      <x:c r="P520" s="6">
        <x:v>46235</x:v>
      </x:c>
      <x:c r="Q520" s="6">
        <x:v>46235.003429826385</x:v>
      </x:c>
      <x:c r="R520" s="0"/>
      <x:c r="S520" s="0"/>
      <x:c r="T520" s="0"/>
      <x:c r="U520" s="0"/>
      <x:c r="V520" s="0"/>
      <x:c r="W520" s="0"/>
      <x:c r="X520" t="str" s="2">
        <x:v>9036507841</x:v>
      </x:c>
      <x:c r="Y520" t="str" s="2">
        <x:v>donnieharkrider895@gmail.com</x:v>
      </x:c>
      <x:c r="Z520" s="6">
        <x:v>46235.85594209491</x:v>
      </x:c>
      <x:c r="AA520" t="str" s="2">
        <x:v>Yarelis Torres</x:v>
      </x:c>
      <x:c r="AB520" s="6">
        <x:v>46235.003430358796</x:v>
      </x:c>
      <x:c r="AC520" t="n" s="2">
        <x:v>38871</x:v>
      </x:c>
      <x:c r="AD520" s="0"/>
      <x:c r="AE520" s="0"/>
      <x:c r="AF520" s="0"/>
      <x:c r="AG520" s="0"/>
      <x:c r="AH520" s="0"/>
      <x:c r="AI520" s="0"/>
      <x:c r="AJ520" s="0"/>
      <x:c r="AK520" s="0"/>
    </x:row>
    <x:row r="521">
      <x:c r="A521" t="str" s="2">
        <x:f>=HYPERLINK("https://rsms.futurehomex.com/lead/38872", "Jill Page")</x:f>
      </x:c>
      <x:c r="B521" t="n" s="2">
        <x:v>73</x:v>
      </x:c>
      <x:c r="C521" t="str" s="2">
        <x:v/>
      </x:c>
      <x:c r="D521" t="str" s="2">
        <x:f>=""</x:f>
      </x:c>
      <x:c r="E521" s="0"/>
      <x:c r="F521" t="str" s="2">
        <x:v>Walk-in</x:v>
      </x:c>
      <x:c r="G521" t="str" s="2">
        <x:v>Heritage Housing of Asheboro</x:v>
      </x:c>
      <x:c r="H521" t="str" s="2">
        <x:v>Maria Lopez</x:v>
      </x:c>
      <x:c r="I521" s="0"/>
      <x:c r="J521" s="0"/>
      <x:c r="K521" t="n" s="2">
        <x:v>21</x:v>
      </x:c>
      <x:c r="L521" t="str" s="2">
        <x:v>2.1</x:v>
      </x:c>
      <x:c r="M521" t="str" s="2">
        <x:v>Tentative</x:v>
      </x:c>
      <x:c r="N521" t="str" s="2">
        <x:v>Qualified</x:v>
      </x:c>
      <x:c r="O521" s="0"/>
      <x:c r="P521" s="6">
        <x:v>46235</x:v>
      </x:c>
      <x:c r="Q521" s="6">
        <x:v>46238.67367488426</x:v>
      </x:c>
      <x:c r="R521" s="0"/>
      <x:c r="S521" s="0"/>
      <x:c r="T521" s="0"/>
      <x:c r="U521" s="0"/>
      <x:c r="V521" s="0"/>
      <x:c r="W521" s="0"/>
      <x:c r="X521" t="str" s="2">
        <x:v>3366281247</x:v>
      </x:c>
      <x:c r="Y521" t="str" s="2">
        <x:v>jillp349@gmail.com</x:v>
      </x:c>
      <x:c r="Z521" s="6">
        <x:v>46238.67366130787</x:v>
      </x:c>
      <x:c r="AA521" t="str" s="2">
        <x:v>Jeremy Jacques</x:v>
      </x:c>
      <x:c r="AB521" s="6">
        <x:v>46235.56929050926</x:v>
      </x:c>
      <x:c r="AC521" t="n" s="2">
        <x:v>38872</x:v>
      </x:c>
      <x:c r="AD521" s="0"/>
      <x:c r="AE521" s="0"/>
      <x:c r="AF521" s="0"/>
      <x:c r="AG521" s="0"/>
      <x:c r="AH521" s="0"/>
      <x:c r="AI521" s="0"/>
      <x:c r="AJ521" s="0"/>
      <x:c r="AK521" s="0"/>
    </x:row>
    <x:row r="522">
      <x:c r="A522" t="str" s="2">
        <x:f>=HYPERLINK("https://rsms.futurehomex.com/lead/38873", "Ricardo Mendiola Uriostegui")</x:f>
      </x:c>
      <x:c r="B522" t="n" s="2">
        <x:v>73</x:v>
      </x:c>
      <x:c r="C522" t="str" s="2">
        <x:v>1/2</x:v>
      </x:c>
      <x:c r="D522" t="str" s="2">
        <x:f>=""</x:f>
      </x:c>
      <x:c r="E522" s="0"/>
      <x:c r="F522" t="str" s="2">
        <x:v>Meta Marketplace</x:v>
      </x:c>
      <x:c r="G522" t="str" s="2">
        <x:v>Heritage Housing of Asheboro</x:v>
      </x:c>
      <x:c r="H522" t="str" s="2">
        <x:v>Maria Lopez</x:v>
      </x:c>
      <x:c r="I522" t="str" s="2">
        <x:v>Karol Romero</x:v>
      </x:c>
      <x:c r="J522" t="str" s="2">
        <x:v>Maria Lopez</x:v>
      </x:c>
      <x:c r="K522" t="n" s="2">
        <x:v>59</x:v>
      </x:c>
      <x:c r="L522" t="str" s="2">
        <x:v>4.3</x:v>
      </x:c>
      <x:c r="M522" t="str" s="2">
        <x:v>Dead</x:v>
      </x:c>
      <x:c r="N522" t="str" s="2">
        <x:v>Loan Approved</x:v>
      </x:c>
      <x:c r="O522" s="0"/>
      <x:c r="P522" s="6">
        <x:v>46235</x:v>
      </x:c>
      <x:c r="Q522" s="6">
        <x:v>46240.83389228009</x:v>
      </x:c>
      <x:c r="R522" s="0"/>
      <x:c r="S522" s="6">
        <x:v>46235</x:v>
      </x:c>
      <x:c r="T522" s="0"/>
      <x:c r="U522" s="6">
        <x:v>46240</x:v>
      </x:c>
      <x:c r="V522" s="6">
        <x:v>46240</x:v>
      </x:c>
      <x:c r="W522" s="0"/>
      <x:c r="X522" t="str" s="2">
        <x:v>9195877627</x:v>
      </x:c>
      <x:c r="Y522" t="str" s="2">
        <x:v>ricardocereno99@gmail.com</x:v>
      </x:c>
      <x:c r="Z522" s="6">
        <x:v>46260.49624788194</x:v>
      </x:c>
      <x:c r="AA522" t="str" s="2">
        <x:v>Debbie Farmerie</x:v>
      </x:c>
      <x:c r="AB522" s="6">
        <x:v>46235.573921724535</x:v>
      </x:c>
      <x:c r="AC522" t="n" s="2">
        <x:v>38873</x:v>
      </x:c>
      <x:c r="AD522" t="str" s="2">
        <x:v>Singlewide</x:v>
      </x:c>
      <x:c r="AE522" t="str" s="2">
        <x:v>Legacy Housing Corporation</x:v>
      </x:c>
      <x:c r="AF522" s="7">
        <x:v>12300</x:v>
      </x:c>
      <x:c r="AG522" s="7">
        <x:v>12300</x:v>
      </x:c>
      <x:c r="AH522" s="0"/>
      <x:c r="AI522" s="0"/>
      <x:c r="AJ522" s="0"/>
      <x:c r="AK522" s="0"/>
    </x:row>
    <x:row r="523">
      <x:c r="A523" t="str" s="2">
        <x:f>=HYPERLINK("https://rsms.futurehomex.com/lead/38874", "Koby Mitchell")</x:f>
      </x:c>
      <x:c r="B523" t="n" s="2">
        <x:v>73</x:v>
      </x:c>
      <x:c r="C523" t="str" s="2">
        <x:v>1/1</x:v>
      </x:c>
      <x:c r="D523" t="str" s="2">
        <x:f>=""</x:f>
      </x:c>
      <x:c r="E523" t="str" s="2">
        <x:v>Heaven Mitchell</x:v>
      </x:c>
      <x:c r="F523" t="str" s="2">
        <x:v>Walk-in</x:v>
      </x:c>
      <x:c r="G523" t="str" s="2">
        <x:v>Heritage Housing of Oklahoma City</x:v>
      </x:c>
      <x:c r="H523" t="str" s="2">
        <x:v>Trey Rixleben</x:v>
      </x:c>
      <x:c r="I523" s="0"/>
      <x:c r="J523" s="0"/>
      <x:c r="K523" t="n" s="2">
        <x:v>5</x:v>
      </x:c>
      <x:c r="L523" t="str" s="2">
        <x:v>1.1</x:v>
      </x:c>
      <x:c r="M523" t="str" s="2">
        <x:v>Tentative</x:v>
      </x:c>
      <x:c r="N523" t="str" s="2">
        <x:v>Deal Created</x:v>
      </x:c>
      <x:c r="O523" s="0"/>
      <x:c r="P523" s="6">
        <x:v>46235</x:v>
      </x:c>
      <x:c r="Q523" s="6">
        <x:v>46267.94229702546</x:v>
      </x:c>
      <x:c r="R523" t="str" s="2">
        <x:v>Karla Brizuela</x:v>
      </x:c>
      <x:c r="S523" s="6">
        <x:v>46235</x:v>
      </x:c>
      <x:c r="T523" s="0"/>
      <x:c r="U523" s="0"/>
      <x:c r="V523" s="0"/>
      <x:c r="W523" s="0"/>
      <x:c r="X523" t="str" s="2">
        <x:v>4057882053</x:v>
      </x:c>
      <x:c r="Y523" t="str" s="2">
        <x:v>koby.mitchell@icloud.com</x:v>
      </x:c>
      <x:c r="Z523" s="6">
        <x:v>46267.945248923614</x:v>
      </x:c>
      <x:c r="AA523" t="str" s="2">
        <x:v>Trey Rixleben</x:v>
      </x:c>
      <x:c r="AB523" s="6">
        <x:v>46235.633814270834</x:v>
      </x:c>
      <x:c r="AC523" t="n" s="2">
        <x:v>38874</x:v>
      </x:c>
      <x:c r="AD523" s="0"/>
      <x:c r="AE523" s="0"/>
      <x:c r="AF523" s="0"/>
      <x:c r="AG523" s="0"/>
      <x:c r="AH523" s="0"/>
      <x:c r="AI523" s="0"/>
      <x:c r="AJ523" s="0"/>
      <x:c r="AK523" s="0"/>
    </x:row>
    <x:row r="524">
      <x:c r="A524" t="str" s="2">
        <x:f>=HYPERLINK("https://rsms.futurehomex.com/lead/38875", "Guillermo Chavez")</x:f>
      </x:c>
      <x:c r="B524" t="n" s="2">
        <x:v>73</x:v>
      </x:c>
      <x:c r="C524" t="str" s="2">
        <x:v/>
      </x:c>
      <x:c r="D524" t="str" s="2">
        <x:f>=""</x:f>
      </x:c>
      <x:c r="E524" s="0"/>
      <x:c r="F524" t="str" s="2">
        <x:v>Meta Marketplace</x:v>
      </x:c>
      <x:c r="G524" t="str" s="2">
        <x:v>Heritage Housing of Asheboro</x:v>
      </x:c>
      <x:c r="H524" t="str" s="2">
        <x:v>Maria Lopez</x:v>
      </x:c>
      <x:c r="I524" s="0"/>
      <x:c r="J524" s="0"/>
      <x:c r="K524" t="n" s="2">
        <x:v>21</x:v>
      </x:c>
      <x:c r="L524" t="str" s="2">
        <x:v>2.1</x:v>
      </x:c>
      <x:c r="M524" t="str" s="2">
        <x:v>Tentative</x:v>
      </x:c>
      <x:c r="N524" t="str" s="2">
        <x:v>Qualified</x:v>
      </x:c>
      <x:c r="O524" s="0"/>
      <x:c r="P524" s="6">
        <x:v>46235</x:v>
      </x:c>
      <x:c r="Q524" s="6">
        <x:v>46238.672365046295</x:v>
      </x:c>
      <x:c r="R524" s="0"/>
      <x:c r="S524" s="6">
        <x:v>46235</x:v>
      </x:c>
      <x:c r="T524" s="0"/>
      <x:c r="U524" s="0"/>
      <x:c r="V524" s="0"/>
      <x:c r="W524" s="0"/>
      <x:c r="X524" t="str" s="2">
        <x:v>9104435063</x:v>
      </x:c>
      <x:c r="Y524" t="str" s="2">
        <x:v>memo043chave@gmail.com</x:v>
      </x:c>
      <x:c r="Z524" s="6">
        <x:v>46238.67235165509</x:v>
      </x:c>
      <x:c r="AA524" t="str" s="2">
        <x:v>Jeremy Jacques</x:v>
      </x:c>
      <x:c r="AB524" s="6">
        <x:v>46235.63420636574</x:v>
      </x:c>
      <x:c r="AC524" t="n" s="2">
        <x:v>38875</x:v>
      </x:c>
      <x:c r="AD524" s="0"/>
      <x:c r="AE524" s="0"/>
      <x:c r="AF524" s="0"/>
      <x:c r="AG524" s="0"/>
      <x:c r="AH524" s="0"/>
      <x:c r="AI524" s="0"/>
      <x:c r="AJ524" s="0"/>
      <x:c r="AK524" s="0"/>
    </x:row>
    <x:row r="525">
      <x:c r="A525" t="str" s="2">
        <x:f>=HYPERLINK("https://rsms.futurehomex.com/lead/38876", "Rachel Elizalde")</x:f>
      </x:c>
      <x:c r="B525" t="n" s="2">
        <x:v>73</x:v>
      </x:c>
      <x:c r="C525" t="str" s="2">
        <x:v>0/3</x:v>
      </x:c>
      <x:c r="D525" t="str" s="2">
        <x:f>=""</x:f>
      </x:c>
      <x:c r="E525" s="0"/>
      <x:c r="F525" t="str" s="2">
        <x:v>Facebook Messenger</x:v>
      </x:c>
      <x:c r="G525" t="str" s="2">
        <x:v>Heritage Housing of Oklahoma City</x:v>
      </x:c>
      <x:c r="H525" t="str" s="2">
        <x:v>Alejandra Calderon</x:v>
      </x:c>
      <x:c r="I525" t="str" s="2">
        <x:v>Karol Romero</x:v>
      </x:c>
      <x:c r="J525" s="0"/>
      <x:c r="K525" t="n" s="2">
        <x:v>5</x:v>
      </x:c>
      <x:c r="L525" t="str" s="2">
        <x:v>1.1</x:v>
      </x:c>
      <x:c r="M525" t="str" s="2">
        <x:v>Dead</x:v>
      </x:c>
      <x:c r="N525" t="str" s="2">
        <x:v>Deal Created</x:v>
      </x:c>
      <x:c r="O525" s="0"/>
      <x:c r="P525" s="6">
        <x:v>46235</x:v>
      </x:c>
      <x:c r="Q525" s="6">
        <x:v>46235.655307256944</x:v>
      </x:c>
      <x:c r="R525" s="0"/>
      <x:c r="S525" s="0"/>
      <x:c r="T525" s="0"/>
      <x:c r="U525" s="0"/>
      <x:c r="V525" s="0"/>
      <x:c r="W525" s="0"/>
      <x:c r="X525" t="str" s="2">
        <x:v>7276549140</x:v>
      </x:c>
      <x:c r="Y525" t="str" s="2">
        <x:v>7276549140</x:v>
      </x:c>
      <x:c r="Z525" s="6">
        <x:v>46273.68223263889</x:v>
      </x:c>
      <x:c r="AA525" t="str" s="2">
        <x:v>Alejandra Calderon</x:v>
      </x:c>
      <x:c r="AB525" s="6">
        <x:v>46235.65530871528</x:v>
      </x:c>
      <x:c r="AC525" t="n" s="2">
        <x:v>38876</x:v>
      </x:c>
      <x:c r="AD525" s="0"/>
      <x:c r="AE525" s="0"/>
      <x:c r="AF525" s="0"/>
      <x:c r="AG525" s="0"/>
      <x:c r="AH525" s="0"/>
      <x:c r="AI525" s="0"/>
      <x:c r="AJ525" s="0"/>
      <x:c r="AK525" s="0"/>
    </x:row>
    <x:row r="526">
      <x:c r="A526" t="str" s="2">
        <x:f>=HYPERLINK("https://rsms.futurehomex.com/lead/38877", "Rachel Mitchell")</x:f>
      </x:c>
      <x:c r="B526" t="n" s="2">
        <x:v>73</x:v>
      </x:c>
      <x:c r="C526" t="str" s="2">
        <x:v>0/4</x:v>
      </x:c>
      <x:c r="D526" t="str" s="2">
        <x:f>=""</x:f>
      </x:c>
      <x:c r="E526" s="0"/>
      <x:c r="F526" t="str" s="2">
        <x:v>Facebook Messenger</x:v>
      </x:c>
      <x:c r="G526" t="str" s="2">
        <x:v>Heritage Housing of Oklahoma City</x:v>
      </x:c>
      <x:c r="H526" t="str" s="2">
        <x:v>Steve Castell</x:v>
      </x:c>
      <x:c r="I526" s="0"/>
      <x:c r="J526" t="str" s="2">
        <x:v>Steve Castell</x:v>
      </x:c>
      <x:c r="K526" t="n" s="2">
        <x:v>59</x:v>
      </x:c>
      <x:c r="L526" t="str" s="2">
        <x:v>4.3</x:v>
      </x:c>
      <x:c r="M526" t="str" s="2">
        <x:v>Dead</x:v>
      </x:c>
      <x:c r="N526" t="str" s="2">
        <x:v>Loan Approved</x:v>
      </x:c>
      <x:c r="O526" s="0"/>
      <x:c r="P526" s="6">
        <x:v>46235</x:v>
      </x:c>
      <x:c r="Q526" s="6">
        <x:v>46244.67546971065</x:v>
      </x:c>
      <x:c r="R526" s="0"/>
      <x:c r="S526" s="6">
        <x:v>46235</x:v>
      </x:c>
      <x:c r="T526" s="6">
        <x:v>46238</x:v>
      </x:c>
      <x:c r="U526" s="6">
        <x:v>46241</x:v>
      </x:c>
      <x:c r="V526" s="6">
        <x:v>46244</x:v>
      </x:c>
      <x:c r="W526" s="0"/>
      <x:c r="X526" t="str" s="2">
        <x:v>4058373447</x:v>
      </x:c>
      <x:c r="Y526" t="str" s="2">
        <x:v>rnelson012172@gmail.com</x:v>
      </x:c>
      <x:c r="Z526" s="6">
        <x:v>46249.06295381945</x:v>
      </x:c>
      <x:c r="AA526" t="str" s="2">
        <x:v>Steve Castell</x:v>
      </x:c>
      <x:c r="AB526" s="6">
        <x:v>46235.65585072917</x:v>
      </x:c>
      <x:c r="AC526" t="n" s="2">
        <x:v>38877</x:v>
      </x:c>
      <x:c r="AD526" t="str" s="2">
        <x:v>Singlewide</x:v>
      </x:c>
      <x:c r="AE526" t="str" s="2">
        <x:v>Legacy Housing Corporation</x:v>
      </x:c>
      <x:c r="AF526" s="7">
        <x:v>8500</x:v>
      </x:c>
      <x:c r="AG526" s="7">
        <x:v>8000</x:v>
      </x:c>
      <x:c r="AH526" s="0"/>
      <x:c r="AI526" t="str" s="2">
        <x:v>710</x:v>
      </x:c>
      <x:c r="AJ526" s="0"/>
      <x:c r="AK526" s="0"/>
    </x:row>
    <x:row r="527">
      <x:c r="A527" t="str" s="2">
        <x:f>=HYPERLINK("https://rsms.futurehomex.com/lead/38878", "MARK DILLON")</x:f>
      </x:c>
      <x:c r="B527" t="n" s="2">
        <x:v>73</x:v>
      </x:c>
      <x:c r="C527" t="str" s="2">
        <x:v/>
      </x:c>
      <x:c r="D527" t="str" s="2">
        <x:f>=""</x:f>
      </x:c>
      <x:c r="E527" s="0"/>
      <x:c r="F527" t="str" s="2">
        <x:v>Walk-in</x:v>
      </x:c>
      <x:c r="G527" t="str" s="2">
        <x:v>Heritage Housing of Augusta</x:v>
      </x:c>
      <x:c r="H527" t="str" s="2">
        <x:v>Faye Lively</x:v>
      </x:c>
      <x:c r="I527" t="str" s="2">
        <x:v>Karol Romero</x:v>
      </x:c>
      <x:c r="J527" t="str" s="2">
        <x:v>Faye Lively</x:v>
      </x:c>
      <x:c r="K527" t="n" s="2">
        <x:v>34</x:v>
      </x:c>
      <x:c r="L527" t="str" s="2">
        <x:v>2.4</x:v>
      </x:c>
      <x:c r="M527" t="str" s="2">
        <x:v>Tentative</x:v>
      </x:c>
      <x:c r="N527" t="str" s="2">
        <x:v>Deal approval</x:v>
      </x:c>
      <x:c r="O527" s="0"/>
      <x:c r="P527" s="6">
        <x:v>46235</x:v>
      </x:c>
      <x:c r="Q527" s="6">
        <x:v>46238.61663159722</x:v>
      </x:c>
      <x:c r="R527" s="0"/>
      <x:c r="S527" s="0"/>
      <x:c r="T527" s="0"/>
      <x:c r="U527" s="0"/>
      <x:c r="V527" s="0"/>
      <x:c r="W527" s="0"/>
      <x:c r="X527" t="str" s="2">
        <x:v>7065512020</x:v>
      </x:c>
      <x:c r="Y527" t="str" s="2">
        <x:v>mdillon@southernindustries.com</x:v>
      </x:c>
      <x:c r="Z527" s="6">
        <x:v>46238.61643306713</x:v>
      </x:c>
      <x:c r="AA527" t="str" s="2">
        <x:v>Brian Amato</x:v>
      </x:c>
      <x:c r="AB527" s="6">
        <x:v>46235.66696739583</x:v>
      </x:c>
      <x:c r="AC527" t="n" s="2">
        <x:v>38878</x:v>
      </x:c>
      <x:c r="AD527" t="str" s="2">
        <x:v>Singlewide</x:v>
      </x:c>
      <x:c r="AE527" s="0"/>
      <x:c r="AF527" s="0"/>
      <x:c r="AG527" s="0"/>
      <x:c r="AH527" s="0"/>
      <x:c r="AI527" s="0"/>
      <x:c r="AJ527" s="0"/>
      <x:c r="AK527" s="0"/>
    </x:row>
    <x:row r="528">
      <x:c r="A528" t="str" s="2">
        <x:f>=HYPERLINK("https://rsms.futurehomex.com/lead/38879", "Carlos Pesina")</x:f>
      </x:c>
      <x:c r="B528" t="n" s="2">
        <x:v>73</x:v>
      </x:c>
      <x:c r="C528" t="str" s="2">
        <x:v>1/7</x:v>
      </x:c>
      <x:c r="D528" t="str" s="2">
        <x:f>=""</x:f>
      </x:c>
      <x:c r="E528" s="0"/>
      <x:c r="F528" t="str" s="2">
        <x:v>Facebook Messenger</x:v>
      </x:c>
      <x:c r="G528" t="str" s="2">
        <x:v>Heritage Housing of Oklahoma City</x:v>
      </x:c>
      <x:c r="H528" t="str" s="2">
        <x:v>Alejandra Calderon</x:v>
      </x:c>
      <x:c r="I528" s="0"/>
      <x:c r="J528" s="0"/>
      <x:c r="K528" t="n" s="2">
        <x:v>5</x:v>
      </x:c>
      <x:c r="L528" t="str" s="2">
        <x:v>1.1</x:v>
      </x:c>
      <x:c r="M528" t="str" s="2">
        <x:v>Tentative</x:v>
      </x:c>
      <x:c r="N528" t="str" s="2">
        <x:v>Prospect</x:v>
      </x:c>
      <x:c r="O528" s="0"/>
      <x:c r="P528" s="6">
        <x:v>46235</x:v>
      </x:c>
      <x:c r="Q528" s="6">
        <x:v>46266.84102167824</x:v>
      </x:c>
      <x:c r="R528" s="0"/>
      <x:c r="S528" s="6">
        <x:v>46237</x:v>
      </x:c>
      <x:c r="T528" s="0"/>
      <x:c r="U528" s="0"/>
      <x:c r="V528" s="0"/>
      <x:c r="W528" s="0"/>
      <x:c r="X528" t="str" s="2">
        <x:v>7858290866</x:v>
      </x:c>
      <x:c r="Y528" t="str" s="2">
        <x:v>PESINACARLOS776@GMAIL.COM</x:v>
      </x:c>
      <x:c r="Z528" s="6">
        <x:v>46283.95385868056</x:v>
      </x:c>
      <x:c r="AA528" t="str" s="2">
        <x:v>Alejandra Calderon</x:v>
      </x:c>
      <x:c r="AB528" s="6">
        <x:v>46235.670706481484</x:v>
      </x:c>
      <x:c r="AC528" t="n" s="2">
        <x:v>38879</x:v>
      </x:c>
      <x:c r="AD528" s="0"/>
      <x:c r="AE528" s="0"/>
      <x:c r="AF528" s="0"/>
      <x:c r="AG528" s="0"/>
      <x:c r="AH528" s="0"/>
      <x:c r="AI528" s="0"/>
      <x:c r="AJ528" s="0"/>
      <x:c r="AK528" s="0"/>
    </x:row>
    <x:row r="529">
      <x:c r="A529" t="str" s="2">
        <x:f>=HYPERLINK("https://rsms.futurehomex.com/lead/38880", "Ralph Stevens")</x:f>
      </x:c>
      <x:c r="B529" t="n" s="2">
        <x:v>73</x:v>
      </x:c>
      <x:c r="C529" t="str" s="2">
        <x:v>1/2</x:v>
      </x:c>
      <x:c r="D529" t="str" s="2">
        <x:f>=""</x:f>
      </x:c>
      <x:c r="E529" s="0"/>
      <x:c r="F529" t="str" s="2">
        <x:v>Facebook Messenger</x:v>
      </x:c>
      <x:c r="G529" t="str" s="2">
        <x:v>Heritage Housing of Canton</x:v>
      </x:c>
      <x:c r="H529" t="str" s="2">
        <x:v>Jacob Hatten</x:v>
      </x:c>
      <x:c r="I529" s="0"/>
      <x:c r="J529" t="str" s="2">
        <x:v>Jacob Hatten</x:v>
      </x:c>
      <x:c r="K529" t="n" s="2">
        <x:v>64</x:v>
      </x:c>
      <x:c r="L529" t="str" s="2">
        <x:v>4.5</x:v>
      </x:c>
      <x:c r="M529" t="str" s="2">
        <x:v>Active</x:v>
      </x:c>
      <x:c r="N529" t="str" s="2">
        <x:v>Clear to Close</x:v>
      </x:c>
      <x:c r="O529" s="6">
        <x:v>46326</x:v>
      </x:c>
      <x:c r="P529" s="6">
        <x:v>46235</x:v>
      </x:c>
      <x:c r="Q529" s="6">
        <x:v>46308.71693070602</x:v>
      </x:c>
      <x:c r="R529" s="0"/>
      <x:c r="S529" s="0"/>
      <x:c r="T529" s="0"/>
      <x:c r="U529" s="6">
        <x:v>46237</x:v>
      </x:c>
      <x:c r="V529" s="6">
        <x:v>46239</x:v>
      </x:c>
      <x:c r="W529" s="0"/>
      <x:c r="X529" t="str" s="2">
        <x:v>2148598665</x:v>
      </x:c>
      <x:c r="Y529" t="str" s="2">
        <x:v>tiffanystevens598@yahoo.com</x:v>
      </x:c>
      <x:c r="Z529" s="6">
        <x:v>46307.627953125</x:v>
      </x:c>
      <x:c r="AA529" t="str" s="2">
        <x:v>Jacob Hatten</x:v>
      </x:c>
      <x:c r="AB529" s="6">
        <x:v>46235.69507376158</x:v>
      </x:c>
      <x:c r="AC529" t="n" s="2">
        <x:v>38880</x:v>
      </x:c>
      <x:c r="AD529" t="str" s="2">
        <x:v>Doublewide</x:v>
      </x:c>
      <x:c r="AE529" t="str" s="2">
        <x:v>Legacy Housing Corporation</x:v>
      </x:c>
      <x:c r="AF529" s="7">
        <x:v>24000</x:v>
      </x:c>
      <x:c r="AG529" s="7">
        <x:v>16000</x:v>
      </x:c>
      <x:c r="AH529" s="7">
        <x:v>24000</x:v>
      </x:c>
      <x:c r="AI529" s="0"/>
      <x:c r="AJ529" s="0"/>
      <x:c r="AK529" s="0"/>
    </x:row>
    <x:row r="530">
      <x:c r="A530" t="str" s="2">
        <x:f>=HYPERLINK("https://rsms.futurehomex.com/lead/38881", "Chase Campbell")</x:f>
      </x:c>
      <x:c r="B530" t="n" s="2">
        <x:v>73</x:v>
      </x:c>
      <x:c r="C530" t="str" s="2">
        <x:v>1/1</x:v>
      </x:c>
      <x:c r="D530" t="str" s="2">
        <x:f>=""</x:f>
      </x:c>
      <x:c r="E530" s="0"/>
      <x:c r="F530" t="str" s="2">
        <x:v>Walk-in</x:v>
      </x:c>
      <x:c r="G530" t="str" s="2">
        <x:v>Heritage Housing of Oklahoma City</x:v>
      </x:c>
      <x:c r="H530" t="str" s="2">
        <x:v>Eva Misheva</x:v>
      </x:c>
      <x:c r="I530" s="0"/>
      <x:c r="J530" s="0"/>
      <x:c r="K530" t="n" s="2">
        <x:v>5</x:v>
      </x:c>
      <x:c r="L530" t="str" s="2">
        <x:v>1.1</x:v>
      </x:c>
      <x:c r="M530" t="str" s="2">
        <x:v>Tentative</x:v>
      </x:c>
      <x:c r="N530" t="str" s="2">
        <x:v>Prospect</x:v>
      </x:c>
      <x:c r="O530" s="0"/>
      <x:c r="P530" s="6">
        <x:v>46235</x:v>
      </x:c>
      <x:c r="Q530" s="6">
        <x:v>46235.7106534375</x:v>
      </x:c>
      <x:c r="R530" s="0"/>
      <x:c r="S530" s="6">
        <x:v>46235</x:v>
      </x:c>
      <x:c r="T530" s="0"/>
      <x:c r="U530" s="0"/>
      <x:c r="V530" s="0"/>
      <x:c r="W530" s="0"/>
      <x:c r="X530" t="str" s="2">
        <x:v>4056549566</x:v>
      </x:c>
      <x:c r="Y530" t="str" s="2">
        <x:v>campbellchase1010@gmail.com</x:v>
      </x:c>
      <x:c r="Z530" s="6">
        <x:v>46271.79963086805</x:v>
      </x:c>
      <x:c r="AA530" t="str" s="2">
        <x:v>Eva Misheva</x:v>
      </x:c>
      <x:c r="AB530" s="6">
        <x:v>46235.71065497685</x:v>
      </x:c>
      <x:c r="AC530" t="n" s="2">
        <x:v>38881</x:v>
      </x:c>
      <x:c r="AD530" s="0"/>
      <x:c r="AE530" s="0"/>
      <x:c r="AF530" s="0"/>
      <x:c r="AG530" s="0"/>
      <x:c r="AH530" s="0"/>
      <x:c r="AI530" s="0"/>
      <x:c r="AJ530" s="0"/>
      <x:c r="AK530" s="0"/>
    </x:row>
    <x:row r="531">
      <x:c r="A531" t="str" s="2">
        <x:f>=HYPERLINK("https://rsms.futurehomex.com/lead/38882", "Heather Barbre")</x:f>
      </x:c>
      <x:c r="B531" t="n" s="2">
        <x:v>73</x:v>
      </x:c>
      <x:c r="C531" t="str" s="2">
        <x:v/>
      </x:c>
      <x:c r="D531" t="str" s="2">
        <x:f>=""</x:f>
      </x:c>
      <x:c r="E531" s="0"/>
      <x:c r="F531" t="str" s="2">
        <x:v>Financing Form</x:v>
      </x:c>
      <x:c r="G531" t="str" s="2">
        <x:v>Heritage Housing of Albany</x:v>
      </x:c>
      <x:c r="H531" t="str" s="2">
        <x:v>Alexander Bryant</x:v>
      </x:c>
      <x:c r="I531" s="0"/>
      <x:c r="J531" t="str" s="2">
        <x:v>Alexander Bryant</x:v>
      </x:c>
      <x:c r="K531" t="n" s="2">
        <x:v>38</x:v>
      </x:c>
      <x:c r="L531" t="str" s="2">
        <x:v>3.2</x:v>
      </x:c>
      <x:c r="M531" t="str" s="2">
        <x:v>Denied</x:v>
      </x:c>
      <x:c r="N531" t="str" s="2">
        <x:v>Application</x:v>
      </x:c>
      <x:c r="O531" s="0"/>
      <x:c r="P531" s="6">
        <x:v>46235</x:v>
      </x:c>
      <x:c r="Q531" s="6">
        <x:v>46241.854415856484</x:v>
      </x:c>
      <x:c r="R531" s="0"/>
      <x:c r="S531" s="6">
        <x:v>46235</x:v>
      </x:c>
      <x:c r="T531" s="6">
        <x:v>46235</x:v>
      </x:c>
      <x:c r="U531" s="6">
        <x:v>46237</x:v>
      </x:c>
      <x:c r="V531" s="0"/>
      <x:c r="W531" s="0"/>
      <x:c r="X531" t="str" s="2">
        <x:v>2293430184</x:v>
      </x:c>
      <x:c r="Y531" t="str" s="2">
        <x:v>hbarbre143@gmail.com</x:v>
      </x:c>
      <x:c r="Z531" s="6">
        <x:v>46237.58631825232</x:v>
      </x:c>
      <x:c r="AA531" t="str" s="2">
        <x:v>Dane Lara</x:v>
      </x:c>
      <x:c r="AB531" s="6">
        <x:v>46235.72394591435</x:v>
      </x:c>
      <x:c r="AC531" t="n" s="2">
        <x:v>38882</x:v>
      </x:c>
      <x:c r="AD531" s="0"/>
      <x:c r="AE531" s="0"/>
      <x:c r="AF531" s="0"/>
      <x:c r="AG531" s="0"/>
      <x:c r="AH531" s="0"/>
      <x:c r="AI531" s="0"/>
      <x:c r="AJ531" s="0"/>
      <x:c r="AK531" s="0"/>
    </x:row>
    <x:row r="532">
      <x:c r="A532" t="str" s="2">
        <x:f>=HYPERLINK("https://rsms.futurehomex.com/lead/38883", "Jimmy Robbins")</x:f>
      </x:c>
      <x:c r="B532" t="n" s="2">
        <x:v>73</x:v>
      </x:c>
      <x:c r="C532" t="str" s="2">
        <x:v/>
      </x:c>
      <x:c r="D532" t="str" s="2">
        <x:f>=""</x:f>
      </x:c>
      <x:c r="E532" s="0"/>
      <x:c r="F532" t="str" s="2">
        <x:v>Walk-in</x:v>
      </x:c>
      <x:c r="G532" t="str" s="2">
        <x:v>Heritage Housing of Asheboro</x:v>
      </x:c>
      <x:c r="H532" t="str" s="2">
        <x:v>Maria Lopez</x:v>
      </x:c>
      <x:c r="I532" s="0"/>
      <x:c r="J532" s="0"/>
      <x:c r="K532" t="n" s="2">
        <x:v>21</x:v>
      </x:c>
      <x:c r="L532" t="str" s="2">
        <x:v>2.1</x:v>
      </x:c>
      <x:c r="M532" t="str" s="2">
        <x:v>Tentative</x:v>
      </x:c>
      <x:c r="N532" t="str" s="2">
        <x:v>Qualified</x:v>
      </x:c>
      <x:c r="O532" s="0"/>
      <x:c r="P532" s="6">
        <x:v>46235</x:v>
      </x:c>
      <x:c r="Q532" s="6">
        <x:v>46238.674127314815</x:v>
      </x:c>
      <x:c r="R532" s="0"/>
      <x:c r="S532" s="0"/>
      <x:c r="T532" s="0"/>
      <x:c r="U532" s="0"/>
      <x:c r="V532" s="0"/>
      <x:c r="W532" s="0"/>
      <x:c r="X532" t="str" s="2">
        <x:v>3362719803</x:v>
      </x:c>
      <x:c r="Y532" t="str" s="2">
        <x:v>aebaseball2005@hotmail.com</x:v>
      </x:c>
      <x:c r="Z532" s="6">
        <x:v>46238.67411493055</x:v>
      </x:c>
      <x:c r="AA532" t="str" s="2">
        <x:v>Jeremy Jacques</x:v>
      </x:c>
      <x:c r="AB532" s="6">
        <x:v>46254.57495841435</x:v>
      </x:c>
      <x:c r="AC532" t="n" s="2">
        <x:v>38883</x:v>
      </x:c>
      <x:c r="AD532" s="0"/>
      <x:c r="AE532" s="0"/>
      <x:c r="AF532" s="0"/>
      <x:c r="AG532" s="0"/>
      <x:c r="AH532" s="0"/>
      <x:c r="AI532" s="0"/>
      <x:c r="AJ532" s="0"/>
      <x:c r="AK532" s="0"/>
    </x:row>
    <x:row r="533">
      <x:c r="A533" t="str" s="2">
        <x:f>=HYPERLINK("https://rsms.futurehomex.com/lead/38884", "Alfredo Hernandez")</x:f>
      </x:c>
      <x:c r="B533" t="n" s="2">
        <x:v>73</x:v>
      </x:c>
      <x:c r="C533" t="str" s="2">
        <x:v/>
      </x:c>
      <x:c r="D533" t="str" s="2">
        <x:f>=""</x:f>
      </x:c>
      <x:c r="E533" s="0"/>
      <x:c r="F533" t="str" s="2">
        <x:v>Meta Marketplace</x:v>
      </x:c>
      <x:c r="G533" t="str" s="2">
        <x:v>Heritage Housing of Asheboro</x:v>
      </x:c>
      <x:c r="H533" t="str" s="2">
        <x:v>Maria Lopez</x:v>
      </x:c>
      <x:c r="I533" s="0"/>
      <x:c r="J533" s="0"/>
      <x:c r="K533" t="n" s="2">
        <x:v>21</x:v>
      </x:c>
      <x:c r="L533" t="str" s="2">
        <x:v>2.1</x:v>
      </x:c>
      <x:c r="M533" t="str" s="2">
        <x:v>Tentative</x:v>
      </x:c>
      <x:c r="N533" t="str" s="2">
        <x:v>Qualified</x:v>
      </x:c>
      <x:c r="O533" s="0"/>
      <x:c r="P533" s="6">
        <x:v>46235</x:v>
      </x:c>
      <x:c r="Q533" s="6">
        <x:v>46238.67266859954</x:v>
      </x:c>
      <x:c r="R533" s="0"/>
      <x:c r="S533" s="0"/>
      <x:c r="T533" s="0"/>
      <x:c r="U533" s="0"/>
      <x:c r="V533" s="0"/>
      <x:c r="W533" s="0"/>
      <x:c r="X533" t="str" s="2">
        <x:v>9106906060</x:v>
      </x:c>
      <x:c r="Y533" t="str" s="2">
        <x:v>basilioalfred12@icloud.com</x:v>
      </x:c>
      <x:c r="Z533" s="6">
        <x:v>46238.67265482639</x:v>
      </x:c>
      <x:c r="AA533" t="str" s="2">
        <x:v>Jeremy Jacques</x:v>
      </x:c>
      <x:c r="AB533" s="6">
        <x:v>46235.769679398145</x:v>
      </x:c>
      <x:c r="AC533" t="n" s="2">
        <x:v>38884</x:v>
      </x:c>
      <x:c r="AD533" s="0"/>
      <x:c r="AE533" s="0"/>
      <x:c r="AF533" s="0"/>
      <x:c r="AG533" s="0"/>
      <x:c r="AH533" s="0"/>
      <x:c r="AI533" s="0"/>
      <x:c r="AJ533" s="0"/>
      <x:c r="AK533" s="0"/>
    </x:row>
    <x:row r="534">
      <x:c r="A534" t="str" s="2">
        <x:f>=HYPERLINK("https://rsms.futurehomex.com/lead/38885", "Austin LAWSON")</x:f>
      </x:c>
      <x:c r="B534" t="n" s="2">
        <x:v>73</x:v>
      </x:c>
      <x:c r="C534" t="str" s="2">
        <x:v>1/1</x:v>
      </x:c>
      <x:c r="D534" t="str" s="2">
        <x:f>=""</x:f>
      </x:c>
      <x:c r="E534" s="0"/>
      <x:c r="F534" t="str" s="2">
        <x:v>Walk-in</x:v>
      </x:c>
      <x:c r="G534" t="str" s="2">
        <x:v>Heritage Housing of Oklahoma City</x:v>
      </x:c>
      <x:c r="H534" t="str" s="2">
        <x:v>Eva Misheva</x:v>
      </x:c>
      <x:c r="I534" s="0"/>
      <x:c r="J534" s="0"/>
      <x:c r="K534" t="n" s="2">
        <x:v>5</x:v>
      </x:c>
      <x:c r="L534" t="str" s="2">
        <x:v>1.1</x:v>
      </x:c>
      <x:c r="M534" t="str" s="2">
        <x:v>Tentative</x:v>
      </x:c>
      <x:c r="N534" t="str" s="2">
        <x:v>Prospect</x:v>
      </x:c>
      <x:c r="O534" s="0"/>
      <x:c r="P534" s="6">
        <x:v>46235</x:v>
      </x:c>
      <x:c r="Q534" s="6">
        <x:v>46235.7863403588</x:v>
      </x:c>
      <x:c r="R534" s="0"/>
      <x:c r="S534" s="6">
        <x:v>46235</x:v>
      </x:c>
      <x:c r="T534" s="0"/>
      <x:c r="U534" s="0"/>
      <x:c r="V534" s="0"/>
      <x:c r="W534" s="0"/>
      <x:c r="X534" t="str" s="2">
        <x:v>4052016461</x:v>
      </x:c>
      <x:c r="Y534" t="str" s="2">
        <x:v>austinJ52@gmail.com</x:v>
      </x:c>
      <x:c r="Z534" s="6">
        <x:v>46271.79041990741</x:v>
      </x:c>
      <x:c r="AA534" t="str" s="2">
        <x:v>Eva Misheva</x:v>
      </x:c>
      <x:c r="AB534" s="6">
        <x:v>46235.78634186342</x:v>
      </x:c>
      <x:c r="AC534" t="n" s="2">
        <x:v>38885</x:v>
      </x:c>
      <x:c r="AD534" s="0"/>
      <x:c r="AE534" s="0"/>
      <x:c r="AF534" s="0"/>
      <x:c r="AG534" s="0"/>
      <x:c r="AH534" s="0"/>
      <x:c r="AI534" s="0"/>
      <x:c r="AJ534" s="0"/>
      <x:c r="AK534" s="0"/>
    </x:row>
    <x:row r="535">
      <x:c r="A535" t="str" s="2">
        <x:f>=HYPERLINK("https://rsms.futurehomex.com/lead/38886", "Cristie OBrien")</x:f>
      </x:c>
      <x:c r="B535" t="n" s="2">
        <x:v>73</x:v>
      </x:c>
      <x:c r="C535" t="str" s="2">
        <x:v>0/1</x:v>
      </x:c>
      <x:c r="D535" t="str" s="2">
        <x:f>=""</x:f>
      </x:c>
      <x:c r="E535" s="0"/>
      <x:c r="F535" t="str" s="2">
        <x:v>Facebook Messenger</x:v>
      </x:c>
      <x:c r="G535" t="str" s="2">
        <x:v>Heritage Housing of Oklahoma City</x:v>
      </x:c>
      <x:c r="H535" t="str" s="2">
        <x:v>Trey Rixleben</x:v>
      </x:c>
      <x:c r="I535" s="0"/>
      <x:c r="J535" s="0"/>
      <x:c r="K535" t="n" s="2">
        <x:v>5</x:v>
      </x:c>
      <x:c r="L535" t="str" s="2">
        <x:v>1.1</x:v>
      </x:c>
      <x:c r="M535" t="str" s="2">
        <x:v>Dead</x:v>
      </x:c>
      <x:c r="N535" t="str" s="2">
        <x:v>Deal Created</x:v>
      </x:c>
      <x:c r="O535" s="0"/>
      <x:c r="P535" s="6">
        <x:v>46235</x:v>
      </x:c>
      <x:c r="Q535" s="6">
        <x:v>46235.80246261574</x:v>
      </x:c>
      <x:c r="R535" s="0"/>
      <x:c r="S535" s="6">
        <x:v>46235</x:v>
      </x:c>
      <x:c r="T535" s="0"/>
      <x:c r="U535" s="0"/>
      <x:c r="V535" s="0"/>
      <x:c r="W535" s="0"/>
      <x:c r="X535" t="str" s="2">
        <x:v>5805951511</x:v>
      </x:c>
      <x:c r="Y535" t="str" s="2">
        <x:v>cristieobrien@gmail.com</x:v>
      </x:c>
      <x:c r="Z535" s="6">
        <x:v>46237.95532129629</x:v>
      </x:c>
      <x:c r="AA535" t="str" s="2">
        <x:v>Trey Rixleben</x:v>
      </x:c>
      <x:c r="AB535" s="6">
        <x:v>46235.80246403935</x:v>
      </x:c>
      <x:c r="AC535" t="n" s="2">
        <x:v>38886</x:v>
      </x:c>
      <x:c r="AD535" s="0"/>
      <x:c r="AE535" s="0"/>
      <x:c r="AF535" s="0"/>
      <x:c r="AG535" s="0"/>
      <x:c r="AH535" s="0"/>
      <x:c r="AI535" s="0"/>
      <x:c r="AJ535" s="0"/>
      <x:c r="AK535" s="0"/>
    </x:row>
    <x:row r="536">
      <x:c r="A536" t="str" s="2">
        <x:f>=HYPERLINK("https://rsms.futurehomex.com/lead/38887", "Miguel Albert Montilla")</x:f>
      </x:c>
      <x:c r="B536" t="n" s="2">
        <x:v>73</x:v>
      </x:c>
      <x:c r="C536" t="str" s="2">
        <x:v>0/3</x:v>
      </x:c>
      <x:c r="D536" t="str" s="2">
        <x:f>=""</x:f>
      </x:c>
      <x:c r="E536" s="0"/>
      <x:c r="F536" t="str" s="2">
        <x:v>Meta Marketplace</x:v>
      </x:c>
      <x:c r="G536" t="str" s="2">
        <x:v>Legacy Housing Corp. DBA Americasa</x:v>
      </x:c>
      <x:c r="H536" t="str" s="2">
        <x:v>Jose Parada</x:v>
      </x:c>
      <x:c r="I536" t="str" s="2">
        <x:v>Karol Romero</x:v>
      </x:c>
      <x:c r="J536" s="0"/>
      <x:c r="K536" t="n" s="2">
        <x:v>5</x:v>
      </x:c>
      <x:c r="L536" t="str" s="2">
        <x:v>1.1</x:v>
      </x:c>
      <x:c r="M536" t="str" s="2">
        <x:v>Active</x:v>
      </x:c>
      <x:c r="N536" t="str" s="2">
        <x:v>Prospect</x:v>
      </x:c>
      <x:c r="O536" s="0"/>
      <x:c r="P536" s="6">
        <x:v>46235</x:v>
      </x:c>
      <x:c r="Q536" s="6">
        <x:v>46251.8706128125</x:v>
      </x:c>
      <x:c r="R536" s="0"/>
      <x:c r="S536" s="6">
        <x:v>46235</x:v>
      </x:c>
      <x:c r="T536" s="0"/>
      <x:c r="U536" s="0"/>
      <x:c r="V536" s="0"/>
      <x:c r="W536" s="0"/>
      <x:c r="X536" t="str" s="2">
        <x:v>8328774954</x:v>
      </x:c>
      <x:c r="Y536" t="str" s="2">
        <x:v>albertmontilla336@yahoo.com</x:v>
      </x:c>
      <x:c r="Z536" s="6">
        <x:v>46288.76279664352</x:v>
      </x:c>
      <x:c r="AA536" t="str" s="2">
        <x:v>Jose Parada</x:v>
      </x:c>
      <x:c r="AB536" s="6">
        <x:v>46235.82542959491</x:v>
      </x:c>
      <x:c r="AC536" t="n" s="2">
        <x:v>38887</x:v>
      </x:c>
      <x:c r="AD536" s="0"/>
      <x:c r="AE536" s="0"/>
      <x:c r="AF536" s="0"/>
      <x:c r="AG536" s="0"/>
      <x:c r="AH536" s="0"/>
      <x:c r="AI536" s="0"/>
      <x:c r="AJ536" s="0"/>
      <x:c r="AK536" s="0"/>
    </x:row>
    <x:row r="537">
      <x:c r="A537" t="str" s="2">
        <x:f>=HYPERLINK("https://rsms.futurehomex.com/lead/38888", "Neil Key")</x:f>
      </x:c>
      <x:c r="B537" t="n" s="2">
        <x:v>73</x:v>
      </x:c>
      <x:c r="C537" t="str" s="2">
        <x:v>0/9</x:v>
      </x:c>
      <x:c r="D537" t="str" s="2">
        <x:f>=""</x:f>
      </x:c>
      <x:c r="E537" t="str" s="2">
        <x:v>Darcy Key</x:v>
      </x:c>
      <x:c r="F537" t="str" s="2">
        <x:v>Walk-in</x:v>
      </x:c>
      <x:c r="G537" t="str" s="2">
        <x:v>Heritage Housing of Augusta</x:v>
      </x:c>
      <x:c r="H537" t="str" s="2">
        <x:v>Alex Jones</x:v>
      </x:c>
      <x:c r="I537" t="str" s="2">
        <x:v>Karol Romero</x:v>
      </x:c>
      <x:c r="J537" t="str" s="2">
        <x:v>Alex Jones</x:v>
      </x:c>
      <x:c r="K537" t="n" s="2">
        <x:v>100</x:v>
      </x:c>
      <x:c r="L537" t="str" s="2">
        <x:v>6.2</x:v>
      </x:c>
      <x:c r="M537" t="str" s="2">
        <x:v>Closed</x:v>
      </x:c>
      <x:c r="N537" t="str" s="2">
        <x:v>Delivered</x:v>
      </x:c>
      <x:c r="O537" s="6">
        <x:v>46254</x:v>
      </x:c>
      <x:c r="P537" s="6">
        <x:v>46235</x:v>
      </x:c>
      <x:c r="Q537" s="6">
        <x:v>46273.78835297454</x:v>
      </x:c>
      <x:c r="R537" s="0"/>
      <x:c r="S537" s="6">
        <x:v>46235</x:v>
      </x:c>
      <x:c r="T537" s="0"/>
      <x:c r="U537" s="6">
        <x:v>46248</x:v>
      </x:c>
      <x:c r="V537" s="6">
        <x:v>46248</x:v>
      </x:c>
      <x:c r="W537" s="6">
        <x:v>46265</x:v>
      </x:c>
      <x:c r="X537" t="str" s="2">
        <x:v>7065895451</x:v>
      </x:c>
      <x:c r="Y537" t="str" s="2">
        <x:v>twokeyscustom@yahoo.com</x:v>
      </x:c>
      <x:c r="Z537" s="6">
        <x:v>46266.552104201386</x:v>
      </x:c>
      <x:c r="AA537" t="str" s="2">
        <x:v>Alex Jones</x:v>
      </x:c>
      <x:c r="AB537" s="6">
        <x:v>46235.82802893518</x:v>
      </x:c>
      <x:c r="AC537" t="n" s="2">
        <x:v>38888</x:v>
      </x:c>
      <x:c r="AD537" t="str" s="2">
        <x:v>Singlewide</x:v>
      </x:c>
      <x:c r="AE537" t="str" s="2">
        <x:v>Legacy Housing Corporation</x:v>
      </x:c>
      <x:c r="AF537" s="7">
        <x:v>11000</x:v>
      </x:c>
      <x:c r="AG537" s="7">
        <x:v>5000</x:v>
      </x:c>
      <x:c r="AH537" s="7">
        <x:v>500</x:v>
      </x:c>
      <x:c r="AI537" t="str" s="2">
        <x:v>647</x:v>
      </x:c>
      <x:c r="AJ537" s="0"/>
      <x:c r="AK537" s="0"/>
    </x:row>
    <x:row r="538">
      <x:c r="A538" t="str" s="2">
        <x:f>=HYPERLINK("https://rsms.futurehomex.com/lead/38889", "Kyle Sorter")</x:f>
      </x:c>
      <x:c r="B538" t="n" s="2">
        <x:v>73</x:v>
      </x:c>
      <x:c r="C538" t="str" s="2">
        <x:v>1/2</x:v>
      </x:c>
      <x:c r="D538" t="str" s="2">
        <x:f>=""</x:f>
      </x:c>
      <x:c r="E538" s="0"/>
      <x:c r="F538" t="str" s="2">
        <x:v>Walk-in</x:v>
      </x:c>
      <x:c r="G538" t="str" s="2">
        <x:v>Heritage Housing of Oklahoma City</x:v>
      </x:c>
      <x:c r="H538" t="str" s="2">
        <x:v>Eva Misheva</x:v>
      </x:c>
      <x:c r="I538" s="0"/>
      <x:c r="J538" s="0"/>
      <x:c r="K538" t="n" s="2">
        <x:v>5</x:v>
      </x:c>
      <x:c r="L538" t="str" s="2">
        <x:v>1.1</x:v>
      </x:c>
      <x:c r="M538" t="str" s="2">
        <x:v>Tentative</x:v>
      </x:c>
      <x:c r="N538" t="str" s="2">
        <x:v>Prospect</x:v>
      </x:c>
      <x:c r="O538" s="0"/>
      <x:c r="P538" s="6">
        <x:v>46235</x:v>
      </x:c>
      <x:c r="Q538" s="6">
        <x:v>46235.828054895836</x:v>
      </x:c>
      <x:c r="R538" s="0"/>
      <x:c r="S538" s="6">
        <x:v>46235</x:v>
      </x:c>
      <x:c r="T538" s="0"/>
      <x:c r="U538" s="0"/>
      <x:c r="V538" s="0"/>
      <x:c r="W538" s="0"/>
      <x:c r="X538" t="str" s="2">
        <x:v>4053883860</x:v>
      </x:c>
      <x:c r="Y538" t="str" s="2">
        <x:v>sirsorter@hotmail.com</x:v>
      </x:c>
      <x:c r="Z538" s="6">
        <x:v>46257.91852079861</x:v>
      </x:c>
      <x:c r="AA538" t="str" s="2">
        <x:v>Eva Misheva</x:v>
      </x:c>
      <x:c r="AB538" s="6">
        <x:v>46235.82805625</x:v>
      </x:c>
      <x:c r="AC538" t="n" s="2">
        <x:v>38889</x:v>
      </x:c>
      <x:c r="AD538" s="0"/>
      <x:c r="AE538" s="0"/>
      <x:c r="AF538" s="0"/>
      <x:c r="AG538" s="0"/>
      <x:c r="AH538" s="0"/>
      <x:c r="AI538" s="0"/>
      <x:c r="AJ538" s="0"/>
      <x:c r="AK538" s="0"/>
    </x:row>
    <x:row r="539">
      <x:c r="A539" t="str" s="2">
        <x:f>=HYPERLINK("https://rsms.futurehomex.com/lead/38890", "Nichola Andrews")</x:f>
      </x:c>
      <x:c r="B539" t="n" s="2">
        <x:v>73</x:v>
      </x:c>
      <x:c r="C539" t="str" s="2">
        <x:v>1/1</x:v>
      </x:c>
      <x:c r="D539" t="str" s="2">
        <x:f>=""</x:f>
      </x:c>
      <x:c r="E539" s="0"/>
      <x:c r="F539" t="str" s="2">
        <x:v>HH - Oklahoma City</x:v>
      </x:c>
      <x:c r="G539" t="str" s="2">
        <x:v>Heritage Housing of Oklahoma City</x:v>
      </x:c>
      <x:c r="H539" t="str" s="2">
        <x:v>Alejandra Calderon</x:v>
      </x:c>
      <x:c r="I539" s="0"/>
      <x:c r="J539" t="str" s="2">
        <x:v>Steve Castell</x:v>
      </x:c>
      <x:c r="K539" t="n" s="2">
        <x:v>5</x:v>
      </x:c>
      <x:c r="L539" t="str" s="2">
        <x:v>1.1</x:v>
      </x:c>
      <x:c r="M539" t="str" s="2">
        <x:v>Tentative</x:v>
      </x:c>
      <x:c r="N539" t="str" s="2">
        <x:v>Deal Created</x:v>
      </x:c>
      <x:c r="O539" s="0"/>
      <x:c r="P539" s="6">
        <x:v>46235</x:v>
      </x:c>
      <x:c r="Q539" s="6">
        <x:v>46235.832441053244</x:v>
      </x:c>
      <x:c r="R539" t="str" s="2">
        <x:v>Trey Rixleben</x:v>
      </x:c>
      <x:c r="S539" s="0"/>
      <x:c r="T539" s="0"/>
      <x:c r="U539" s="0"/>
      <x:c r="V539" s="0"/>
      <x:c r="W539" s="0"/>
      <x:c r="X539" t="str" s="2">
        <x:v>4055936341</x:v>
      </x:c>
      <x:c r="Y539" t="str" s="2">
        <x:v>4055936341</x:v>
      </x:c>
      <x:c r="Z539" s="6">
        <x:v>46235.900782094905</x:v>
      </x:c>
      <x:c r="AA539" t="str" s="2">
        <x:v>Karla Brizuela</x:v>
      </x:c>
      <x:c r="AB539" s="6">
        <x:v>46235.832442673614</x:v>
      </x:c>
      <x:c r="AC539" t="n" s="2">
        <x:v>38890</x:v>
      </x:c>
      <x:c r="AD539" s="0"/>
      <x:c r="AE539" s="0"/>
      <x:c r="AF539" s="0"/>
      <x:c r="AG539" s="0"/>
      <x:c r="AH539" s="0"/>
      <x:c r="AI539" s="0"/>
      <x:c r="AJ539" s="0"/>
      <x:c r="AK539" s="0"/>
    </x:row>
    <x:row r="540">
      <x:c r="A540" t="str" s="2">
        <x:f>=HYPERLINK("https://rsms.futurehomex.com/lead/38891", "Kristina Pauley")</x:f>
      </x:c>
      <x:c r="B540" t="n" s="2">
        <x:v>73</x:v>
      </x:c>
      <x:c r="C540" t="str" s="2">
        <x:v/>
      </x:c>
      <x:c r="D540" t="str" s="2">
        <x:f>=""</x:f>
      </x:c>
      <x:c r="E540" s="0"/>
      <x:c r="F540" t="str" s="2">
        <x:v>Walk-in</x:v>
      </x:c>
      <x:c r="G540" t="str" s="2">
        <x:v>Heritage Housing of Asheboro</x:v>
      </x:c>
      <x:c r="H540" t="str" s="2">
        <x:v>Maria Lopez</x:v>
      </x:c>
      <x:c r="I540" s="0"/>
      <x:c r="J540" s="0"/>
      <x:c r="K540" t="n" s="2">
        <x:v>21</x:v>
      </x:c>
      <x:c r="L540" t="str" s="2">
        <x:v>2.1</x:v>
      </x:c>
      <x:c r="M540" t="str" s="2">
        <x:v>Tentative</x:v>
      </x:c>
      <x:c r="N540" t="str" s="2">
        <x:v>Qualified</x:v>
      </x:c>
      <x:c r="O540" s="0"/>
      <x:c r="P540" s="6">
        <x:v>46235</x:v>
      </x:c>
      <x:c r="Q540" s="6">
        <x:v>46238.67335686342</x:v>
      </x:c>
      <x:c r="R540" s="0"/>
      <x:c r="S540" s="0"/>
      <x:c r="T540" s="0"/>
      <x:c r="U540" s="0"/>
      <x:c r="V540" s="0"/>
      <x:c r="W540" s="0"/>
      <x:c r="X540" t="str" s="2">
        <x:v>3362619059</x:v>
      </x:c>
      <x:c r="Y540" t="str" s="2">
        <x:v>kristinapauley85@gmail.com</x:v>
      </x:c>
      <x:c r="Z540" s="6">
        <x:v>46238.673344131945</x:v>
      </x:c>
      <x:c r="AA540" t="str" s="2">
        <x:v>Jeremy Jacques</x:v>
      </x:c>
      <x:c r="AB540" s="6">
        <x:v>46235.84701855324</x:v>
      </x:c>
      <x:c r="AC540" t="n" s="2">
        <x:v>38891</x:v>
      </x:c>
      <x:c r="AD540" s="0"/>
      <x:c r="AE540" s="0"/>
      <x:c r="AF540" s="0"/>
      <x:c r="AG540" s="0"/>
      <x:c r="AH540" s="0"/>
      <x:c r="AI540" s="0"/>
      <x:c r="AJ540" s="0"/>
      <x:c r="AK540" s="0"/>
    </x:row>
    <x:row r="541">
      <x:c r="A541" t="str" s="2">
        <x:f>=HYPERLINK("https://rsms.futurehomex.com/lead/38892", "Jason Cowherd")</x:f>
      </x:c>
      <x:c r="B541" t="n" s="2">
        <x:v>73</x:v>
      </x:c>
      <x:c r="C541" t="str" s="2">
        <x:v>1/14</x:v>
      </x:c>
      <x:c r="D541" t="str" s="2">
        <x:f>=""</x:f>
      </x:c>
      <x:c r="E541" s="0"/>
      <x:c r="F541" t="str" s="2">
        <x:v>Walk-in</x:v>
      </x:c>
      <x:c r="G541" t="str" s="2">
        <x:v>Heritage Housing of Oklahoma City</x:v>
      </x:c>
      <x:c r="H541" t="str" s="2">
        <x:v>Steve Castell</x:v>
      </x:c>
      <x:c r="I541" s="0"/>
      <x:c r="J541" t="str" s="2">
        <x:v>Steve Castell</x:v>
      </x:c>
      <x:c r="K541" t="n" s="2">
        <x:v>38</x:v>
      </x:c>
      <x:c r="L541" t="str" s="2">
        <x:v>3.2</x:v>
      </x:c>
      <x:c r="M541" t="str" s="2">
        <x:v>Active</x:v>
      </x:c>
      <x:c r="N541" t="str" s="2">
        <x:v>Application</x:v>
      </x:c>
      <x:c r="O541" s="0"/>
      <x:c r="P541" s="6">
        <x:v>46235</x:v>
      </x:c>
      <x:c r="Q541" s="6">
        <x:v>46308.685164699076</x:v>
      </x:c>
      <x:c r="R541" s="0"/>
      <x:c r="S541" s="6">
        <x:v>46235</x:v>
      </x:c>
      <x:c r="T541" s="6">
        <x:v>46308</x:v>
      </x:c>
      <x:c r="U541" s="6">
        <x:v>46308</x:v>
      </x:c>
      <x:c r="V541" s="0"/>
      <x:c r="W541" s="0"/>
      <x:c r="X541" t="str" s="2">
        <x:v>5805418681</x:v>
      </x:c>
      <x:c r="Y541" t="str" s="2">
        <x:v>steve@swcplumbing.com</x:v>
      </x:c>
      <x:c r="Z541" s="6">
        <x:v>46308.68487311342</x:v>
      </x:c>
      <x:c r="AA541" t="str" s="2">
        <x:v>Richard Bell</x:v>
      </x:c>
      <x:c r="AB541" s="6">
        <x:v>46235.905825891205</x:v>
      </x:c>
      <x:c r="AC541" t="n" s="2">
        <x:v>38892</x:v>
      </x:c>
      <x:c r="AD541" t="str" s="2">
        <x:v>Singlewide</x:v>
      </x:c>
      <x:c r="AE541" t="str" s="2">
        <x:v>Legacy Housing Corporation</x:v>
      </x:c>
      <x:c r="AF541" s="7">
        <x:v>35000</x:v>
      </x:c>
      <x:c r="AG541" s="7">
        <x:v>35000</x:v>
      </x:c>
      <x:c r="AH541" s="0"/>
      <x:c r="AI541" t="str" s="2">
        <x:v>662</x:v>
      </x:c>
      <x:c r="AJ541" s="0"/>
      <x:c r="AK541" s="0"/>
    </x:row>
    <x:row r="542">
      <x:c r="A542" t="str" s="2">
        <x:f>=HYPERLINK("https://rsms.futurehomex.com/lead/38893", "Mary Curtis")</x:f>
      </x:c>
      <x:c r="B542" t="n" s="2">
        <x:v>73</x:v>
      </x:c>
      <x:c r="C542" t="str" s="2">
        <x:v/>
      </x:c>
      <x:c r="D542" t="str" s="2">
        <x:f>=""</x:f>
      </x:c>
      <x:c r="E542" s="0"/>
      <x:c r="F542" t="str" s="2">
        <x:v>Facebook Messenger</x:v>
      </x:c>
      <x:c r="G542" t="str" s="2">
        <x:v>Heritage Housing Mt Pleasant</x:v>
      </x:c>
      <x:c r="H542" t="str" s="2">
        <x:v>Yarelis Torres</x:v>
      </x:c>
      <x:c r="I542" s="0"/>
      <x:c r="J542" t="str" s="2">
        <x:v>Yarelis Torres</x:v>
      </x:c>
      <x:c r="K542" t="n" s="2">
        <x:v>5</x:v>
      </x:c>
      <x:c r="L542" t="str" s="2">
        <x:v>1.1</x:v>
      </x:c>
      <x:c r="M542" t="str" s="2">
        <x:v>Tentative</x:v>
      </x:c>
      <x:c r="N542" t="str" s="2">
        <x:v>Deal Created</x:v>
      </x:c>
      <x:c r="O542" s="0"/>
      <x:c r="P542" s="6">
        <x:v>46235</x:v>
      </x:c>
      <x:c r="Q542" s="6">
        <x:v>46235.95924174769</x:v>
      </x:c>
      <x:c r="R542" s="0"/>
      <x:c r="S542" s="0"/>
      <x:c r="T542" s="0"/>
      <x:c r="U542" s="0"/>
      <x:c r="V542" s="0"/>
      <x:c r="W542" s="0"/>
      <x:c r="X542" t="str" s="2">
        <x:v>9034135489</x:v>
      </x:c>
      <x:c r="Y542" t="str" s="2">
        <x:v>9034135489</x:v>
      </x:c>
      <x:c r="Z542" s="6">
        <x:v>46237.80931508102</x:v>
      </x:c>
      <x:c r="AA542" t="str" s="2">
        <x:v>Yarelis Torres</x:v>
      </x:c>
      <x:c r="AB542" s="6">
        <x:v>46235.959243287034</x:v>
      </x:c>
      <x:c r="AC542" t="n" s="2">
        <x:v>38893</x:v>
      </x:c>
      <x:c r="AD542" s="0"/>
      <x:c r="AE542" s="0"/>
      <x:c r="AF542" s="0"/>
      <x:c r="AG542" s="0"/>
      <x:c r="AH542" s="0"/>
      <x:c r="AI542" s="0"/>
      <x:c r="AJ542" s="0"/>
      <x:c r="AK542" s="0"/>
    </x:row>
    <x:row r="543">
      <x:c r="A543" t="str" s="2">
        <x:f>=HYPERLINK("https://rsms.futurehomex.com/lead/38894", "Luis Lopez")</x:f>
      </x:c>
      <x:c r="B543" t="n" s="2">
        <x:v>73</x:v>
      </x:c>
      <x:c r="C543" t="str" s="2">
        <x:v>0/5</x:v>
      </x:c>
      <x:c r="D543" t="str" s="2">
        <x:f>=""</x:f>
      </x:c>
      <x:c r="E543" s="0"/>
      <x:c r="F543" t="str" s="2">
        <x:v>Meta Marketplace</x:v>
      </x:c>
      <x:c r="G543" t="str" s="2">
        <x:v>Legacy Housing Corp. DBA Americasa</x:v>
      </x:c>
      <x:c r="H543" t="str" s="2">
        <x:v>Joey Marquez</x:v>
      </x:c>
      <x:c r="I543" t="str" s="2">
        <x:v>Karol Romero</x:v>
      </x:c>
      <x:c r="J543" s="0"/>
      <x:c r="K543" t="n" s="2">
        <x:v>5</x:v>
      </x:c>
      <x:c r="L543" t="str" s="2">
        <x:v>1.1</x:v>
      </x:c>
      <x:c r="M543" t="str" s="2">
        <x:v>Tentative</x:v>
      </x:c>
      <x:c r="N543" t="str" s="2">
        <x:v>Prospect</x:v>
      </x:c>
      <x:c r="O543" s="0"/>
      <x:c r="P543" s="6">
        <x:v>46235</x:v>
      </x:c>
      <x:c r="Q543" s="6">
        <x:v>46253.88449135417</x:v>
      </x:c>
      <x:c r="R543" s="0"/>
      <x:c r="S543" s="0"/>
      <x:c r="T543" s="0"/>
      <x:c r="U543" s="0"/>
      <x:c r="V543" s="0"/>
      <x:c r="W543" s="0"/>
      <x:c r="X543" t="str" s="2">
        <x:v>8324802460</x:v>
      </x:c>
      <x:c r="Y543" t="str" s="2">
        <x:v>8324802460</x:v>
      </x:c>
      <x:c r="Z543" s="6">
        <x:v>46290.87905297454</x:v>
      </x:c>
      <x:c r="AA543" t="str" s="2">
        <x:v>Joey Marquez</x:v>
      </x:c>
      <x:c r="AB543" s="6">
        <x:v>46235.99050234954</x:v>
      </x:c>
      <x:c r="AC543" t="n" s="2">
        <x:v>38894</x:v>
      </x:c>
      <x:c r="AD543" s="0"/>
      <x:c r="AE543" s="0"/>
      <x:c r="AF543" s="0"/>
      <x:c r="AG543" s="0"/>
      <x:c r="AH543" s="0"/>
      <x:c r="AI543" s="0"/>
      <x:c r="AJ543" s="0"/>
      <x:c r="AK543" s="0"/>
    </x:row>
    <x:row r="544">
      <x:c r="A544" t="str" s="2">
        <x:f>=HYPERLINK("https://rsms.futurehomex.com/lead/38895", "Alex Delgado")</x:f>
      </x:c>
      <x:c r="B544" t="n" s="2">
        <x:v>73</x:v>
      </x:c>
      <x:c r="C544" t="str" s="2">
        <x:v>0/2</x:v>
      </x:c>
      <x:c r="D544" t="str" s="2">
        <x:f>=""</x:f>
      </x:c>
      <x:c r="E544" s="0"/>
      <x:c r="F544" t="str" s="2">
        <x:v>Meta Marketplace</x:v>
      </x:c>
      <x:c r="G544" t="str" s="2">
        <x:v>Legacy Housing Corp. DBA Americasa</x:v>
      </x:c>
      <x:c r="H544" t="str" s="2">
        <x:v>Jose Parada</x:v>
      </x:c>
      <x:c r="I544" t="str" s="2">
        <x:v>Karol Romero</x:v>
      </x:c>
      <x:c r="J544" s="0"/>
      <x:c r="K544" t="n" s="2">
        <x:v>5</x:v>
      </x:c>
      <x:c r="L544" t="str" s="2">
        <x:v>1.1</x:v>
      </x:c>
      <x:c r="M544" t="str" s="2">
        <x:v>Tentative</x:v>
      </x:c>
      <x:c r="N544" t="str" s="2">
        <x:v>Prospect</x:v>
      </x:c>
      <x:c r="O544" s="0"/>
      <x:c r="P544" s="6">
        <x:v>46235</x:v>
      </x:c>
      <x:c r="Q544" s="6">
        <x:v>46235.994925810184</x:v>
      </x:c>
      <x:c r="R544" s="0"/>
      <x:c r="S544" s="0"/>
      <x:c r="T544" s="0"/>
      <x:c r="U544" s="0"/>
      <x:c r="V544" s="0"/>
      <x:c r="W544" s="0"/>
      <x:c r="X544" t="str" s="2">
        <x:v>3466522682</x:v>
      </x:c>
      <x:c r="Y544" t="str" s="2">
        <x:v>3466522682</x:v>
      </x:c>
      <x:c r="Z544" s="6">
        <x:v>46248.864440972226</x:v>
      </x:c>
      <x:c r="AA544" t="str" s="2">
        <x:v>Victoria Sanchez</x:v>
      </x:c>
      <x:c r="AB544" s="6">
        <x:v>46235.99492681713</x:v>
      </x:c>
      <x:c r="AC544" t="n" s="2">
        <x:v>38895</x:v>
      </x:c>
      <x:c r="AD544" s="0"/>
      <x:c r="AE544" s="0"/>
      <x:c r="AF544" s="0"/>
      <x:c r="AG544" s="0"/>
      <x:c r="AH544" s="0"/>
      <x:c r="AI544" s="0"/>
      <x:c r="AJ544" s="0"/>
      <x:c r="AK544" s="0"/>
    </x:row>
    <x:row r="545">
      <x:c r="A545" t="str" s="2">
        <x:f>=HYPERLINK("https://rsms.futurehomex.com/lead/38897", "Ivonne Cortez")</x:f>
      </x:c>
      <x:c r="B545" t="n" s="2">
        <x:v>72</x:v>
      </x:c>
      <x:c r="C545" t="str" s="2">
        <x:v>0/1</x:v>
      </x:c>
      <x:c r="D545" t="str" s="2">
        <x:f>=""</x:f>
      </x:c>
      <x:c r="E545" s="0"/>
      <x:c r="F545" t="str" s="2">
        <x:v>Facebook Messenger</x:v>
      </x:c>
      <x:c r="G545" t="str" s="2">
        <x:v>Heritage Housing of Oklahoma City</x:v>
      </x:c>
      <x:c r="H545" t="str" s="2">
        <x:v>Trey Rixleben</x:v>
      </x:c>
      <x:c r="I545" s="0"/>
      <x:c r="J545" s="0"/>
      <x:c r="K545" t="n" s="2">
        <x:v>5</x:v>
      </x:c>
      <x:c r="L545" t="str" s="2">
        <x:v>1.1</x:v>
      </x:c>
      <x:c r="M545" t="str" s="2">
        <x:v>Tentative</x:v>
      </x:c>
      <x:c r="N545" t="str" s="2">
        <x:v>Prospect</x:v>
      </x:c>
      <x:c r="O545" s="0"/>
      <x:c r="P545" s="6">
        <x:v>46236</x:v>
      </x:c>
      <x:c r="Q545" s="6">
        <x:v>46236.8181440625</x:v>
      </x:c>
      <x:c r="R545" s="0"/>
      <x:c r="S545" s="6">
        <x:v>46236</x:v>
      </x:c>
      <x:c r="T545" s="0"/>
      <x:c r="U545" s="0"/>
      <x:c r="V545" s="0"/>
      <x:c r="W545" s="0"/>
      <x:c r="X545" t="str" s="2">
        <x:v>9154718285</x:v>
      </x:c>
      <x:c r="Y545" t="str" s="2">
        <x:v>ivonnecortezfdz@gmail.com</x:v>
      </x:c>
      <x:c r="Z545" s="6">
        <x:v>46300.756819560185</x:v>
      </x:c>
      <x:c r="AA545" t="str" s="2">
        <x:v>Richard Bell</x:v>
      </x:c>
      <x:c r="AB545" s="6">
        <x:v>46300.75642982639</x:v>
      </x:c>
      <x:c r="AC545" t="n" s="2">
        <x:v>38897</x:v>
      </x:c>
      <x:c r="AD545" s="0"/>
      <x:c r="AE545" s="0"/>
      <x:c r="AF545" s="0"/>
      <x:c r="AG545" s="0"/>
      <x:c r="AH545" s="0"/>
      <x:c r="AI545" s="0"/>
      <x:c r="AJ545" s="0"/>
      <x:c r="AK545" s="0"/>
    </x:row>
    <x:row r="546">
      <x:c r="A546" t="str" s="2">
        <x:f>=HYPERLINK("https://rsms.futurehomex.com/lead/38898", "Seryna Ellis")</x:f>
      </x:c>
      <x:c r="B546" t="n" s="2">
        <x:v>72</x:v>
      </x:c>
      <x:c r="C546" t="str" s="2">
        <x:v>1/1</x:v>
      </x:c>
      <x:c r="D546" t="str" s="2">
        <x:f>=""</x:f>
      </x:c>
      <x:c r="E546" s="0"/>
      <x:c r="F546" t="str" s="2">
        <x:v>Walk-in</x:v>
      </x:c>
      <x:c r="G546" t="str" s="2">
        <x:v>Heritage Housing of Oklahoma City</x:v>
      </x:c>
      <x:c r="H546" t="str" s="2">
        <x:v>Eva Misheva</x:v>
      </x:c>
      <x:c r="I546" s="0"/>
      <x:c r="J546" s="0"/>
      <x:c r="K546" t="n" s="2">
        <x:v>5</x:v>
      </x:c>
      <x:c r="L546" t="str" s="2">
        <x:v>1.1</x:v>
      </x:c>
      <x:c r="M546" t="str" s="2">
        <x:v>Tentative</x:v>
      </x:c>
      <x:c r="N546" t="str" s="2">
        <x:v>Prospect</x:v>
      </x:c>
      <x:c r="O546" s="0"/>
      <x:c r="P546" s="6">
        <x:v>46236</x:v>
      </x:c>
      <x:c r="Q546" s="6">
        <x:v>46236.86669892361</x:v>
      </x:c>
      <x:c r="R546" s="0"/>
      <x:c r="S546" s="0"/>
      <x:c r="T546" s="0"/>
      <x:c r="U546" s="0"/>
      <x:c r="V546" s="0"/>
      <x:c r="W546" s="0"/>
      <x:c r="X546" t="str" s="2">
        <x:v>6234326427</x:v>
      </x:c>
      <x:c r="Y546" t="str" s="2">
        <x:v>serynagivethankstogod@gmail.com</x:v>
      </x:c>
      <x:c r="Z546" s="6">
        <x:v>46249.91804077546</x:v>
      </x:c>
      <x:c r="AA546" t="str" s="2">
        <x:v>Eva Misheva</x:v>
      </x:c>
      <x:c r="AB546" s="6">
        <x:v>46236.866701770836</x:v>
      </x:c>
      <x:c r="AC546" t="n" s="2">
        <x:v>38898</x:v>
      </x:c>
      <x:c r="AD546" s="0"/>
      <x:c r="AE546" s="0"/>
      <x:c r="AF546" s="0"/>
      <x:c r="AG546" s="0"/>
      <x:c r="AH546" s="0"/>
      <x:c r="AI546" s="0"/>
      <x:c r="AJ546" s="0"/>
      <x:c r="AK546" s="0"/>
    </x:row>
    <x:row r="547">
      <x:c r="A547" t="str" s="2">
        <x:f>=HYPERLINK("https://rsms.futurehomex.com/lead/38900", "Micah Saunders")</x:f>
      </x:c>
      <x:c r="B547" t="n" s="2">
        <x:v>72</x:v>
      </x:c>
      <x:c r="C547" t="str" s="2">
        <x:v/>
      </x:c>
      <x:c r="D547" t="str" s="2">
        <x:f>=""</x:f>
      </x:c>
      <x:c r="E547" s="0"/>
      <x:c r="F547" t="str" s="2">
        <x:v>Financing Form</x:v>
      </x:c>
      <x:c r="G547" t="str" s="2">
        <x:v>Heritage Housing Mt Pleasant</x:v>
      </x:c>
      <x:c r="H547" t="str" s="2">
        <x:v>Elias Gallardo</x:v>
      </x:c>
      <x:c r="I547" s="0"/>
      <x:c r="J547" t="str" s="2">
        <x:v>Elias Gallardo</x:v>
      </x:c>
      <x:c r="K547" t="n" s="2">
        <x:v>5</x:v>
      </x:c>
      <x:c r="L547" t="str" s="2">
        <x:v>1.1</x:v>
      </x:c>
      <x:c r="M547" t="str" s="2">
        <x:v>Tentative</x:v>
      </x:c>
      <x:c r="N547" t="str" s="2">
        <x:v>Prospect</x:v>
      </x:c>
      <x:c r="O547" s="0"/>
      <x:c r="P547" s="6">
        <x:v>46236</x:v>
      </x:c>
      <x:c r="Q547" s="6">
        <x:v>46236.90355980324</x:v>
      </x:c>
      <x:c r="R547" s="0"/>
      <x:c r="S547" s="0"/>
      <x:c r="T547" s="0"/>
      <x:c r="U547" s="0"/>
      <x:c r="V547" s="0"/>
      <x:c r="W547" s="0"/>
      <x:c r="X547" t="str" s="2">
        <x:v>9032853406</x:v>
      </x:c>
      <x:c r="Y547" t="str" s="2">
        <x:v>micahsaunders10@gmail.com</x:v>
      </x:c>
      <x:c r="Z547" s="6">
        <x:v>46237.98527068287</x:v>
      </x:c>
      <x:c r="AA547" t="str" s="2">
        <x:v>Elias Gallardo</x:v>
      </x:c>
      <x:c r="AB547" s="6">
        <x:v>46236.9035599537</x:v>
      </x:c>
      <x:c r="AC547" t="n" s="2">
        <x:v>38900</x:v>
      </x:c>
      <x:c r="AD547" s="0"/>
      <x:c r="AE547" s="0"/>
      <x:c r="AF547" s="0"/>
      <x:c r="AG547" s="0"/>
      <x:c r="AH547" s="0"/>
      <x:c r="AI547" s="0"/>
      <x:c r="AJ547" s="0"/>
      <x:c r="AK547" s="0"/>
    </x:row>
    <x:row r="548">
      <x:c r="A548" t="str" s="2">
        <x:f>=HYPERLINK("https://rsms.futurehomex.com/lead/38903", "Ricky Bishop")</x:f>
      </x:c>
      <x:c r="B548" t="n" s="2">
        <x:v>72</x:v>
      </x:c>
      <x:c r="C548" t="str" s="2">
        <x:v/>
      </x:c>
      <x:c r="D548" t="str" s="2">
        <x:f>=""</x:f>
      </x:c>
      <x:c r="E548" s="0"/>
      <x:c r="F548" t="str" s="2">
        <x:v>Office Hot Calls</x:v>
      </x:c>
      <x:c r="G548" t="str" s="2">
        <x:v>Heritage Housing Mt Pleasant</x:v>
      </x:c>
      <x:c r="H548" t="str" s="2">
        <x:v>Elias Gallardo</x:v>
      </x:c>
      <x:c r="I548" s="0"/>
      <x:c r="J548" t="str" s="2">
        <x:v>Elias Gallardo</x:v>
      </x:c>
      <x:c r="K548" t="n" s="2">
        <x:v>5</x:v>
      </x:c>
      <x:c r="L548" t="str" s="2">
        <x:v>1.1</x:v>
      </x:c>
      <x:c r="M548" t="str" s="2">
        <x:v>Tentative</x:v>
      </x:c>
      <x:c r="N548" t="str" s="2">
        <x:v>Deal Created</x:v>
      </x:c>
      <x:c r="O548" s="0"/>
      <x:c r="P548" s="6">
        <x:v>46236</x:v>
      </x:c>
      <x:c r="Q548" s="6">
        <x:v>46236.922174074076</x:v>
      </x:c>
      <x:c r="R548" s="0"/>
      <x:c r="S548" s="6">
        <x:v>46235</x:v>
      </x:c>
      <x:c r="T548" s="0"/>
      <x:c r="U548" s="0"/>
      <x:c r="V548" s="0"/>
      <x:c r="W548" s="0"/>
      <x:c r="X548" t="str" s="2">
        <x:v>9032048390</x:v>
      </x:c>
      <x:c r="Y548" t="str" s="2">
        <x:v>9032048390</x:v>
      </x:c>
      <x:c r="Z548" s="0"/>
      <x:c r="AA548" s="0"/>
      <x:c r="AB548" s="6">
        <x:v>46236.92217515047</x:v>
      </x:c>
      <x:c r="AC548" t="n" s="2">
        <x:v>38903</x:v>
      </x:c>
      <x:c r="AD548" s="0"/>
      <x:c r="AE548" s="0"/>
      <x:c r="AF548" s="0"/>
      <x:c r="AG548" s="0"/>
      <x:c r="AH548" s="0"/>
      <x:c r="AI548" s="0"/>
      <x:c r="AJ548" s="0"/>
      <x:c r="AK548" s="0"/>
    </x:row>
    <x:row r="549">
      <x:c r="A549" t="str" s="2">
        <x:f>=HYPERLINK("https://rsms.futurehomex.com/lead/38904", "Dominique Cobb")</x:f>
      </x:c>
      <x:c r="B549" t="n" s="2">
        <x:v>71</x:v>
      </x:c>
      <x:c r="C549" t="str" s="2">
        <x:v/>
      </x:c>
      <x:c r="D549" t="str" s="2">
        <x:f>=""</x:f>
      </x:c>
      <x:c r="E549" s="0"/>
      <x:c r="F549" t="str" s="2">
        <x:v>Referrals</x:v>
      </x:c>
      <x:c r="G549" t="str" s="2">
        <x:v>Heritage Housing of Albany</x:v>
      </x:c>
      <x:c r="H549" t="str" s="2">
        <x:v>Alexander Bryant</x:v>
      </x:c>
      <x:c r="I549" s="0"/>
      <x:c r="J549" s="0"/>
      <x:c r="K549" t="n" s="2">
        <x:v>100</x:v>
      </x:c>
      <x:c r="L549" t="str" s="2">
        <x:v>6.2</x:v>
      </x:c>
      <x:c r="M549" t="str" s="2">
        <x:v>Closed</x:v>
      </x:c>
      <x:c r="N549" t="str" s="2">
        <x:v>Delivered</x:v>
      </x:c>
      <x:c r="O549" s="6">
        <x:v>46065</x:v>
      </x:c>
      <x:c r="P549" s="6">
        <x:v>46237</x:v>
      </x:c>
      <x:c r="Q549" s="6">
        <x:v>46238.668418402776</x:v>
      </x:c>
      <x:c r="R549" s="0"/>
      <x:c r="S549" s="0"/>
      <x:c r="T549" s="0"/>
      <x:c r="U549" s="6">
        <x:v>46237</x:v>
      </x:c>
      <x:c r="V549" s="0"/>
      <x:c r="W549" s="6">
        <x:v>46108</x:v>
      </x:c>
      <x:c r="X549" t="str" s="2">
        <x:v>6783207529</x:v>
      </x:c>
      <x:c r="Y549" t="str" s="2">
        <x:v>6783207529</x:v>
      </x:c>
      <x:c r="Z549" s="6">
        <x:v>46239.68742913195</x:v>
      </x:c>
      <x:c r="AA549" t="str" s="2">
        <x:v>Anna Barlow</x:v>
      </x:c>
      <x:c r="AB549" s="6">
        <x:v>46237.59335555555</x:v>
      </x:c>
      <x:c r="AC549" t="n" s="2">
        <x:v>38904</x:v>
      </x:c>
      <x:c r="AD549" t="str" s="2">
        <x:v>Doublewide</x:v>
      </x:c>
      <x:c r="AE549" t="str" s="2">
        <x:v>Legacy Housing Corporation</x:v>
      </x:c>
      <x:c r="AF549" s="0"/>
      <x:c r="AG549" s="0"/>
      <x:c r="AH549" s="0"/>
      <x:c r="AI549" s="0"/>
      <x:c r="AJ549" s="0"/>
      <x:c r="AK549" s="0"/>
    </x:row>
    <x:row r="550">
      <x:c r="A550" t="str" s="2">
        <x:f>=HYPERLINK("https://rsms.futurehomex.com/lead/38905", "Julie Davis")</x:f>
      </x:c>
      <x:c r="B550" t="n" s="2">
        <x:v>71</x:v>
      </x:c>
      <x:c r="C550" t="str" s="2">
        <x:v>1/2</x:v>
      </x:c>
      <x:c r="D550" t="str" s="2">
        <x:f>=""</x:f>
      </x:c>
      <x:c r="E550" s="0"/>
      <x:c r="F550" t="str" s="2">
        <x:v>Website</x:v>
      </x:c>
      <x:c r="G550" t="str" s="2">
        <x:v>Heritage Housing of Oklahoma City</x:v>
      </x:c>
      <x:c r="H550" t="str" s="2">
        <x:v>Alejandra Calderon</x:v>
      </x:c>
      <x:c r="I550" s="0"/>
      <x:c r="J550" s="0"/>
      <x:c r="K550" t="n" s="2">
        <x:v>5</x:v>
      </x:c>
      <x:c r="L550" t="str" s="2">
        <x:v>1.1</x:v>
      </x:c>
      <x:c r="M550" t="str" s="2">
        <x:v>Tentative</x:v>
      </x:c>
      <x:c r="N550" t="str" s="2">
        <x:v>Prospect</x:v>
      </x:c>
      <x:c r="O550" s="0"/>
      <x:c r="P550" s="6">
        <x:v>46237</x:v>
      </x:c>
      <x:c r="Q550" s="6">
        <x:v>46237.61920228009</x:v>
      </x:c>
      <x:c r="R550" s="0"/>
      <x:c r="S550" s="0"/>
      <x:c r="T550" s="0"/>
      <x:c r="U550" s="0"/>
      <x:c r="V550" s="0"/>
      <x:c r="W550" s="0"/>
      <x:c r="X550" t="str" s="2">
        <x:v>4054239123</x:v>
      </x:c>
      <x:c r="Y550" t="str" s="2">
        <x:v>julzdavz@gmail.com</x:v>
      </x:c>
      <x:c r="Z550" s="6">
        <x:v>46239.78513726852</x:v>
      </x:c>
      <x:c r="AA550" t="str" s="2">
        <x:v>Karla Brizuela</x:v>
      </x:c>
      <x:c r="AB550" s="6">
        <x:v>46237.61920292824</x:v>
      </x:c>
      <x:c r="AC550" t="n" s="2">
        <x:v>38905</x:v>
      </x:c>
      <x:c r="AD550" s="0"/>
      <x:c r="AE550" s="0"/>
      <x:c r="AF550" s="0"/>
      <x:c r="AG550" s="0"/>
      <x:c r="AH550" s="0"/>
      <x:c r="AI550" s="0"/>
      <x:c r="AJ550" s="0"/>
      <x:c r="AK550" s="0"/>
    </x:row>
    <x:row r="551">
      <x:c r="A551" t="str" s="2">
        <x:f>=HYPERLINK("https://rsms.futurehomex.com/lead/38907", "John Kelly")</x:f>
      </x:c>
      <x:c r="B551" t="n" s="2">
        <x:v>71</x:v>
      </x:c>
      <x:c r="C551" t="str" s="2">
        <x:v>1/3</x:v>
      </x:c>
      <x:c r="D551" t="str" s="2">
        <x:f>=""</x:f>
      </x:c>
      <x:c r="E551" t="str" s="2">
        <x:v/>
      </x:c>
      <x:c r="F551" t="str" s="2">
        <x:v>Walk-in</x:v>
      </x:c>
      <x:c r="G551" t="str" s="2">
        <x:v>Heritage Housing Marble Falls</x:v>
      </x:c>
      <x:c r="H551" t="str" s="2">
        <x:v>Stephen Sanders</x:v>
      </x:c>
      <x:c r="I551" t="str" s="2">
        <x:v>Karol Romero</x:v>
      </x:c>
      <x:c r="J551" t="str" s="2">
        <x:v>Stephen Sanders</x:v>
      </x:c>
      <x:c r="K551" t="n" s="2">
        <x:v>5</x:v>
      </x:c>
      <x:c r="L551" t="str" s="2">
        <x:v>1.1</x:v>
      </x:c>
      <x:c r="M551" t="str" s="2">
        <x:v>Tentative</x:v>
      </x:c>
      <x:c r="N551" t="str" s="2">
        <x:v>Deal Created</x:v>
      </x:c>
      <x:c r="O551" s="0"/>
      <x:c r="P551" s="6">
        <x:v>46237</x:v>
      </x:c>
      <x:c r="Q551" s="6">
        <x:v>46281.83811716435</x:v>
      </x:c>
      <x:c r="R551" t="str" s="2">
        <x:v>Franchesca Parker</x:v>
      </x:c>
      <x:c r="S551" s="6">
        <x:v>46235</x:v>
      </x:c>
      <x:c r="T551" s="0"/>
      <x:c r="U551" s="0"/>
      <x:c r="V551" s="0"/>
      <x:c r="W551" s="0"/>
      <x:c r="X551" t="str" s="2">
        <x:v>5129238149</x:v>
      </x:c>
      <x:c r="Y551" t="str" s="2">
        <x:v>5129238149</x:v>
      </x:c>
      <x:c r="Z551" s="6">
        <x:v>46288.67860038194</x:v>
      </x:c>
      <x:c r="AA551" t="str" s="2">
        <x:v>Stephen Sanders</x:v>
      </x:c>
      <x:c r="AB551" s="6">
        <x:v>46237.64956805555</x:v>
      </x:c>
      <x:c r="AC551" t="n" s="2">
        <x:v>38907</x:v>
      </x:c>
      <x:c r="AD551" s="0"/>
      <x:c r="AE551" s="0"/>
      <x:c r="AF551" s="0"/>
      <x:c r="AG551" s="0"/>
      <x:c r="AH551" s="0"/>
      <x:c r="AI551" s="0"/>
      <x:c r="AJ551" s="0"/>
      <x:c r="AK551" s="0"/>
    </x:row>
    <x:row r="552">
      <x:c r="A552" t="str" s="2">
        <x:f>=HYPERLINK("https://rsms.futurehomex.com/lead/38908", "Christian Olfer")</x:f>
      </x:c>
      <x:c r="B552" t="n" s="2">
        <x:v>71</x:v>
      </x:c>
      <x:c r="C552" t="str" s="2">
        <x:v>0/2</x:v>
      </x:c>
      <x:c r="D552" t="str" s="2">
        <x:f>=""</x:f>
      </x:c>
      <x:c r="E552" s="0"/>
      <x:c r="F552" t="str" s="2">
        <x:v>Walk-in</x:v>
      </x:c>
      <x:c r="G552" t="str" s="2">
        <x:v>Heritage Housing of Oklahoma City</x:v>
      </x:c>
      <x:c r="H552" t="str" s="2">
        <x:v>Alejandra Calderon</x:v>
      </x:c>
      <x:c r="I552" s="0"/>
      <x:c r="J552" s="0"/>
      <x:c r="K552" t="n" s="2">
        <x:v>5</x:v>
      </x:c>
      <x:c r="L552" t="str" s="2">
        <x:v>1.1</x:v>
      </x:c>
      <x:c r="M552" t="str" s="2">
        <x:v>Inactive</x:v>
      </x:c>
      <x:c r="N552" t="str" s="2">
        <x:v>Deal Created</x:v>
      </x:c>
      <x:c r="O552" s="0"/>
      <x:c r="P552" s="6">
        <x:v>46237</x:v>
      </x:c>
      <x:c r="Q552" s="6">
        <x:v>46237.651241203705</x:v>
      </x:c>
      <x:c r="R552" s="0"/>
      <x:c r="S552" s="0"/>
      <x:c r="T552" s="0"/>
      <x:c r="U552" s="0"/>
      <x:c r="V552" s="0"/>
      <x:c r="W552" s="0"/>
      <x:c r="X552" t="str" s="2">
        <x:v>5803200212</x:v>
      </x:c>
      <x:c r="Y552" t="str" s="2">
        <x:v>5803200212</x:v>
      </x:c>
      <x:c r="Z552" s="6">
        <x:v>46279.97034170139</x:v>
      </x:c>
      <x:c r="AA552" t="str" s="2">
        <x:v>Alejandra Calderon</x:v>
      </x:c>
      <x:c r="AB552" s="6">
        <x:v>46237.65124247685</x:v>
      </x:c>
      <x:c r="AC552" t="n" s="2">
        <x:v>38908</x:v>
      </x:c>
      <x:c r="AD552" s="0"/>
      <x:c r="AE552" s="0"/>
      <x:c r="AF552" s="0"/>
      <x:c r="AG552" s="0"/>
      <x:c r="AH552" s="0"/>
      <x:c r="AI552" s="0"/>
      <x:c r="AJ552" s="0"/>
      <x:c r="AK552" s="0"/>
    </x:row>
    <x:row r="553">
      <x:c r="A553" t="str" s="2">
        <x:f>=HYPERLINK("https://rsms.futurehomex.com/lead/38909", "Toni Wertz")</x:f>
      </x:c>
      <x:c r="B553" t="n" s="2">
        <x:v>71</x:v>
      </x:c>
      <x:c r="C553" t="str" s="2">
        <x:v>0/1</x:v>
      </x:c>
      <x:c r="D553" t="str" s="2">
        <x:f>=""</x:f>
      </x:c>
      <x:c r="E553" s="0"/>
      <x:c r="F553" t="str" s="2">
        <x:v>Landing_BPM</x:v>
      </x:c>
      <x:c r="G553" t="str" s="2">
        <x:v>Heritage Housing of Augusta</x:v>
      </x:c>
      <x:c r="H553" t="str" s="2">
        <x:v>Jennifer Johnson</x:v>
      </x:c>
      <x:c r="I553" s="0"/>
      <x:c r="J553" t="str" s="2">
        <x:v>Jennifer Johnson</x:v>
      </x:c>
      <x:c r="K553" t="n" s="2">
        <x:v>5</x:v>
      </x:c>
      <x:c r="L553" t="str" s="2">
        <x:v>1.1</x:v>
      </x:c>
      <x:c r="M553" t="str" s="2">
        <x:v>Inactive</x:v>
      </x:c>
      <x:c r="N553" t="str" s="2">
        <x:v>Deal Created</x:v>
      </x:c>
      <x:c r="O553" s="0"/>
      <x:c r="P553" s="6">
        <x:v>46237</x:v>
      </x:c>
      <x:c r="Q553" s="6">
        <x:v>46237.65402523148</x:v>
      </x:c>
      <x:c r="R553" s="0"/>
      <x:c r="S553" s="0"/>
      <x:c r="T553" s="0"/>
      <x:c r="U553" s="0"/>
      <x:c r="V553" s="0"/>
      <x:c r="W553" s="0"/>
      <x:c r="X553" t="str" s="2">
        <x:v>8436058694</x:v>
      </x:c>
      <x:c r="Y553" t="str" s="2">
        <x:v>gofftt@gmail.com</x:v>
      </x:c>
      <x:c r="Z553" s="6">
        <x:v>46296.83069768518</x:v>
      </x:c>
      <x:c r="AA553" t="str" s="2">
        <x:v>Jennifer Johnson</x:v>
      </x:c>
      <x:c r="AB553" s="6">
        <x:v>46237.65402569444</x:v>
      </x:c>
      <x:c r="AC553" t="n" s="2">
        <x:v>38909</x:v>
      </x:c>
      <x:c r="AD553" s="0"/>
      <x:c r="AE553" s="0"/>
      <x:c r="AF553" s="0"/>
      <x:c r="AG553" s="0"/>
      <x:c r="AH553" s="0"/>
      <x:c r="AI553" s="0"/>
      <x:c r="AJ553" s="0"/>
      <x:c r="AK553" s="0"/>
    </x:row>
    <x:row r="554">
      <x:c r="A554" t="str" s="2">
        <x:f>=HYPERLINK("https://rsms.futurehomex.com/lead/38912", "Emily Coats")</x:f>
      </x:c>
      <x:c r="B554" t="n" s="2">
        <x:v>71</x:v>
      </x:c>
      <x:c r="C554" t="str" s="2">
        <x:v/>
      </x:c>
      <x:c r="D554" t="str" s="2">
        <x:f>=""</x:f>
      </x:c>
      <x:c r="E554" s="0"/>
      <x:c r="F554" t="str" s="2">
        <x:v>Landing_BPM</x:v>
      </x:c>
      <x:c r="G554" t="str" s="2">
        <x:v>Heritage Housing of Tulsa</x:v>
      </x:c>
      <x:c r="H554" t="str" s="2">
        <x:v>Jenna Fransisco</x:v>
      </x:c>
      <x:c r="I554" s="0"/>
      <x:c r="J554" t="str" s="2">
        <x:v>Jenna Fransisco</x:v>
      </x:c>
      <x:c r="K554" t="n" s="2">
        <x:v>5</x:v>
      </x:c>
      <x:c r="L554" t="str" s="2">
        <x:v>1.1</x:v>
      </x:c>
      <x:c r="M554" t="str" s="2">
        <x:v>Tentative</x:v>
      </x:c>
      <x:c r="N554" t="str" s="2">
        <x:v>Prospect</x:v>
      </x:c>
      <x:c r="O554" s="0"/>
      <x:c r="P554" s="6">
        <x:v>46237</x:v>
      </x:c>
      <x:c r="Q554" s="6">
        <x:v>46237.728064386574</x:v>
      </x:c>
      <x:c r="R554" s="0"/>
      <x:c r="S554" s="0"/>
      <x:c r="T554" s="0"/>
      <x:c r="U554" s="0"/>
      <x:c r="V554" s="0"/>
      <x:c r="W554" s="0"/>
      <x:c r="X554" t="str" s="2">
        <x:v>8703628197</x:v>
      </x:c>
      <x:c r="Y554" t="str" s="2">
        <x:v>emcoats98@gmail.com</x:v>
      </x:c>
      <x:c r="Z554" s="0"/>
      <x:c r="AA554" s="0"/>
      <x:c r="AB554" s="6">
        <x:v>46237.72806466435</x:v>
      </x:c>
      <x:c r="AC554" t="n" s="2">
        <x:v>38912</x:v>
      </x:c>
      <x:c r="AD554" s="0"/>
      <x:c r="AE554" s="0"/>
      <x:c r="AF554" s="0"/>
      <x:c r="AG554" s="0"/>
      <x:c r="AH554" s="0"/>
      <x:c r="AI554" s="0"/>
      <x:c r="AJ554" s="0"/>
      <x:c r="AK554" s="0"/>
    </x:row>
    <x:row r="555">
      <x:c r="A555" t="str" s="2">
        <x:f>=HYPERLINK("https://rsms.futurehomex.com/lead/38914", "Alfredo mendiola Mendiola")</x:f>
      </x:c>
      <x:c r="B555" t="n" s="2">
        <x:v>71</x:v>
      </x:c>
      <x:c r="C555" t="str" s="2">
        <x:v/>
      </x:c>
      <x:c r="D555" t="str" s="2">
        <x:f>=""</x:f>
      </x:c>
      <x:c r="E555" s="0"/>
      <x:c r="F555" t="str" s="2">
        <x:v>Meta Marketplace</x:v>
      </x:c>
      <x:c r="G555" t="str" s="2">
        <x:v>Heritage Housing of Asheboro</x:v>
      </x:c>
      <x:c r="H555" t="str" s="2">
        <x:v>Maria Lopez</x:v>
      </x:c>
      <x:c r="I555" s="0"/>
      <x:c r="J555" s="0"/>
      <x:c r="K555" t="n" s="2">
        <x:v>21</x:v>
      </x:c>
      <x:c r="L555" t="str" s="2">
        <x:v>2.1</x:v>
      </x:c>
      <x:c r="M555" t="str" s="2">
        <x:v>Tentative</x:v>
      </x:c>
      <x:c r="N555" t="str" s="2">
        <x:v>Qualified</x:v>
      </x:c>
      <x:c r="O555" s="0"/>
      <x:c r="P555" s="6">
        <x:v>46237</x:v>
      </x:c>
      <x:c r="Q555" s="6">
        <x:v>46238.66899297453</x:v>
      </x:c>
      <x:c r="R555" s="0"/>
      <x:c r="S555" s="6">
        <x:v>46237</x:v>
      </x:c>
      <x:c r="T555" s="0"/>
      <x:c r="U555" s="0"/>
      <x:c r="V555" s="0"/>
      <x:c r="W555" s="0"/>
      <x:c r="X555" t="str" s="2">
        <x:v>9194418840</x:v>
      </x:c>
      <x:c r="Y555" t="str" s="2">
        <x:v>uriosteguimendiola@cloud.com</x:v>
      </x:c>
      <x:c r="Z555" s="6">
        <x:v>46238.66895482639</x:v>
      </x:c>
      <x:c r="AA555" t="str" s="2">
        <x:v>Jeremy Jacques</x:v>
      </x:c>
      <x:c r="AB555" s="6">
        <x:v>46237.73260790509</x:v>
      </x:c>
      <x:c r="AC555" t="n" s="2">
        <x:v>38914</x:v>
      </x:c>
      <x:c r="AD555" s="0"/>
      <x:c r="AE555" s="0"/>
      <x:c r="AF555" s="0"/>
      <x:c r="AG555" s="0"/>
      <x:c r="AH555" s="0"/>
      <x:c r="AI555" s="0"/>
      <x:c r="AJ555" s="0"/>
      <x:c r="AK555" s="0"/>
    </x:row>
    <x:row r="556">
      <x:c r="A556" t="str" s="2">
        <x:f>=HYPERLINK("https://rsms.futurehomex.com/lead/38916", "Brooklyn Childers")</x:f>
      </x:c>
      <x:c r="B556" t="n" s="2">
        <x:v>71</x:v>
      </x:c>
      <x:c r="C556" t="str" s="2">
        <x:v>0/1</x:v>
      </x:c>
      <x:c r="D556" t="str" s="2">
        <x:f>=""</x:f>
      </x:c>
      <x:c r="E556" s="0"/>
      <x:c r="F556" t="str" s="2">
        <x:v>HH - Oklahoma City</x:v>
      </x:c>
      <x:c r="G556" t="str" s="2">
        <x:v>Heritage Housing of Oklahoma City</x:v>
      </x:c>
      <x:c r="H556" t="str" s="2">
        <x:v>Alejandra Calderon</x:v>
      </x:c>
      <x:c r="I556" s="0"/>
      <x:c r="J556" s="0"/>
      <x:c r="K556" t="n" s="2">
        <x:v>5</x:v>
      </x:c>
      <x:c r="L556" t="str" s="2">
        <x:v>1.1</x:v>
      </x:c>
      <x:c r="M556" t="str" s="2">
        <x:v>Dead</x:v>
      </x:c>
      <x:c r="N556" t="str" s="2">
        <x:v>Deal Created</x:v>
      </x:c>
      <x:c r="O556" s="0"/>
      <x:c r="P556" s="6">
        <x:v>46237</x:v>
      </x:c>
      <x:c r="Q556" s="6">
        <x:v>46237.75784332176</x:v>
      </x:c>
      <x:c r="R556" t="str" s="2">
        <x:v>Trey Rixleben</x:v>
      </x:c>
      <x:c r="S556" s="0"/>
      <x:c r="T556" s="0"/>
      <x:c r="U556" s="0"/>
      <x:c r="V556" s="0"/>
      <x:c r="W556" s="0"/>
      <x:c r="X556" t="str" s="2">
        <x:v>5803400926</x:v>
      </x:c>
      <x:c r="Y556" t="str" s="2">
        <x:v>5803400926</x:v>
      </x:c>
      <x:c r="Z556" s="6">
        <x:v>46260.68033996528</x:v>
      </x:c>
      <x:c r="AA556" t="str" s="2">
        <x:v>Alejandra Calderon</x:v>
      </x:c>
      <x:c r="AB556" s="6">
        <x:v>46237.75784494213</x:v>
      </x:c>
      <x:c r="AC556" t="n" s="2">
        <x:v>38916</x:v>
      </x:c>
      <x:c r="AD556" s="0"/>
      <x:c r="AE556" s="0"/>
      <x:c r="AF556" s="0"/>
      <x:c r="AG556" s="0"/>
      <x:c r="AH556" s="0"/>
      <x:c r="AI556" s="0"/>
      <x:c r="AJ556" s="0"/>
      <x:c r="AK556" s="0"/>
    </x:row>
    <x:row r="557">
      <x:c r="A557" t="str" s="2">
        <x:f>=HYPERLINK("https://rsms.futurehomex.com/lead/38917", "Destiny Fuller")</x:f>
      </x:c>
      <x:c r="B557" t="n" s="2">
        <x:v>71</x:v>
      </x:c>
      <x:c r="C557" t="str" s="2">
        <x:v/>
      </x:c>
      <x:c r="D557" t="str" s="2">
        <x:f>=""</x:f>
      </x:c>
      <x:c r="E557" s="0"/>
      <x:c r="F557" t="str" s="2">
        <x:v>Walk-in</x:v>
      </x:c>
      <x:c r="G557" t="str" s="2">
        <x:v>Heritage Housing of Asheboro</x:v>
      </x:c>
      <x:c r="H557" t="str" s="2">
        <x:v>Maria Lopez</x:v>
      </x:c>
      <x:c r="I557" s="0"/>
      <x:c r="J557" s="0"/>
      <x:c r="K557" t="n" s="2">
        <x:v>21</x:v>
      </x:c>
      <x:c r="L557" t="str" s="2">
        <x:v>2.1</x:v>
      </x:c>
      <x:c r="M557" t="str" s="2">
        <x:v>Tentative</x:v>
      </x:c>
      <x:c r="N557" t="str" s="2">
        <x:v>Qualified</x:v>
      </x:c>
      <x:c r="O557" s="0"/>
      <x:c r="P557" s="6">
        <x:v>46237</x:v>
      </x:c>
      <x:c r="Q557" s="6">
        <x:v>46238.671516979164</x:v>
      </x:c>
      <x:c r="R557" s="0"/>
      <x:c r="S557" s="0"/>
      <x:c r="T557" s="0"/>
      <x:c r="U557" s="0"/>
      <x:c r="V557" s="0"/>
      <x:c r="W557" s="0"/>
      <x:c r="X557" t="str" s="2">
        <x:v>3362574072</x:v>
      </x:c>
      <x:c r="Y557" t="str" s="2">
        <x:v>destinyfuller2003@icloud.com</x:v>
      </x:c>
      <x:c r="Z557" s="6">
        <x:v>46238.67150315972</x:v>
      </x:c>
      <x:c r="AA557" t="str" s="2">
        <x:v>Jeremy Jacques</x:v>
      </x:c>
      <x:c r="AB557" s="6">
        <x:v>46237.757891203706</x:v>
      </x:c>
      <x:c r="AC557" t="n" s="2">
        <x:v>38917</x:v>
      </x:c>
      <x:c r="AD557" s="0"/>
      <x:c r="AE557" s="0"/>
      <x:c r="AF557" s="0"/>
      <x:c r="AG557" s="0"/>
      <x:c r="AH557" s="0"/>
      <x:c r="AI557" s="0"/>
      <x:c r="AJ557" s="0"/>
      <x:c r="AK557" s="0"/>
    </x:row>
    <x:row r="558">
      <x:c r="A558" t="str" s="2">
        <x:f>=HYPERLINK("https://rsms.futurehomex.com/lead/38918", "Mary Hernandez")</x:f>
      </x:c>
      <x:c r="B558" t="n" s="2">
        <x:v>71</x:v>
      </x:c>
      <x:c r="C558" t="str" s="2">
        <x:v/>
      </x:c>
      <x:c r="D558" t="str" s="2">
        <x:f>=""</x:f>
      </x:c>
      <x:c r="E558" s="0"/>
      <x:c r="F558" t="str" s="2">
        <x:v>Other</x:v>
      </x:c>
      <x:c r="G558" t="str" s="2">
        <x:v>Heritage Housing Mt Pleasant</x:v>
      </x:c>
      <x:c r="H558" t="str" s="2">
        <x:v>Sandra Saldana</x:v>
      </x:c>
      <x:c r="I558" s="0"/>
      <x:c r="J558" t="str" s="2">
        <x:v>Sandra Saldana</x:v>
      </x:c>
      <x:c r="K558" t="n" s="2">
        <x:v>5</x:v>
      </x:c>
      <x:c r="L558" t="str" s="2">
        <x:v>1.1</x:v>
      </x:c>
      <x:c r="M558" t="str" s="2">
        <x:v>Tentative</x:v>
      </x:c>
      <x:c r="N558" t="str" s="2">
        <x:v>Deal Created</x:v>
      </x:c>
      <x:c r="O558" s="0"/>
      <x:c r="P558" s="6">
        <x:v>46237</x:v>
      </x:c>
      <x:c r="Q558" s="6">
        <x:v>46237.779272997686</x:v>
      </x:c>
      <x:c r="R558" s="0"/>
      <x:c r="S558" s="0"/>
      <x:c r="T558" s="0"/>
      <x:c r="U558" s="0"/>
      <x:c r="V558" s="0"/>
      <x:c r="W558" s="0"/>
      <x:c r="X558" t="str" s="2">
        <x:v>9034349667</x:v>
      </x:c>
      <x:c r="Y558" t="str" s="2">
        <x:v>9034349667</x:v>
      </x:c>
      <x:c r="Z558" s="6">
        <x:v>46237.963170173614</x:v>
      </x:c>
      <x:c r="AA558" t="str" s="2">
        <x:v>Sandra Saldana</x:v>
      </x:c>
      <x:c r="AB558" s="6">
        <x:v>46237.77927461806</x:v>
      </x:c>
      <x:c r="AC558" t="n" s="2">
        <x:v>38918</x:v>
      </x:c>
      <x:c r="AD558" s="0"/>
      <x:c r="AE558" s="0"/>
      <x:c r="AF558" s="0"/>
      <x:c r="AG558" s="0"/>
      <x:c r="AH558" s="0"/>
      <x:c r="AI558" s="0"/>
      <x:c r="AJ558" s="0"/>
      <x:c r="AK558" s="0"/>
    </x:row>
    <x:row r="559">
      <x:c r="A559" t="str" s="2">
        <x:f>=HYPERLINK("https://rsms.futurehomex.com/lead/38920", "Irma Martinez")</x:f>
      </x:c>
      <x:c r="B559" t="n" s="2">
        <x:v>71</x:v>
      </x:c>
      <x:c r="C559" t="str" s="2">
        <x:v/>
      </x:c>
      <x:c r="D559" t="str" s="2">
        <x:f>=""</x:f>
      </x:c>
      <x:c r="E559" s="0"/>
      <x:c r="F559" t="str" s="2">
        <x:v>Other</x:v>
      </x:c>
      <x:c r="G559" t="str" s="2">
        <x:v>Heritage Housing Mt Pleasant</x:v>
      </x:c>
      <x:c r="H559" t="str" s="2">
        <x:v>Sandra Saldana</x:v>
      </x:c>
      <x:c r="I559" s="0"/>
      <x:c r="J559" t="str" s="2">
        <x:v>Sandra Saldana</x:v>
      </x:c>
      <x:c r="K559" t="n" s="2">
        <x:v>5</x:v>
      </x:c>
      <x:c r="L559" t="str" s="2">
        <x:v>1.1</x:v>
      </x:c>
      <x:c r="M559" t="str" s="2">
        <x:v>Tentative</x:v>
      </x:c>
      <x:c r="N559" t="str" s="2">
        <x:v>Deal Created</x:v>
      </x:c>
      <x:c r="O559" s="0"/>
      <x:c r="P559" s="6">
        <x:v>46237</x:v>
      </x:c>
      <x:c r="Q559" s="6">
        <x:v>46237.794051157405</x:v>
      </x:c>
      <x:c r="R559" s="0"/>
      <x:c r="S559" s="0"/>
      <x:c r="T559" s="0"/>
      <x:c r="U559" s="0"/>
      <x:c r="V559" s="0"/>
      <x:c r="W559" s="0"/>
      <x:c r="X559" t="str" s="2">
        <x:v>9033157135</x:v>
      </x:c>
      <x:c r="Y559" t="str" s="2">
        <x:v>9033157135</x:v>
      </x:c>
      <x:c r="Z559" s="6">
        <x:v>46237.8521590625</x:v>
      </x:c>
      <x:c r="AA559" t="str" s="2">
        <x:v>Sandra Saldana</x:v>
      </x:c>
      <x:c r="AB559" s="6">
        <x:v>46237.79405285879</x:v>
      </x:c>
      <x:c r="AC559" t="n" s="2">
        <x:v>38920</x:v>
      </x:c>
      <x:c r="AD559" s="0"/>
      <x:c r="AE559" s="0"/>
      <x:c r="AF559" s="0"/>
      <x:c r="AG559" s="0"/>
      <x:c r="AH559" s="0"/>
      <x:c r="AI559" s="0"/>
      <x:c r="AJ559" s="0"/>
      <x:c r="AK559" s="0"/>
    </x:row>
    <x:row r="560">
      <x:c r="A560" t="str" s="2">
        <x:f>=HYPERLINK("https://rsms.futurehomex.com/lead/38922", "Morgan Hess")</x:f>
      </x:c>
      <x:c r="B560" t="n" s="2">
        <x:v>71</x:v>
      </x:c>
      <x:c r="C560" t="str" s="2">
        <x:v>1/2</x:v>
      </x:c>
      <x:c r="D560" t="str" s="2">
        <x:f>=""</x:f>
      </x:c>
      <x:c r="E560" s="0"/>
      <x:c r="F560" t="str" s="2">
        <x:v>HH - Oklahoma City</x:v>
      </x:c>
      <x:c r="G560" t="str" s="2">
        <x:v>Heritage Housing of Oklahoma City</x:v>
      </x:c>
      <x:c r="H560" t="str" s="2">
        <x:v>Trey Rixleben</x:v>
      </x:c>
      <x:c r="I560" s="0"/>
      <x:c r="J560" s="0"/>
      <x:c r="K560" t="n" s="2">
        <x:v>5</x:v>
      </x:c>
      <x:c r="L560" t="str" s="2">
        <x:v>1.1</x:v>
      </x:c>
      <x:c r="M560" t="str" s="2">
        <x:v>Tentative</x:v>
      </x:c>
      <x:c r="N560" t="str" s="2">
        <x:v>Prospect</x:v>
      </x:c>
      <x:c r="O560" s="0"/>
      <x:c r="P560" s="6">
        <x:v>46237</x:v>
      </x:c>
      <x:c r="Q560" s="6">
        <x:v>46269.968536458335</x:v>
      </x:c>
      <x:c r="R560" t="str" s="2">
        <x:v>Karla Brizuela</x:v>
      </x:c>
      <x:c r="S560" s="6">
        <x:v>46242</x:v>
      </x:c>
      <x:c r="T560" s="0"/>
      <x:c r="U560" s="0"/>
      <x:c r="V560" s="0"/>
      <x:c r="W560" s="0"/>
      <x:c r="X560" t="str" s="2">
        <x:v>5803340966</x:v>
      </x:c>
      <x:c r="Y560" t="str" s="2">
        <x:v>morganphillips215@gmail.com</x:v>
      </x:c>
      <x:c r="Z560" s="6">
        <x:v>46269.970303738424</x:v>
      </x:c>
      <x:c r="AA560" t="str" s="2">
        <x:v>Trey Rixleben</x:v>
      </x:c>
      <x:c r="AB560" s="6">
        <x:v>46237.832876238426</x:v>
      </x:c>
      <x:c r="AC560" t="n" s="2">
        <x:v>38922</x:v>
      </x:c>
      <x:c r="AD560" s="0"/>
      <x:c r="AE560" s="0"/>
      <x:c r="AF560" s="0"/>
      <x:c r="AG560" s="0"/>
      <x:c r="AH560" s="0"/>
      <x:c r="AI560" s="0"/>
      <x:c r="AJ560" s="0"/>
      <x:c r="AK560" s="0"/>
    </x:row>
    <x:row r="561">
      <x:c r="A561" t="str" s="2">
        <x:f>=HYPERLINK("https://rsms.futurehomex.com/lead/38924", "Christopher Rosson")</x:f>
      </x:c>
      <x:c r="B561" t="n" s="2">
        <x:v>71</x:v>
      </x:c>
      <x:c r="C561" t="str" s="2">
        <x:v>1/3</x:v>
      </x:c>
      <x:c r="D561" t="str" s="2">
        <x:f>=""</x:f>
      </x:c>
      <x:c r="E561" s="0"/>
      <x:c r="F561" t="str" s="2">
        <x:v>Landing_BPM</x:v>
      </x:c>
      <x:c r="G561" t="str" s="2">
        <x:v>Heritage Housing of Jennings</x:v>
      </x:c>
      <x:c r="H561" t="str" s="2">
        <x:v>Clint O'Neal</x:v>
      </x:c>
      <x:c r="I561" s="0"/>
      <x:c r="J561" t="str" s="2">
        <x:v>Clint O'Neal</x:v>
      </x:c>
      <x:c r="K561" t="n" s="2">
        <x:v>5</x:v>
      </x:c>
      <x:c r="L561" t="str" s="2">
        <x:v>1.1</x:v>
      </x:c>
      <x:c r="M561" t="str" s="2">
        <x:v>Tentative</x:v>
      </x:c>
      <x:c r="N561" t="str" s="2">
        <x:v>Prospect</x:v>
      </x:c>
      <x:c r="O561" s="0"/>
      <x:c r="P561" s="6">
        <x:v>46237</x:v>
      </x:c>
      <x:c r="Q561" s="6">
        <x:v>46237.87683159722</x:v>
      </x:c>
      <x:c r="R561" s="0"/>
      <x:c r="S561" s="0"/>
      <x:c r="T561" s="0"/>
      <x:c r="U561" s="0"/>
      <x:c r="V561" s="0"/>
      <x:c r="W561" s="0"/>
      <x:c r="X561" t="str" s="2">
        <x:v>9855095611</x:v>
      </x:c>
      <x:c r="Y561" t="str" s="2">
        <x:v>christopherrosson77@icloud.com</x:v>
      </x:c>
      <x:c r="Z561" s="6">
        <x:v>46240.73746015046</x:v>
      </x:c>
      <x:c r="AA561" t="str" s="2">
        <x:v>Clint O'Neal</x:v>
      </x:c>
      <x:c r="AB561" s="6">
        <x:v>46237.87683263889</x:v>
      </x:c>
      <x:c r="AC561" t="n" s="2">
        <x:v>38924</x:v>
      </x:c>
      <x:c r="AD561" s="0"/>
      <x:c r="AE561" s="0"/>
      <x:c r="AF561" s="0"/>
      <x:c r="AG561" s="0"/>
      <x:c r="AH561" s="0"/>
      <x:c r="AI561" s="0"/>
      <x:c r="AJ561" s="0"/>
      <x:c r="AK561" s="0"/>
    </x:row>
    <x:row r="562">
      <x:c r="A562" t="str" s="2">
        <x:f>=HYPERLINK("https://rsms.futurehomex.com/lead/38926", "Angela Diane Briley")</x:f>
      </x:c>
      <x:c r="B562" t="n" s="2">
        <x:v>71</x:v>
      </x:c>
      <x:c r="C562" t="str" s="2">
        <x:v>1/1</x:v>
      </x:c>
      <x:c r="D562" t="str" s="2">
        <x:f>=""</x:f>
      </x:c>
      <x:c r="E562" s="0"/>
      <x:c r="F562" t="str" s="2">
        <x:v>Landing_BPM</x:v>
      </x:c>
      <x:c r="G562" t="str" s="2">
        <x:v>Heritage Housing of Jennings</x:v>
      </x:c>
      <x:c r="H562" t="str" s="2">
        <x:v>Clint O'Neal</x:v>
      </x:c>
      <x:c r="I562" s="0"/>
      <x:c r="J562" t="str" s="2">
        <x:v>Clint O'Neal</x:v>
      </x:c>
      <x:c r="K562" t="n" s="2">
        <x:v>5</x:v>
      </x:c>
      <x:c r="L562" t="str" s="2">
        <x:v>1.1</x:v>
      </x:c>
      <x:c r="M562" t="str" s="2">
        <x:v>Tentative</x:v>
      </x:c>
      <x:c r="N562" t="str" s="2">
        <x:v>Deal Created</x:v>
      </x:c>
      <x:c r="O562" s="0"/>
      <x:c r="P562" s="6">
        <x:v>46237</x:v>
      </x:c>
      <x:c r="Q562" s="6">
        <x:v>46237.93752280092</x:v>
      </x:c>
      <x:c r="R562" s="0"/>
      <x:c r="S562" s="0"/>
      <x:c r="T562" s="0"/>
      <x:c r="U562" s="0"/>
      <x:c r="V562" s="0"/>
      <x:c r="W562" s="0"/>
      <x:c r="X562" t="str" s="2">
        <x:v>3373082711</x:v>
      </x:c>
      <x:c r="Y562" t="str" s="2">
        <x:v>angela.briley@gmail.com</x:v>
      </x:c>
      <x:c r="Z562" s="6">
        <x:v>46238.54442295139</x:v>
      </x:c>
      <x:c r="AA562" t="str" s="2">
        <x:v>Clint O'Neal</x:v>
      </x:c>
      <x:c r="AB562" s="6">
        <x:v>46237.91930674769</x:v>
      </x:c>
      <x:c r="AC562" t="n" s="2">
        <x:v>38926</x:v>
      </x:c>
      <x:c r="AD562" s="0"/>
      <x:c r="AE562" s="0"/>
      <x:c r="AF562" s="0"/>
      <x:c r="AG562" s="0"/>
      <x:c r="AH562" s="0"/>
      <x:c r="AI562" t="str" s="2">
        <x:v>480</x:v>
      </x:c>
      <x:c r="AJ562" s="0"/>
      <x:c r="AK562" s="0"/>
    </x:row>
    <x:row r="563">
      <x:c r="A563" t="str" s="2">
        <x:f>=HYPERLINK("https://rsms.futurehomex.com/lead/38927", "Michel")</x:f>
      </x:c>
      <x:c r="B563" t="n" s="2">
        <x:v>71</x:v>
      </x:c>
      <x:c r="C563" t="str" s="2">
        <x:v/>
      </x:c>
      <x:c r="D563" t="str" s="2">
        <x:f>=""</x:f>
      </x:c>
      <x:c r="E563" s="0"/>
      <x:c r="F563" t="str" s="2">
        <x:v>Website</x:v>
      </x:c>
      <x:c r="G563" t="str" s="2">
        <x:v>Legacy Housing Corp. DBA Americasa</x:v>
      </x:c>
      <x:c r="H563" t="str" s="2">
        <x:v>Rodrigo Ramirez</x:v>
      </x:c>
      <x:c r="I563" t="str" s="2">
        <x:v>Karol Romero</x:v>
      </x:c>
      <x:c r="J563" s="0"/>
      <x:c r="K563" t="n" s="2">
        <x:v>5</x:v>
      </x:c>
      <x:c r="L563" t="str" s="2">
        <x:v>1.1</x:v>
      </x:c>
      <x:c r="M563" t="str" s="2">
        <x:v>Dead</x:v>
      </x:c>
      <x:c r="N563" t="str" s="2">
        <x:v>Prospect</x:v>
      </x:c>
      <x:c r="O563" s="0"/>
      <x:c r="P563" s="6">
        <x:v>46237</x:v>
      </x:c>
      <x:c r="Q563" s="6">
        <x:v>46237.92945945602</x:v>
      </x:c>
      <x:c r="R563" s="0"/>
      <x:c r="S563" s="0"/>
      <x:c r="T563" s="0"/>
      <x:c r="U563" s="0"/>
      <x:c r="V563" s="0"/>
      <x:c r="W563" s="0"/>
      <x:c r="X563" t="str" s="2">
        <x:v>8329443156</x:v>
      </x:c>
      <x:c r="Y563" t="str" s="2">
        <x:v>isaurabs1984@yahoo.es</x:v>
      </x:c>
      <x:c r="Z563" s="6">
        <x:v>46237.92978005787</x:v>
      </x:c>
      <x:c r="AA563" t="str" s="2">
        <x:v>Rodrigo Ramirez</x:v>
      </x:c>
      <x:c r="AB563" s="6">
        <x:v>46237.92946064815</x:v>
      </x:c>
      <x:c r="AC563" t="n" s="2">
        <x:v>38927</x:v>
      </x:c>
      <x:c r="AD563" s="0"/>
      <x:c r="AE563" s="0"/>
      <x:c r="AF563" s="0"/>
      <x:c r="AG563" s="0"/>
      <x:c r="AH563" s="0"/>
      <x:c r="AI563" s="0"/>
      <x:c r="AJ563" s="0"/>
      <x:c r="AK563" s="0"/>
    </x:row>
    <x:row r="564">
      <x:c r="A564" t="str" s="2">
        <x:f>=HYPERLINK("https://rsms.futurehomex.com/lead/38929", "Di'mondre Harper")</x:f>
      </x:c>
      <x:c r="B564" t="n" s="2">
        <x:v>71</x:v>
      </x:c>
      <x:c r="C564" t="str" s="2">
        <x:v/>
      </x:c>
      <x:c r="D564" t="str" s="2">
        <x:f>=""</x:f>
      </x:c>
      <x:c r="E564" s="0"/>
      <x:c r="F564" t="str" s="2">
        <x:v>Office Hot Calls</x:v>
      </x:c>
      <x:c r="G564" t="str" s="2">
        <x:v>Heritage Housing Mt Pleasant</x:v>
      </x:c>
      <x:c r="H564" t="str" s="2">
        <x:v>Elias Gallardo</x:v>
      </x:c>
      <x:c r="I564" s="0"/>
      <x:c r="J564" t="str" s="2">
        <x:v>Elias Gallardo</x:v>
      </x:c>
      <x:c r="K564" t="n" s="2">
        <x:v>5</x:v>
      </x:c>
      <x:c r="L564" t="str" s="2">
        <x:v>1.1</x:v>
      </x:c>
      <x:c r="M564" t="str" s="2">
        <x:v>Tentative</x:v>
      </x:c>
      <x:c r="N564" t="str" s="2">
        <x:v>Deal Created</x:v>
      </x:c>
      <x:c r="O564" s="0"/>
      <x:c r="P564" s="6">
        <x:v>46237</x:v>
      </x:c>
      <x:c r="Q564" s="6">
        <x:v>46237.98651994213</x:v>
      </x:c>
      <x:c r="R564" s="0"/>
      <x:c r="S564" s="0"/>
      <x:c r="T564" s="0"/>
      <x:c r="U564" s="0"/>
      <x:c r="V564" s="0"/>
      <x:c r="W564" s="0"/>
      <x:c r="X564" t="str" s="2">
        <x:v>9032854780</x:v>
      </x:c>
      <x:c r="Y564" t="str" s="2">
        <x:v>9032854780</x:v>
      </x:c>
      <x:c r="Z564" s="0"/>
      <x:c r="AA564" s="0"/>
      <x:c r="AB564" s="6">
        <x:v>46237.9865212963</x:v>
      </x:c>
      <x:c r="AC564" t="n" s="2">
        <x:v>38929</x:v>
      </x:c>
      <x:c r="AD564" s="0"/>
      <x:c r="AE564" s="0"/>
      <x:c r="AF564" s="0"/>
      <x:c r="AG564" s="0"/>
      <x:c r="AH564" s="0"/>
      <x:c r="AI564" s="0"/>
      <x:c r="AJ564" s="0"/>
      <x:c r="AK564" s="0"/>
    </x:row>
    <x:row r="565">
      <x:c r="A565" t="str" s="2">
        <x:f>=HYPERLINK("https://rsms.futurehomex.com/lead/38931", "Valerie Castillo")</x:f>
      </x:c>
      <x:c r="B565" t="n" s="2">
        <x:v>70</x:v>
      </x:c>
      <x:c r="C565" t="str" s="2">
        <x:v>0/3</x:v>
      </x:c>
      <x:c r="D565" t="str" s="2">
        <x:f>=""</x:f>
      </x:c>
      <x:c r="E565" s="0"/>
      <x:c r="F565" t="str" s="2">
        <x:v>Facebook Messenger</x:v>
      </x:c>
      <x:c r="G565" t="str" s="2">
        <x:v>Heritage Housing of Oklahoma City</x:v>
      </x:c>
      <x:c r="H565" t="str" s="2">
        <x:v>Steve Castell</x:v>
      </x:c>
      <x:c r="I565" s="0"/>
      <x:c r="J565" t="str" s="2">
        <x:v>Steve Castell</x:v>
      </x:c>
      <x:c r="K565" t="n" s="2">
        <x:v>5</x:v>
      </x:c>
      <x:c r="L565" t="str" s="2">
        <x:v>1.1</x:v>
      </x:c>
      <x:c r="M565" t="str" s="2">
        <x:v>Dead</x:v>
      </x:c>
      <x:c r="N565" t="str" s="2">
        <x:v>Deal Created</x:v>
      </x:c>
      <x:c r="O565" s="0"/>
      <x:c r="P565" s="6">
        <x:v>46238</x:v>
      </x:c>
      <x:c r="Q565" s="6">
        <x:v>46238.02054869213</x:v>
      </x:c>
      <x:c r="R565" s="0"/>
      <x:c r="S565" s="0"/>
      <x:c r="T565" s="0"/>
      <x:c r="U565" s="0"/>
      <x:c r="V565" s="0"/>
      <x:c r="W565" s="0"/>
      <x:c r="X565" t="str" s="2">
        <x:v>4055934586</x:v>
      </x:c>
      <x:c r="Y565" t="str" s="2">
        <x:v>valerie.castillo96@gmail.com</x:v>
      </x:c>
      <x:c r="Z565" s="6">
        <x:v>46273.89139899306</x:v>
      </x:c>
      <x:c r="AA565" t="str" s="2">
        <x:v>Richard Bell</x:v>
      </x:c>
      <x:c r="AB565" s="6">
        <x:v>46238.02055</x:v>
      </x:c>
      <x:c r="AC565" t="n" s="2">
        <x:v>38931</x:v>
      </x:c>
      <x:c r="AD565" s="0"/>
      <x:c r="AE565" s="0"/>
      <x:c r="AF565" s="0"/>
      <x:c r="AG565" s="0"/>
      <x:c r="AH565" s="0"/>
      <x:c r="AI565" s="0"/>
      <x:c r="AJ565" s="0"/>
      <x:c r="AK565" s="0"/>
    </x:row>
    <x:row r="566">
      <x:c r="A566" t="str" s="2">
        <x:f>=HYPERLINK("https://rsms.futurehomex.com/lead/38933", "Buddy Mays")</x:f>
      </x:c>
      <x:c r="B566" t="n" s="2">
        <x:v>70</x:v>
      </x:c>
      <x:c r="C566" t="str" s="2">
        <x:v/>
      </x:c>
      <x:c r="D566" t="str" s="2">
        <x:f>=""</x:f>
      </x:c>
      <x:c r="E566" s="0"/>
      <x:c r="F566" t="str" s="2">
        <x:v>Facebook Messenger</x:v>
      </x:c>
      <x:c r="G566" t="str" s="2">
        <x:v>Heritage Housing of Greenville</x:v>
      </x:c>
      <x:c r="H566" t="str" s="2">
        <x:v>Greg Christman</x:v>
      </x:c>
      <x:c r="I566" s="0"/>
      <x:c r="J566" t="str" s="2">
        <x:v>Greg Christman</x:v>
      </x:c>
      <x:c r="K566" t="n" s="2">
        <x:v>5</x:v>
      </x:c>
      <x:c r="L566" t="str" s="2">
        <x:v>1.1</x:v>
      </x:c>
      <x:c r="M566" t="str" s="2">
        <x:v>Dead</x:v>
      </x:c>
      <x:c r="N566" t="str" s="2">
        <x:v>Prospect</x:v>
      </x:c>
      <x:c r="O566" s="0"/>
      <x:c r="P566" s="6">
        <x:v>46238</x:v>
      </x:c>
      <x:c r="Q566" s="6">
        <x:v>46238.60535690972</x:v>
      </x:c>
      <x:c r="R566" s="0"/>
      <x:c r="S566" s="6">
        <x:v>46238</x:v>
      </x:c>
      <x:c r="T566" s="0"/>
      <x:c r="U566" s="0"/>
      <x:c r="V566" s="0"/>
      <x:c r="W566" s="0"/>
      <x:c r="X566" t="str" s="2">
        <x:v>4695603960</x:v>
      </x:c>
      <x:c r="Y566" t="str" s="2">
        <x:v>buddymays9@gmail.com</x:v>
      </x:c>
      <x:c r="Z566" s="6">
        <x:v>46244.61058202546</x:v>
      </x:c>
      <x:c r="AA566" t="str" s="2">
        <x:v>Greg Christman</x:v>
      </x:c>
      <x:c r="AB566" s="6">
        <x:v>46238.60535859954</x:v>
      </x:c>
      <x:c r="AC566" t="n" s="2">
        <x:v>38933</x:v>
      </x:c>
      <x:c r="AD566" s="0"/>
      <x:c r="AE566" s="0"/>
      <x:c r="AF566" s="0"/>
      <x:c r="AG566" s="0"/>
      <x:c r="AH566" s="0"/>
      <x:c r="AI566" s="0"/>
      <x:c r="AJ566" s="0"/>
      <x:c r="AK566" s="0"/>
    </x:row>
    <x:row r="567">
      <x:c r="A567" t="str" s="2">
        <x:f>=HYPERLINK("https://rsms.futurehomex.com/lead/38934", "William Krause")</x:f>
      </x:c>
      <x:c r="B567" t="n" s="2">
        <x:v>70</x:v>
      </x:c>
      <x:c r="C567" t="str" s="2">
        <x:v>0/1</x:v>
      </x:c>
      <x:c r="D567" t="str" s="2">
        <x:f>=""</x:f>
      </x:c>
      <x:c r="E567" t="str" s="2">
        <x:v>Lou Ann Krause</x:v>
      </x:c>
      <x:c r="F567" t="str" s="2">
        <x:v>Walk-in</x:v>
      </x:c>
      <x:c r="G567" t="str" s="2">
        <x:v>Heritage Housing of Albany</x:v>
      </x:c>
      <x:c r="H567" t="str" s="2">
        <x:v>Alexander Bryant</x:v>
      </x:c>
      <x:c r="I567" t="str" s="2">
        <x:v>Karol Romero</x:v>
      </x:c>
      <x:c r="J567" t="str" s="2">
        <x:v>Alexander Bryant</x:v>
      </x:c>
      <x:c r="K567" t="n" s="2">
        <x:v>100</x:v>
      </x:c>
      <x:c r="L567" t="str" s="2">
        <x:v>6.2</x:v>
      </x:c>
      <x:c r="M567" t="str" s="2">
        <x:v>Closed</x:v>
      </x:c>
      <x:c r="N567" t="str" s="2">
        <x:v>Delivered</x:v>
      </x:c>
      <x:c r="O567" s="6">
        <x:v>46259</x:v>
      </x:c>
      <x:c r="P567" s="6">
        <x:v>46238</x:v>
      </x:c>
      <x:c r="Q567" s="6">
        <x:v>46265.96228892361</x:v>
      </x:c>
      <x:c r="R567" s="0"/>
      <x:c r="S567" s="6">
        <x:v>46238</x:v>
      </x:c>
      <x:c r="T567" s="6">
        <x:v>46240</x:v>
      </x:c>
      <x:c r="U567" s="6">
        <x:v>46245</x:v>
      </x:c>
      <x:c r="V567" s="6">
        <x:v>46245</x:v>
      </x:c>
      <x:c r="W567" s="6">
        <x:v>46265</x:v>
      </x:c>
      <x:c r="X567" t="str" s="2">
        <x:v>8636348191</x:v>
      </x:c>
      <x:c r="Y567" t="str" s="2">
        <x:v>mkrause0096@yahoo.com</x:v>
      </x:c>
      <x:c r="Z567" s="6">
        <x:v>46259.866524537036</x:v>
      </x:c>
      <x:c r="AA567" t="str" s="2">
        <x:v>Justin Johnson</x:v>
      </x:c>
      <x:c r="AB567" s="6">
        <x:v>46238.609508483794</x:v>
      </x:c>
      <x:c r="AC567" t="n" s="2">
        <x:v>38934</x:v>
      </x:c>
      <x:c r="AD567" t="str" s="2">
        <x:v>Singlewide</x:v>
      </x:c>
      <x:c r="AE567" t="str" s="2">
        <x:v>Legacy Housing Corporation</x:v>
      </x:c>
      <x:c r="AF567" s="7">
        <x:v>10055</x:v>
      </x:c>
      <x:c r="AG567" s="7">
        <x:v>10000</x:v>
      </x:c>
      <x:c r="AH567" s="7">
        <x:v>10055</x:v>
      </x:c>
      <x:c r="AI567" t="str" s="2">
        <x:v>728</x:v>
      </x:c>
      <x:c r="AJ567" s="0"/>
      <x:c r="AK567" t="str" s="6">
        <x:v>2026-08-29</x:v>
      </x:c>
    </x:row>
    <x:row r="568">
      <x:c r="A568" t="str" s="2">
        <x:f>=HYPERLINK("https://rsms.futurehomex.com/lead/38937", "James Strongher")</x:f>
      </x:c>
      <x:c r="B568" t="n" s="2">
        <x:v>70</x:v>
      </x:c>
      <x:c r="C568" t="str" s="2">
        <x:v>0/1</x:v>
      </x:c>
      <x:c r="D568" t="str" s="2">
        <x:f>=""</x:f>
      </x:c>
      <x:c r="E568" s="0"/>
      <x:c r="F568" t="str" s="2">
        <x:v>HH - Oklahoma City</x:v>
      </x:c>
      <x:c r="G568" t="str" s="2">
        <x:v>Heritage Housing of Oklahoma City</x:v>
      </x:c>
      <x:c r="H568" t="str" s="2">
        <x:v>Alejandra Calderon</x:v>
      </x:c>
      <x:c r="I568" t="str" s="2">
        <x:v>Karol Romero</x:v>
      </x:c>
      <x:c r="J568" t="str" s="2">
        <x:v>Steve Castell</x:v>
      </x:c>
      <x:c r="K568" t="n" s="2">
        <x:v>5</x:v>
      </x:c>
      <x:c r="L568" t="str" s="2">
        <x:v>1.1</x:v>
      </x:c>
      <x:c r="M568" t="str" s="2">
        <x:v>Dead</x:v>
      </x:c>
      <x:c r="N568" t="str" s="2">
        <x:v>Deal Created</x:v>
      </x:c>
      <x:c r="O568" s="0"/>
      <x:c r="P568" s="6">
        <x:v>46238</x:v>
      </x:c>
      <x:c r="Q568" s="6">
        <x:v>46238.696185532404</x:v>
      </x:c>
      <x:c r="R568" s="0"/>
      <x:c r="S568" s="0"/>
      <x:c r="T568" s="0"/>
      <x:c r="U568" s="0"/>
      <x:c r="V568" s="0"/>
      <x:c r="W568" s="0"/>
      <x:c r="X568" t="str" s="2">
        <x:v>5802125702</x:v>
      </x:c>
      <x:c r="Y568" t="str" s="2">
        <x:v>5802125702</x:v>
      </x:c>
      <x:c r="Z568" s="6">
        <x:v>46273.761123530094</x:v>
      </x:c>
      <x:c r="AA568" t="str" s="2">
        <x:v>Richard Bell</x:v>
      </x:c>
      <x:c r="AB568" s="6">
        <x:v>46238.6961883912</x:v>
      </x:c>
      <x:c r="AC568" t="n" s="2">
        <x:v>38937</x:v>
      </x:c>
      <x:c r="AD568" s="0"/>
      <x:c r="AE568" s="0"/>
      <x:c r="AF568" s="0"/>
      <x:c r="AG568" s="0"/>
      <x:c r="AH568" s="0"/>
      <x:c r="AI568" s="0"/>
      <x:c r="AJ568" s="0"/>
      <x:c r="AK568" s="0"/>
    </x:row>
    <x:row r="569">
      <x:c r="A569" t="str" s="2">
        <x:f>=HYPERLINK("https://rsms.futurehomex.com/lead/38938", "Bill Burns")</x:f>
      </x:c>
      <x:c r="B569" t="n" s="2">
        <x:v>70</x:v>
      </x:c>
      <x:c r="C569" t="str" s="2">
        <x:v>0/2</x:v>
      </x:c>
      <x:c r="D569" t="str" s="2">
        <x:f>=""</x:f>
      </x:c>
      <x:c r="E569" s="0"/>
      <x:c r="F569" t="str" s="2">
        <x:v>Facebook Messenger</x:v>
      </x:c>
      <x:c r="G569" t="str" s="2">
        <x:v>Heritage Housing of Greenville</x:v>
      </x:c>
      <x:c r="H569" t="str" s="2">
        <x:v>Greg Christman</x:v>
      </x:c>
      <x:c r="I569" s="0"/>
      <x:c r="J569" s="0"/>
      <x:c r="K569" t="n" s="2">
        <x:v>5</x:v>
      </x:c>
      <x:c r="L569" t="str" s="2">
        <x:v>1.1</x:v>
      </x:c>
      <x:c r="M569" t="str" s="2">
        <x:v>Active</x:v>
      </x:c>
      <x:c r="N569" t="str" s="2">
        <x:v>Prospect</x:v>
      </x:c>
      <x:c r="O569" s="0"/>
      <x:c r="P569" s="6">
        <x:v>46238</x:v>
      </x:c>
      <x:c r="Q569" s="6">
        <x:v>46238.75836064815</x:v>
      </x:c>
      <x:c r="R569" s="0"/>
      <x:c r="S569" s="0"/>
      <x:c r="T569" s="0"/>
      <x:c r="U569" s="0"/>
      <x:c r="V569" s="0"/>
      <x:c r="W569" s="0"/>
      <x:c r="X569" t="str" s="2">
        <x:v>2143169293</x:v>
      </x:c>
      <x:c r="Y569" t="str" s="2">
        <x:v>bwburns51@gmail.com</x:v>
      </x:c>
      <x:c r="Z569" s="6">
        <x:v>46302.62015454861</x:v>
      </x:c>
      <x:c r="AA569" t="str" s="2">
        <x:v>Greg Christman</x:v>
      </x:c>
      <x:c r="AB569" s="6">
        <x:v>46238.75836258102</x:v>
      </x:c>
      <x:c r="AC569" t="n" s="2">
        <x:v>38938</x:v>
      </x:c>
      <x:c r="AD569" s="0"/>
      <x:c r="AE569" s="0"/>
      <x:c r="AF569" s="0"/>
      <x:c r="AG569" s="0"/>
      <x:c r="AH569" s="0"/>
      <x:c r="AI569" s="0"/>
      <x:c r="AJ569" s="0"/>
      <x:c r="AK569" s="0"/>
    </x:row>
    <x:row r="570">
      <x:c r="A570" t="str" s="2">
        <x:f>=HYPERLINK("https://rsms.futurehomex.com/lead/38939", "Lynesha Hentz")</x:f>
      </x:c>
      <x:c r="B570" t="n" s="2">
        <x:v>70</x:v>
      </x:c>
      <x:c r="C570" t="str" s="2">
        <x:v>0/3</x:v>
      </x:c>
      <x:c r="D570" t="str" s="2">
        <x:f>="Dead Deal, REFUND"</x:f>
      </x:c>
      <x:c r="E570" s="0"/>
      <x:c r="F570" t="str" s="2">
        <x:v>Landing_BPM</x:v>
      </x:c>
      <x:c r="G570" t="str" s="2">
        <x:v>Heritage Housing of Augusta</x:v>
      </x:c>
      <x:c r="H570" t="str" s="2">
        <x:v>Alex Jones</x:v>
      </x:c>
      <x:c r="I570" t="str" s="2">
        <x:v>Karol Romero</x:v>
      </x:c>
      <x:c r="J570" t="str" s="2">
        <x:v>Alex Jones</x:v>
      </x:c>
      <x:c r="K570" t="n" s="2">
        <x:v>48</x:v>
      </x:c>
      <x:c r="L570" t="str" s="2">
        <x:v>3.7</x:v>
      </x:c>
      <x:c r="M570" t="str" s="2">
        <x:v>Dead</x:v>
      </x:c>
      <x:c r="N570" t="str" s="2">
        <x:v>Loan Submitted</x:v>
      </x:c>
      <x:c r="O570" s="0"/>
      <x:c r="P570" s="6">
        <x:v>46238</x:v>
      </x:c>
      <x:c r="Q570" s="6">
        <x:v>46259.77619748843</x:v>
      </x:c>
      <x:c r="R570" s="0"/>
      <x:c r="S570" s="6">
        <x:v>46238</x:v>
      </x:c>
      <x:c r="T570" s="6">
        <x:v>46238</x:v>
      </x:c>
      <x:c r="U570" s="6">
        <x:v>46253</x:v>
      </x:c>
      <x:c r="V570" s="0"/>
      <x:c r="W570" s="0"/>
      <x:c r="X570" t="str" s="2">
        <x:v>8644073398</x:v>
      </x:c>
      <x:c r="Y570" t="str" s="2">
        <x:v>tb6782400@gmail.com</x:v>
      </x:c>
      <x:c r="Z570" s="6">
        <x:v>46254.77365798611</x:v>
      </x:c>
      <x:c r="AA570" t="str" s="2">
        <x:v>Alex Jones</x:v>
      </x:c>
      <x:c r="AB570" s="6">
        <x:v>46238.76092878472</x:v>
      </x:c>
      <x:c r="AC570" t="n" s="2">
        <x:v>38939</x:v>
      </x:c>
      <x:c r="AD570" t="str" s="2">
        <x:v>Doublewide</x:v>
      </x:c>
      <x:c r="AE570" t="str" s="2">
        <x:v>Legacy Housing Corporation</x:v>
      </x:c>
      <x:c r="AF570" s="7">
        <x:v>15000</x:v>
      </x:c>
      <x:c r="AG570" s="7">
        <x:v>15000</x:v>
      </x:c>
      <x:c r="AH570" s="7">
        <x:v>1000</x:v>
      </x:c>
      <x:c r="AI570" t="str" s="2">
        <x:v>600</x:v>
      </x:c>
      <x:c r="AJ570" s="0"/>
      <x:c r="AK570" s="0"/>
    </x:row>
    <x:row r="571">
      <x:c r="A571" t="str" s="2">
        <x:f>=HYPERLINK("https://rsms.futurehomex.com/lead/38941", "Edwin Arrecis")</x:f>
      </x:c>
      <x:c r="B571" t="n" s="2">
        <x:v>70</x:v>
      </x:c>
      <x:c r="C571" t="str" s="2">
        <x:v>0/2</x:v>
      </x:c>
      <x:c r="D571" t="str" s="2">
        <x:f>=""</x:f>
      </x:c>
      <x:c r="E571" s="0"/>
      <x:c r="F571" t="str" s="2">
        <x:v>Facebook Messenger</x:v>
      </x:c>
      <x:c r="G571" t="str" s="2">
        <x:v>Heritage Housing of Oklahoma City</x:v>
      </x:c>
      <x:c r="H571" t="str" s="2">
        <x:v>Alejandra Calderon</x:v>
      </x:c>
      <x:c r="I571" t="str" s="2">
        <x:v>Karol Romero</x:v>
      </x:c>
      <x:c r="J571" t="str" s="2">
        <x:v>Steve Castell</x:v>
      </x:c>
      <x:c r="K571" t="n" s="2">
        <x:v>5</x:v>
      </x:c>
      <x:c r="L571" t="str" s="2">
        <x:v>1.1</x:v>
      </x:c>
      <x:c r="M571" t="str" s="2">
        <x:v>Dead</x:v>
      </x:c>
      <x:c r="N571" t="str" s="2">
        <x:v>Deal Created</x:v>
      </x:c>
      <x:c r="O571" s="0"/>
      <x:c r="P571" s="6">
        <x:v>46238</x:v>
      </x:c>
      <x:c r="Q571" s="6">
        <x:v>46238.774024189814</x:v>
      </x:c>
      <x:c r="R571" s="0"/>
      <x:c r="S571" s="0"/>
      <x:c r="T571" s="0"/>
      <x:c r="U571" s="0"/>
      <x:c r="V571" s="0"/>
      <x:c r="W571" s="0"/>
      <x:c r="X571" t="str" s="2">
        <x:v>4059204429</x:v>
      </x:c>
      <x:c r="Y571" t="str" s="2">
        <x:v>ARRECISEEDWIN16@GMAIL.COM</x:v>
      </x:c>
      <x:c r="Z571" s="6">
        <x:v>46265.91954209491</x:v>
      </x:c>
      <x:c r="AA571" t="str" s="2">
        <x:v>Alejandra Calderon</x:v>
      </x:c>
      <x:c r="AB571" s="6">
        <x:v>46238.77402557871</x:v>
      </x:c>
      <x:c r="AC571" t="n" s="2">
        <x:v>38941</x:v>
      </x:c>
      <x:c r="AD571" s="0"/>
      <x:c r="AE571" s="0"/>
      <x:c r="AF571" s="0"/>
      <x:c r="AG571" s="0"/>
      <x:c r="AH571" s="0"/>
      <x:c r="AI571" s="0"/>
      <x:c r="AJ571" s="0"/>
      <x:c r="AK571" s="0"/>
    </x:row>
    <x:row r="572">
      <x:c r="A572" t="str" s="2">
        <x:f>=HYPERLINK("https://rsms.futurehomex.com/lead/38942", "Christopher Ayers")</x:f>
      </x:c>
      <x:c r="B572" t="n" s="2">
        <x:v>70</x:v>
      </x:c>
      <x:c r="C572" t="str" s="2">
        <x:v>0/4</x:v>
      </x:c>
      <x:c r="D572" t="str" s="2">
        <x:f>=""</x:f>
      </x:c>
      <x:c r="E572" t="str" s="2">
        <x:v>Monica Ayers</x:v>
      </x:c>
      <x:c r="F572" t="str" s="2">
        <x:v>Financing Form</x:v>
      </x:c>
      <x:c r="G572" t="str" s="2">
        <x:v>Heritage Housing of Tulsa</x:v>
      </x:c>
      <x:c r="H572" t="str" s="2">
        <x:v>Jenna Fransisco</x:v>
      </x:c>
      <x:c r="I572" s="0"/>
      <x:c r="J572" s="0"/>
      <x:c r="K572" t="n" s="2">
        <x:v>38</x:v>
      </x:c>
      <x:c r="L572" t="str" s="2">
        <x:v>3.2</x:v>
      </x:c>
      <x:c r="M572" t="str" s="2">
        <x:v>Active</x:v>
      </x:c>
      <x:c r="N572" t="str" s="2">
        <x:v>Application</x:v>
      </x:c>
      <x:c r="O572" s="0"/>
      <x:c r="P572" s="6">
        <x:v>46238</x:v>
      </x:c>
      <x:c r="Q572" s="6">
        <x:v>46274.7445159375</x:v>
      </x:c>
      <x:c r="R572" s="0"/>
      <x:c r="S572" s="6">
        <x:v>46240</x:v>
      </x:c>
      <x:c r="T572" s="0"/>
      <x:c r="U572" s="0"/>
      <x:c r="V572" s="0"/>
      <x:c r="W572" s="0"/>
      <x:c r="X572" t="str" s="2">
        <x:v>6202057534</x:v>
      </x:c>
      <x:c r="Y572" t="str" s="2">
        <x:v>cayers72@yahoo.com</x:v>
      </x:c>
      <x:c r="Z572" s="6">
        <x:v>46282.67256288195</x:v>
      </x:c>
      <x:c r="AA572" t="str" s="2">
        <x:v>Jenna Fransisco</x:v>
      </x:c>
      <x:c r="AB572" s="6">
        <x:v>46238.77721987268</x:v>
      </x:c>
      <x:c r="AC572" t="n" s="2">
        <x:v>38942</x:v>
      </x:c>
      <x:c r="AD572" t="str" s="2">
        <x:v>Doublewide</x:v>
      </x:c>
      <x:c r="AE572" s="0"/>
      <x:c r="AF572" s="0"/>
      <x:c r="AG572" s="7">
        <x:v>1000</x:v>
      </x:c>
      <x:c r="AH572" s="0"/>
      <x:c r="AI572" t="str" s="2">
        <x:v>502</x:v>
      </x:c>
      <x:c r="AJ572" s="0"/>
      <x:c r="AK572" s="0"/>
    </x:row>
    <x:row r="573">
      <x:c r="A573" t="str" s="2">
        <x:f>=HYPERLINK("https://rsms.futurehomex.com/lead/38943", "Sandra Hargrave")</x:f>
      </x:c>
      <x:c r="B573" t="n" s="2">
        <x:v>70</x:v>
      </x:c>
      <x:c r="C573" t="str" s="2">
        <x:v>1/3</x:v>
      </x:c>
      <x:c r="D573" t="str" s="2">
        <x:f>=""</x:f>
      </x:c>
      <x:c r="E573" s="0"/>
      <x:c r="F573" t="str" s="2">
        <x:v>Walk-in</x:v>
      </x:c>
      <x:c r="G573" t="str" s="2">
        <x:v>Heritage Housing of Jennings</x:v>
      </x:c>
      <x:c r="H573" t="str" s="2">
        <x:v>Clint O'Neal</x:v>
      </x:c>
      <x:c r="I573" s="0"/>
      <x:c r="J573" s="0"/>
      <x:c r="K573" t="n" s="2">
        <x:v>5</x:v>
      </x:c>
      <x:c r="L573" t="str" s="2">
        <x:v>1.1</x:v>
      </x:c>
      <x:c r="M573" t="str" s="2">
        <x:v>Tentative</x:v>
      </x:c>
      <x:c r="N573" t="str" s="2">
        <x:v>Prospect</x:v>
      </x:c>
      <x:c r="O573" s="0"/>
      <x:c r="P573" s="6">
        <x:v>46238</x:v>
      </x:c>
      <x:c r="Q573" s="6">
        <x:v>46238.7928897338</x:v>
      </x:c>
      <x:c r="R573" s="0"/>
      <x:c r="S573" s="6">
        <x:v>46238</x:v>
      </x:c>
      <x:c r="T573" s="0"/>
      <x:c r="U573" s="0"/>
      <x:c r="V573" s="0"/>
      <x:c r="W573" s="0"/>
      <x:c r="X573" t="str" s="2">
        <x:v>3373716911</x:v>
      </x:c>
      <x:c r="Y573" t="str" s="2">
        <x:v>sandrahargrave1962@gmail.com</x:v>
      </x:c>
      <x:c r="Z573" s="6">
        <x:v>46301.654633530095</x:v>
      </x:c>
      <x:c r="AA573" t="str" s="2">
        <x:v>Clint O'Neal</x:v>
      </x:c>
      <x:c r="AB573" s="6">
        <x:v>46238.792890509256</x:v>
      </x:c>
      <x:c r="AC573" t="n" s="2">
        <x:v>38943</x:v>
      </x:c>
      <x:c r="AD573" s="0"/>
      <x:c r="AE573" s="0"/>
      <x:c r="AF573" s="0"/>
      <x:c r="AG573" s="0"/>
      <x:c r="AH573" s="0"/>
      <x:c r="AI573" s="0"/>
      <x:c r="AJ573" s="0"/>
      <x:c r="AK573" s="0"/>
    </x:row>
    <x:row r="574">
      <x:c r="A574" t="str" s="2">
        <x:f>=HYPERLINK("https://rsms.futurehomex.com/lead/38944", "Shelly Brown")</x:f>
      </x:c>
      <x:c r="B574" t="n" s="2">
        <x:v>70</x:v>
      </x:c>
      <x:c r="C574" t="str" s="2">
        <x:v>0/1</x:v>
      </x:c>
      <x:c r="D574" t="str" s="2">
        <x:f>=""</x:f>
      </x:c>
      <x:c r="E574" s="0"/>
      <x:c r="F574" t="str" s="2">
        <x:v>Walk-in</x:v>
      </x:c>
      <x:c r="G574" t="str" s="2">
        <x:v>Heritage Housing of Jennings</x:v>
      </x:c>
      <x:c r="H574" t="str" s="2">
        <x:v>Mervin Leslie Smith</x:v>
      </x:c>
      <x:c r="I574" s="0"/>
      <x:c r="J574" s="0"/>
      <x:c r="K574" t="n" s="2">
        <x:v>5</x:v>
      </x:c>
      <x:c r="L574" t="str" s="2">
        <x:v>1.1</x:v>
      </x:c>
      <x:c r="M574" t="str" s="2">
        <x:v>Dead</x:v>
      </x:c>
      <x:c r="N574" t="str" s="2">
        <x:v>Prospect</x:v>
      </x:c>
      <x:c r="O574" s="0"/>
      <x:c r="P574" s="6">
        <x:v>46238</x:v>
      </x:c>
      <x:c r="Q574" s="6">
        <x:v>46238.793133217594</x:v>
      </x:c>
      <x:c r="R574" s="0"/>
      <x:c r="S574" s="6">
        <x:v>46238</x:v>
      </x:c>
      <x:c r="T574" s="0"/>
      <x:c r="U574" s="0"/>
      <x:c r="V574" s="0"/>
      <x:c r="W574" s="0"/>
      <x:c r="X574" t="str" s="2">
        <x:v>2392016862</x:v>
      </x:c>
      <x:c r="Y574" t="str" s="2">
        <x:v>shellybrown936@gmail.com</x:v>
      </x:c>
      <x:c r="Z574" s="6">
        <x:v>46259.69415497685</x:v>
      </x:c>
      <x:c r="AA574" t="str" s="2">
        <x:v>Mervin Leslie Smith</x:v>
      </x:c>
      <x:c r="AB574" s="6">
        <x:v>46238.793133645835</x:v>
      </x:c>
      <x:c r="AC574" t="n" s="2">
        <x:v>38944</x:v>
      </x:c>
      <x:c r="AD574" s="0"/>
      <x:c r="AE574" s="0"/>
      <x:c r="AF574" s="0"/>
      <x:c r="AG574" s="0"/>
      <x:c r="AH574" s="0"/>
      <x:c r="AI574" s="0"/>
      <x:c r="AJ574" s="0"/>
      <x:c r="AK574" s="0"/>
    </x:row>
    <x:row r="575">
      <x:c r="A575" t="str" s="2">
        <x:f>=HYPERLINK("https://rsms.futurehomex.com/lead/38945", "Carrie Houk")</x:f>
      </x:c>
      <x:c r="B575" t="n" s="2">
        <x:v>70</x:v>
      </x:c>
      <x:c r="C575" t="str" s="2">
        <x:v>0/2</x:v>
      </x:c>
      <x:c r="D575" t="str" s="2">
        <x:f>=""</x:f>
      </x:c>
      <x:c r="E575" s="0"/>
      <x:c r="F575" t="str" s="2">
        <x:v>Website</x:v>
      </x:c>
      <x:c r="G575" t="str" s="2">
        <x:v>Heritage Housing of Oklahoma City</x:v>
      </x:c>
      <x:c r="H575" t="str" s="2">
        <x:v>Alejandra Calderon</x:v>
      </x:c>
      <x:c r="I575" s="0"/>
      <x:c r="J575" s="0"/>
      <x:c r="K575" t="n" s="2">
        <x:v>5</x:v>
      </x:c>
      <x:c r="L575" t="str" s="2">
        <x:v>1.1</x:v>
      </x:c>
      <x:c r="M575" t="str" s="2">
        <x:v>Dead</x:v>
      </x:c>
      <x:c r="N575" t="str" s="2">
        <x:v>Prospect</x:v>
      </x:c>
      <x:c r="O575" s="0"/>
      <x:c r="P575" s="6">
        <x:v>46238</x:v>
      </x:c>
      <x:c r="Q575" s="6">
        <x:v>46238.804598229166</x:v>
      </x:c>
      <x:c r="R575" s="0"/>
      <x:c r="S575" s="6">
        <x:v>46238</x:v>
      </x:c>
      <x:c r="T575" s="0"/>
      <x:c r="U575" s="0"/>
      <x:c r="V575" s="0"/>
      <x:c r="W575" s="0"/>
      <x:c r="X575" t="str" s="2">
        <x:v>5729970193</x:v>
      </x:c>
      <x:c r="Y575" t="str" s="2">
        <x:v>carriehouk04@gmail.com</x:v>
      </x:c>
      <x:c r="Z575" s="6">
        <x:v>46279.968550115744</x:v>
      </x:c>
      <x:c r="AA575" t="str" s="2">
        <x:v>Alejandra Calderon</x:v>
      </x:c>
      <x:c r="AB575" s="6">
        <x:v>46238.804599386574</x:v>
      </x:c>
      <x:c r="AC575" t="n" s="2">
        <x:v>38945</x:v>
      </x:c>
      <x:c r="AD575" s="0"/>
      <x:c r="AE575" s="0"/>
      <x:c r="AF575" s="0"/>
      <x:c r="AG575" s="0"/>
      <x:c r="AH575" s="0"/>
      <x:c r="AI575" s="0"/>
      <x:c r="AJ575" s="0"/>
      <x:c r="AK575" s="0"/>
    </x:row>
    <x:row r="576">
      <x:c r="A576" t="str" s="2">
        <x:f>=HYPERLINK("https://rsms.futurehomex.com/lead/38946", "Josue Macias Jimenez")</x:f>
      </x:c>
      <x:c r="B576" t="n" s="2">
        <x:v>70</x:v>
      </x:c>
      <x:c r="C576" t="str" s="2">
        <x:v>0/1</x:v>
      </x:c>
      <x:c r="D576" t="str" s="2">
        <x:f>=""</x:f>
      </x:c>
      <x:c r="E576" s="0"/>
      <x:c r="F576" t="str" s="2">
        <x:v>Facebook Messenger</x:v>
      </x:c>
      <x:c r="G576" t="str" s="2">
        <x:v>Heritage Housing of Greenville</x:v>
      </x:c>
      <x:c r="H576" t="str" s="2">
        <x:v>Ana Garcia</x:v>
      </x:c>
      <x:c r="I576" s="0"/>
      <x:c r="J576" t="str" s="2">
        <x:v>Ana Garcia</x:v>
      </x:c>
      <x:c r="K576" t="n" s="2">
        <x:v>59</x:v>
      </x:c>
      <x:c r="L576" t="str" s="2">
        <x:v>4.3</x:v>
      </x:c>
      <x:c r="M576" t="str" s="2">
        <x:v>Inactive</x:v>
      </x:c>
      <x:c r="N576" t="str" s="2">
        <x:v>Loan Approved</x:v>
      </x:c>
      <x:c r="O576" s="0"/>
      <x:c r="P576" s="6">
        <x:v>46238</x:v>
      </x:c>
      <x:c r="Q576" s="6">
        <x:v>46239.697216238426</x:v>
      </x:c>
      <x:c r="R576" s="0"/>
      <x:c r="S576" s="6">
        <x:v>46238</x:v>
      </x:c>
      <x:c r="T576" s="6">
        <x:v>46238</x:v>
      </x:c>
      <x:c r="U576" s="6">
        <x:v>46239</x:v>
      </x:c>
      <x:c r="V576" s="6">
        <x:v>46239</x:v>
      </x:c>
      <x:c r="W576" s="0"/>
      <x:c r="X576" t="str" s="2">
        <x:v>9452672689</x:v>
      </x:c>
      <x:c r="Y576" t="str" s="2">
        <x:v>Adolfojimenez637@gmail.com</x:v>
      </x:c>
      <x:c r="Z576" s="6">
        <x:v>46239.70048429398</x:v>
      </x:c>
      <x:c r="AA576" t="str" s="2">
        <x:v>Kristin Breedlove</x:v>
      </x:c>
      <x:c r="AB576" s="6">
        <x:v>46238.814417974536</x:v>
      </x:c>
      <x:c r="AC576" t="n" s="2">
        <x:v>38946</x:v>
      </x:c>
      <x:c r="AD576" t="str" s="2">
        <x:v>Doublewide</x:v>
      </x:c>
      <x:c r="AE576" t="str" s="2">
        <x:v>Legacy Housing Corporation</x:v>
      </x:c>
      <x:c r="AF576" s="7">
        <x:v>12985</x:v>
      </x:c>
      <x:c r="AG576" s="7">
        <x:v>13000</x:v>
      </x:c>
      <x:c r="AH576" s="0"/>
      <x:c r="AI576" t="str" s="2">
        <x:v>0</x:v>
      </x:c>
      <x:c r="AJ576" s="0"/>
      <x:c r="AK576" s="0"/>
    </x:row>
    <x:row r="577">
      <x:c r="A577" t="str" s="2">
        <x:f>=HYPERLINK("https://rsms.futurehomex.com/lead/38947", "Rebecca Whalen")</x:f>
      </x:c>
      <x:c r="B577" t="n" s="2">
        <x:v>70</x:v>
      </x:c>
      <x:c r="C577" t="str" s="2">
        <x:v>0/3</x:v>
      </x:c>
      <x:c r="D577" t="str" s="2">
        <x:f>=""</x:f>
      </x:c>
      <x:c r="E577" s="0"/>
      <x:c r="F577" t="str" s="2">
        <x:v>Facebook Messenger</x:v>
      </x:c>
      <x:c r="G577" t="str" s="2">
        <x:v>Heritage Housing of Minden</x:v>
      </x:c>
      <x:c r="H577" t="str" s="2">
        <x:v>Patrick Schuchart</x:v>
      </x:c>
      <x:c r="I577" t="str" s="2">
        <x:v>Karol Romero</x:v>
      </x:c>
      <x:c r="J577" t="str" s="2">
        <x:v>Patrick Schuchart</x:v>
      </x:c>
      <x:c r="K577" t="n" s="2">
        <x:v>5</x:v>
      </x:c>
      <x:c r="L577" t="str" s="2">
        <x:v>1.1</x:v>
      </x:c>
      <x:c r="M577" t="str" s="2">
        <x:v>Tentative</x:v>
      </x:c>
      <x:c r="N577" t="str" s="2">
        <x:v>Deal Created</x:v>
      </x:c>
      <x:c r="O577" s="0"/>
      <x:c r="P577" s="6">
        <x:v>46238</x:v>
      </x:c>
      <x:c r="Q577" s="6">
        <x:v>46255.91983445602</x:v>
      </x:c>
      <x:c r="R577" t="str" s="2">
        <x:v>Patrick Schuchart</x:v>
      </x:c>
      <x:c r="S577" s="0"/>
      <x:c r="T577" s="0"/>
      <x:c r="U577" s="0"/>
      <x:c r="V577" s="0"/>
      <x:c r="W577" s="0"/>
      <x:c r="X577" t="str" s="2">
        <x:v>8709498111</x:v>
      </x:c>
      <x:c r="Y577" t="str" s="2">
        <x:v>becwhalen2018@gmail.com</x:v>
      </x:c>
      <x:c r="Z577" s="6">
        <x:v>46284.61328414352</x:v>
      </x:c>
      <x:c r="AA577" t="str" s="2">
        <x:v>Patrick Schuchart</x:v>
      </x:c>
      <x:c r="AB577" s="6">
        <x:v>46238.821295601854</x:v>
      </x:c>
      <x:c r="AC577" t="n" s="2">
        <x:v>38947</x:v>
      </x:c>
      <x:c r="AD577" s="0"/>
      <x:c r="AE577" s="0"/>
      <x:c r="AF577" s="0"/>
      <x:c r="AG577" s="0"/>
      <x:c r="AH577" s="0"/>
      <x:c r="AI577" s="0"/>
      <x:c r="AJ577" s="0"/>
      <x:c r="AK577" s="0"/>
    </x:row>
    <x:row r="578">
      <x:c r="A578" t="str" s="2">
        <x:f>=HYPERLINK("https://rsms.futurehomex.com/lead/38948", "Louis Allen Cart")</x:f>
      </x:c>
      <x:c r="B578" t="n" s="2">
        <x:v>70</x:v>
      </x:c>
      <x:c r="C578" t="str" s="2">
        <x:v>0/2</x:v>
      </x:c>
      <x:c r="D578" t="str" s="2">
        <x:f>=""</x:f>
      </x:c>
      <x:c r="E578" s="0"/>
      <x:c r="F578" t="str" s="2">
        <x:v>Walk-in</x:v>
      </x:c>
      <x:c r="G578" t="str" s="2">
        <x:v>Heritage Housing of Jennings</x:v>
      </x:c>
      <x:c r="H578" t="str" s="2">
        <x:v>Mervin Leslie Smith</x:v>
      </x:c>
      <x:c r="I578" s="0"/>
      <x:c r="J578" s="0"/>
      <x:c r="K578" t="n" s="2">
        <x:v>100</x:v>
      </x:c>
      <x:c r="L578" t="str" s="2">
        <x:v>6.2</x:v>
      </x:c>
      <x:c r="M578" t="str" s="2">
        <x:v>Closed</x:v>
      </x:c>
      <x:c r="N578" t="str" s="2">
        <x:v>Delivered</x:v>
      </x:c>
      <x:c r="O578" s="6">
        <x:v>46245</x:v>
      </x:c>
      <x:c r="P578" s="6">
        <x:v>46238</x:v>
      </x:c>
      <x:c r="Q578" s="6">
        <x:v>46245.832068599535</x:v>
      </x:c>
      <x:c r="R578" s="0"/>
      <x:c r="S578" s="6">
        <x:v>46238</x:v>
      </x:c>
      <x:c r="T578" s="6">
        <x:v>46238</x:v>
      </x:c>
      <x:c r="U578" s="6">
        <x:v>46238</x:v>
      </x:c>
      <x:c r="V578" s="6">
        <x:v>46238</x:v>
      </x:c>
      <x:c r="W578" s="6">
        <x:v>46252</x:v>
      </x:c>
      <x:c r="X578" t="str" s="2">
        <x:v>3377178258</x:v>
      </x:c>
      <x:c r="Y578" t="str" s="2">
        <x:v>lc@nomail.com</x:v>
      </x:c>
      <x:c r="Z578" s="6">
        <x:v>46245.829925844904</x:v>
      </x:c>
      <x:c r="AA578" t="str" s="2">
        <x:v>Tina Dallas</x:v>
      </x:c>
      <x:c r="AB578" s="6">
        <x:v>46238.84250274306</x:v>
      </x:c>
      <x:c r="AC578" t="n" s="2">
        <x:v>38948</x:v>
      </x:c>
      <x:c r="AD578" t="str" s="2">
        <x:v>Singlewide</x:v>
      </x:c>
      <x:c r="AE578" t="str" s="2">
        <x:v>Legacy Housing Corporation</x:v>
      </x:c>
      <x:c r="AF578" s="7">
        <x:v>50000</x:v>
      </x:c>
      <x:c r="AG578" s="7">
        <x:v>50000</x:v>
      </x:c>
      <x:c r="AH578" s="7">
        <x:v>50000</x:v>
      </x:c>
      <x:c r="AI578" t="str" s="2">
        <x:v>787</x:v>
      </x:c>
      <x:c r="AJ578" s="0"/>
      <x:c r="AK578" t="str" s="6">
        <x:v>2026-08-11</x:v>
      </x:c>
    </x:row>
    <x:row r="579">
      <x:c r="A579" t="str" s="2">
        <x:f>=HYPERLINK("https://rsms.futurehomex.com/lead/38949", "Prospero Rodriguez Rodriguez")</x:f>
      </x:c>
      <x:c r="B579" t="n" s="2">
        <x:v>70</x:v>
      </x:c>
      <x:c r="C579" t="str" s="2">
        <x:v>0/2</x:v>
      </x:c>
      <x:c r="D579" t="str" s="2">
        <x:f>=""</x:f>
      </x:c>
      <x:c r="E579" s="0"/>
      <x:c r="F579" t="str" s="2">
        <x:v>Facebook Messenger</x:v>
      </x:c>
      <x:c r="G579" t="str" s="2">
        <x:v>Heritage Housing of Greenville</x:v>
      </x:c>
      <x:c r="H579" t="str" s="2">
        <x:v>Ana Garcia</x:v>
      </x:c>
      <x:c r="I579" t="str" s="2">
        <x:v>Karol Romero</x:v>
      </x:c>
      <x:c r="J579" t="str" s="2">
        <x:v>Ana Garcia</x:v>
      </x:c>
      <x:c r="K579" t="n" s="2">
        <x:v>38</x:v>
      </x:c>
      <x:c r="L579" t="str" s="2">
        <x:v>3.2</x:v>
      </x:c>
      <x:c r="M579" t="str" s="2">
        <x:v>Active</x:v>
      </x:c>
      <x:c r="N579" t="str" s="2">
        <x:v>Application</x:v>
      </x:c>
      <x:c r="O579" s="0"/>
      <x:c r="P579" s="6">
        <x:v>46238</x:v>
      </x:c>
      <x:c r="Q579" s="6">
        <x:v>46244.6701559375</x:v>
      </x:c>
      <x:c r="R579" s="0"/>
      <x:c r="S579" s="0"/>
      <x:c r="T579" s="0"/>
      <x:c r="U579" s="0"/>
      <x:c r="V579" s="0"/>
      <x:c r="W579" s="0"/>
      <x:c r="X579" t="str" s="2">
        <x:v>9035749735</x:v>
      </x:c>
      <x:c r="Y579" t="str" s="2">
        <x:v>prosperor625@gmail.com</x:v>
      </x:c>
      <x:c r="Z579" s="6">
        <x:v>46251.64038758102</x:v>
      </x:c>
      <x:c r="AA579" t="str" s="2">
        <x:v>Brandie Sartor</x:v>
      </x:c>
      <x:c r="AB579" s="6">
        <x:v>46238.84551724537</x:v>
      </x:c>
      <x:c r="AC579" t="n" s="2">
        <x:v>38949</x:v>
      </x:c>
      <x:c r="AD579" t="str" s="2">
        <x:v>Singlewide</x:v>
      </x:c>
      <x:c r="AE579" t="str" s="2">
        <x:v>Legacy Housing Corporation</x:v>
      </x:c>
      <x:c r="AF579" s="7">
        <x:v>6409</x:v>
      </x:c>
      <x:c r="AG579" s="7">
        <x:v>5500</x:v>
      </x:c>
      <x:c r="AH579" s="0"/>
      <x:c r="AI579" t="str" s="2">
        <x:v>0</x:v>
      </x:c>
      <x:c r="AJ579" s="0"/>
      <x:c r="AK579" s="0"/>
    </x:row>
    <x:row r="580">
      <x:c r="A580" t="str" s="2">
        <x:f>=HYPERLINK("https://rsms.futurehomex.com/lead/38951", "Lidia Maria Rodriguez")</x:f>
      </x:c>
      <x:c r="B580" t="n" s="2">
        <x:v>70</x:v>
      </x:c>
      <x:c r="C580" t="str" s="2">
        <x:v>1/1</x:v>
      </x:c>
      <x:c r="D580" t="str" s="2">
        <x:f>=""</x:f>
      </x:c>
      <x:c r="E580" s="0"/>
      <x:c r="F580" t="str" s="2">
        <x:v>Walk-in</x:v>
      </x:c>
      <x:c r="G580" t="str" s="2">
        <x:v>Legacy Housing Corp. DBA Americasa</x:v>
      </x:c>
      <x:c r="H580" t="str" s="2">
        <x:v>Jose Parada</x:v>
      </x:c>
      <x:c r="I580" t="str" s="2">
        <x:v>Karol Romero</x:v>
      </x:c>
      <x:c r="J580" t="str" s="2">
        <x:v>Rodrigo Ramirez</x:v>
      </x:c>
      <x:c r="K580" t="n" s="2">
        <x:v>21</x:v>
      </x:c>
      <x:c r="L580" t="str" s="2">
        <x:v>2.1</x:v>
      </x:c>
      <x:c r="M580" t="str" s="2">
        <x:v>Tentative</x:v>
      </x:c>
      <x:c r="N580" t="str" s="2">
        <x:v>Qualified</x:v>
      </x:c>
      <x:c r="O580" s="0"/>
      <x:c r="P580" s="6">
        <x:v>46238</x:v>
      </x:c>
      <x:c r="Q580" s="6">
        <x:v>46238.936070868054</x:v>
      </x:c>
      <x:c r="R580" t="str" s="2">
        <x:v>Jose Parada</x:v>
      </x:c>
      <x:c r="S580" s="6">
        <x:v>46238</x:v>
      </x:c>
      <x:c r="T580" s="0"/>
      <x:c r="U580" s="0"/>
      <x:c r="V580" s="0"/>
      <x:c r="W580" s="0"/>
      <x:c r="X580" t="str" s="2">
        <x:v>8323820272</x:v>
      </x:c>
      <x:c r="Y580" t="str" s="2">
        <x:v>lidia_rodriguez01@yahoo.com</x:v>
      </x:c>
      <x:c r="Z580" s="6">
        <x:v>46238.949818946756</x:v>
      </x:c>
      <x:c r="AA580" t="str" s="2">
        <x:v>Rodrigo Ramirez</x:v>
      </x:c>
      <x:c r="AB580" s="6">
        <x:v>46238.921357175925</x:v>
      </x:c>
      <x:c r="AC580" t="n" s="2">
        <x:v>38951</x:v>
      </x:c>
      <x:c r="AD580" s="0"/>
      <x:c r="AE580" s="0"/>
      <x:c r="AF580" s="0"/>
      <x:c r="AG580" s="7">
        <x:v>10000</x:v>
      </x:c>
      <x:c r="AH580" s="0"/>
      <x:c r="AI580" t="str" s="2">
        <x:v>535</x:v>
      </x:c>
      <x:c r="AJ580" s="0"/>
      <x:c r="AK580" s="0"/>
    </x:row>
    <x:row r="581">
      <x:c r="A581" t="str" s="2">
        <x:f>=HYPERLINK("https://rsms.futurehomex.com/lead/38953", "Merrick Julian Andrew Chapman")</x:f>
      </x:c>
      <x:c r="B581" t="n" s="2">
        <x:v>70</x:v>
      </x:c>
      <x:c r="C581" t="str" s="2">
        <x:v>1/6</x:v>
      </x:c>
      <x:c r="D581" t="str" s="2">
        <x:f>=""</x:f>
      </x:c>
      <x:c r="E581" s="0"/>
      <x:c r="F581" t="str" s="2">
        <x:v>LandingPage</x:v>
      </x:c>
      <x:c r="G581" t="str" s="2">
        <x:v>Heritage Housing Marble Falls</x:v>
      </x:c>
      <x:c r="H581" t="str" s="2">
        <x:v>Stephen Sanders</x:v>
      </x:c>
      <x:c r="I581" t="str" s="2">
        <x:v>Karol Romero</x:v>
      </x:c>
      <x:c r="J581" t="str" s="2">
        <x:v>Stephen Sanders</x:v>
      </x:c>
      <x:c r="K581" t="n" s="2">
        <x:v>59</x:v>
      </x:c>
      <x:c r="L581" t="str" s="2">
        <x:v>4.3</x:v>
      </x:c>
      <x:c r="M581" t="str" s="2">
        <x:v>Denied</x:v>
      </x:c>
      <x:c r="N581" t="str" s="2">
        <x:v>Loan Approved</x:v>
      </x:c>
      <x:c r="O581" s="0"/>
      <x:c r="P581" s="6">
        <x:v>46238</x:v>
      </x:c>
      <x:c r="Q581" s="6">
        <x:v>46261.91344722222</x:v>
      </x:c>
      <x:c r="R581" s="0"/>
      <x:c r="S581" s="6">
        <x:v>46238</x:v>
      </x:c>
      <x:c r="T581" s="6">
        <x:v>46238</x:v>
      </x:c>
      <x:c r="U581" s="6">
        <x:v>46252</x:v>
      </x:c>
      <x:c r="V581" s="6">
        <x:v>46298</x:v>
      </x:c>
      <x:c r="W581" s="0"/>
      <x:c r="X581" t="str" s="2">
        <x:v>5127384679</x:v>
      </x:c>
      <x:c r="Y581" t="str" s="2">
        <x:v>merrickchapman6@gmail.com</x:v>
      </x:c>
      <x:c r="Z581" s="6">
        <x:v>46300.57823197917</x:v>
      </x:c>
      <x:c r="AA581" t="str" s="2">
        <x:v>Stephen Sanders</x:v>
      </x:c>
      <x:c r="AB581" s="6">
        <x:v>46261.91481840278</x:v>
      </x:c>
      <x:c r="AC581" t="n" s="2">
        <x:v>38953</x:v>
      </x:c>
      <x:c r="AD581" t="str" s="2">
        <x:v>Singlewide</x:v>
      </x:c>
      <x:c r="AE581" t="str" s="2">
        <x:v>21st Mortgage Corporation</x:v>
      </x:c>
      <x:c r="AF581" s="0"/>
      <x:c r="AG581" s="7">
        <x:v>3000</x:v>
      </x:c>
      <x:c r="AH581" s="0"/>
      <x:c r="AI581" t="str" s="2">
        <x:v>0</x:v>
      </x:c>
      <x:c r="AJ581" s="0"/>
      <x:c r="AK581" s="0"/>
    </x:row>
    <x:row r="582">
      <x:c r="A582" t="str" s="2">
        <x:f>=HYPERLINK("https://rsms.futurehomex.com/lead/38954", "Brandon Hutchins")</x:f>
      </x:c>
      <x:c r="B582" t="n" s="2">
        <x:v>69</x:v>
      </x:c>
      <x:c r="C582" t="str" s="2">
        <x:v>0/2</x:v>
      </x:c>
      <x:c r="D582" t="str" s="2">
        <x:f>=""</x:f>
      </x:c>
      <x:c r="E582" s="0"/>
      <x:c r="F582" t="str" s="2">
        <x:v>Financing Form</x:v>
      </x:c>
      <x:c r="G582" t="str" s="2">
        <x:v>Heritage Housing Gainesville</x:v>
      </x:c>
      <x:c r="H582" t="str" s="2">
        <x:v>Kelly Ford</x:v>
      </x:c>
      <x:c r="I582" s="0"/>
      <x:c r="J582" t="str" s="2">
        <x:v>Kelly Ford</x:v>
      </x:c>
      <x:c r="K582" t="n" s="2">
        <x:v>5</x:v>
      </x:c>
      <x:c r="L582" t="str" s="2">
        <x:v>1.1</x:v>
      </x:c>
      <x:c r="M582" t="str" s="2">
        <x:v>Tentative</x:v>
      </x:c>
      <x:c r="N582" t="str" s="2">
        <x:v>Deal Created</x:v>
      </x:c>
      <x:c r="O582" s="0"/>
      <x:c r="P582" s="6">
        <x:v>46239</x:v>
      </x:c>
      <x:c r="Q582" s="6">
        <x:v>46239.633525081015</x:v>
      </x:c>
      <x:c r="R582" s="0"/>
      <x:c r="S582" s="0"/>
      <x:c r="T582" s="0"/>
      <x:c r="U582" s="0"/>
      <x:c r="V582" s="0"/>
      <x:c r="W582" s="0"/>
      <x:c r="X582" t="str" s="2">
        <x:v>9406419067</x:v>
      </x:c>
      <x:c r="Y582" t="str" s="2">
        <x:v>brandonhutchins32@gmail.com</x:v>
      </x:c>
      <x:c r="Z582" s="6">
        <x:v>46266.92734274305</x:v>
      </x:c>
      <x:c r="AA582" t="str" s="2">
        <x:v>John Schwichtenberg</x:v>
      </x:c>
      <x:c r="AB582" s="6">
        <x:v>46239.63352693287</x:v>
      </x:c>
      <x:c r="AC582" t="n" s="2">
        <x:v>38954</x:v>
      </x:c>
      <x:c r="AD582" s="0"/>
      <x:c r="AE582" s="0"/>
      <x:c r="AF582" s="0"/>
      <x:c r="AG582" s="0"/>
      <x:c r="AH582" s="0"/>
      <x:c r="AI582" s="0"/>
      <x:c r="AJ582" s="0"/>
      <x:c r="AK582" s="0"/>
    </x:row>
    <x:row r="583">
      <x:c r="A583" t="str" s="2">
        <x:f>=HYPERLINK("https://rsms.futurehomex.com/lead/38955", "Juan Carlos Vilaseca Garcia")</x:f>
      </x:c>
      <x:c r="B583" t="n" s="2">
        <x:v>69</x:v>
      </x:c>
      <x:c r="C583" t="str" s="2">
        <x:v>0/3</x:v>
      </x:c>
      <x:c r="D583" t="str" s="2">
        <x:f>=""</x:f>
      </x:c>
      <x:c r="E583" s="0"/>
      <x:c r="F583" t="str" s="2">
        <x:v>Meta Marketplace</x:v>
      </x:c>
      <x:c r="G583" t="str" s="2">
        <x:v>Heritage Housing of Greenville</x:v>
      </x:c>
      <x:c r="H583" t="str" s="2">
        <x:v>Ana Garcia</x:v>
      </x:c>
      <x:c r="I583" s="0"/>
      <x:c r="J583" t="str" s="2">
        <x:v>Ana Garcia</x:v>
      </x:c>
      <x:c r="K583" t="n" s="2">
        <x:v>100</x:v>
      </x:c>
      <x:c r="L583" t="str" s="2">
        <x:v>6.2</x:v>
      </x:c>
      <x:c r="M583" t="str" s="2">
        <x:v>Closed</x:v>
      </x:c>
      <x:c r="N583" t="str" s="2">
        <x:v>Delivered</x:v>
      </x:c>
      <x:c r="O583" s="6">
        <x:v>46247</x:v>
      </x:c>
      <x:c r="P583" s="6">
        <x:v>46239</x:v>
      </x:c>
      <x:c r="Q583" s="6">
        <x:v>46251.630883564816</x:v>
      </x:c>
      <x:c r="R583" s="0"/>
      <x:c r="S583" s="6">
        <x:v>46238</x:v>
      </x:c>
      <x:c r="T583" s="6">
        <x:v>46239</x:v>
      </x:c>
      <x:c r="U583" s="6">
        <x:v>46241</x:v>
      </x:c>
      <x:c r="V583" s="6">
        <x:v>46246</x:v>
      </x:c>
      <x:c r="W583" s="6">
        <x:v>46254</x:v>
      </x:c>
      <x:c r="X583" t="str" s="2">
        <x:v>8178636497</x:v>
      </x:c>
      <x:c r="Y583" t="str" s="2">
        <x:v>nancycarpio1@icloud.com</x:v>
      </x:c>
      <x:c r="Z583" s="6">
        <x:v>46248.7235869213</x:v>
      </x:c>
      <x:c r="AA583" t="str" s="2">
        <x:v>Brandie Sartor</x:v>
      </x:c>
      <x:c r="AB583" s="6">
        <x:v>46239.63741956018</x:v>
      </x:c>
      <x:c r="AC583" t="n" s="2">
        <x:v>38955</x:v>
      </x:c>
      <x:c r="AD583" t="str" s="2">
        <x:v>Singlewide</x:v>
      </x:c>
      <x:c r="AE583" t="str" s="2">
        <x:v>Legacy Housing Corporation</x:v>
      </x:c>
      <x:c r="AF583" s="7">
        <x:v>7160</x:v>
      </x:c>
      <x:c r="AG583" s="7">
        <x:v>10000</x:v>
      </x:c>
      <x:c r="AH583" s="7">
        <x:v>7160</x:v>
      </x:c>
      <x:c r="AI583" t="str" s="2">
        <x:v>0</x:v>
      </x:c>
      <x:c r="AJ583" s="0"/>
      <x:c r="AK583" t="str" s="6">
        <x:v>2026-08-17</x:v>
      </x:c>
    </x:row>
    <x:row r="584">
      <x:c r="A584" t="str" s="2">
        <x:f>=HYPERLINK("https://rsms.futurehomex.com/lead/38956", "Mariluz Almonte Pichardo")</x:f>
      </x:c>
      <x:c r="B584" t="n" s="2">
        <x:v>69</x:v>
      </x:c>
      <x:c r="C584" t="str" s="2">
        <x:v>0/1</x:v>
      </x:c>
      <x:c r="D584" t="str" s="2">
        <x:f>=""</x:f>
      </x:c>
      <x:c r="E584" s="0"/>
      <x:c r="F584" t="str" s="2">
        <x:v>Terrenos Houston</x:v>
      </x:c>
      <x:c r="G584" t="str" s="2">
        <x:v>Legacy Housing Corp. DBA Americasa</x:v>
      </x:c>
      <x:c r="H584" t="str" s="2">
        <x:v>Joey Marquez</x:v>
      </x:c>
      <x:c r="I584" s="0"/>
      <x:c r="J584" t="str" s="2">
        <x:v>Rodrigo Ramirez</x:v>
      </x:c>
      <x:c r="K584" t="n" s="2">
        <x:v>5</x:v>
      </x:c>
      <x:c r="L584" t="str" s="2">
        <x:v>1.1</x:v>
      </x:c>
      <x:c r="M584" t="str" s="2">
        <x:v>Tentative</x:v>
      </x:c>
      <x:c r="N584" t="str" s="2">
        <x:v>Deal Created</x:v>
      </x:c>
      <x:c r="O584" s="0"/>
      <x:c r="P584" s="6">
        <x:v>46239</x:v>
      </x:c>
      <x:c r="Q584" s="6">
        <x:v>46272.791949189814</x:v>
      </x:c>
      <x:c r="R584" s="0"/>
      <x:c r="S584" s="0"/>
      <x:c r="T584" s="0"/>
      <x:c r="U584" s="0"/>
      <x:c r="V584" s="0"/>
      <x:c r="W584" s="0"/>
      <x:c r="X584" t="str" s="2">
        <x:v>8329354554</x:v>
      </x:c>
      <x:c r="Y584" t="str" s="2">
        <x:v>marivelez4542@gmail.com</x:v>
      </x:c>
      <x:c r="Z584" s="6">
        <x:v>46286.91978788195</x:v>
      </x:c>
      <x:c r="AA584" t="str" s="2">
        <x:v>Joey Marquez</x:v>
      </x:c>
      <x:c r="AB584" s="6">
        <x:v>46239.65064039352</x:v>
      </x:c>
      <x:c r="AC584" t="n" s="2">
        <x:v>38956</x:v>
      </x:c>
      <x:c r="AD584" s="0"/>
      <x:c r="AE584" s="0"/>
      <x:c r="AF584" s="0"/>
      <x:c r="AG584" s="0"/>
      <x:c r="AH584" s="0"/>
      <x:c r="AI584" s="0"/>
      <x:c r="AJ584" s="0"/>
      <x:c r="AK584" s="0"/>
    </x:row>
    <x:row r="585">
      <x:c r="A585" t="str" s="2">
        <x:f>=HYPERLINK("https://rsms.futurehomex.com/lead/38958", "Amauron Reyes-Siler")</x:f>
      </x:c>
      <x:c r="B585" t="n" s="2">
        <x:v>69</x:v>
      </x:c>
      <x:c r="C585" t="str" s="2">
        <x:v/>
      </x:c>
      <x:c r="D585" t="str" s="2">
        <x:f>=""</x:f>
      </x:c>
      <x:c r="E585" s="0"/>
      <x:c r="F585" t="str" s="2">
        <x:v>Walk-in</x:v>
      </x:c>
      <x:c r="G585" t="str" s="2">
        <x:v>Heritage Housing of Asheboro</x:v>
      </x:c>
      <x:c r="H585" t="str" s="2">
        <x:v>Cory Martin</x:v>
      </x:c>
      <x:c r="I585" s="0"/>
      <x:c r="J585" t="str" s="2">
        <x:v>Cory Martin</x:v>
      </x:c>
      <x:c r="K585" t="n" s="2">
        <x:v>21</x:v>
      </x:c>
      <x:c r="L585" t="str" s="2">
        <x:v>2.1</x:v>
      </x:c>
      <x:c r="M585" t="str" s="2">
        <x:v>Dead</x:v>
      </x:c>
      <x:c r="N585" t="str" s="2">
        <x:v>Qualified</x:v>
      </x:c>
      <x:c r="O585" s="0"/>
      <x:c r="P585" s="6">
        <x:v>46239</x:v>
      </x:c>
      <x:c r="Q585" s="6">
        <x:v>46256.809147025466</x:v>
      </x:c>
      <x:c r="R585" s="0"/>
      <x:c r="S585" s="6">
        <x:v>46239</x:v>
      </x:c>
      <x:c r="T585" s="0"/>
      <x:c r="U585" s="0"/>
      <x:c r="V585" s="0"/>
      <x:c r="W585" s="0"/>
      <x:c r="X585" t="str" s="2">
        <x:v>3368408649</x:v>
      </x:c>
      <x:c r="Y585" t="str" s="2">
        <x:v>maurysiler@gmail.com</x:v>
      </x:c>
      <x:c r="Z585" s="6">
        <x:v>46256.80913607639</x:v>
      </x:c>
      <x:c r="AA585" t="str" s="2">
        <x:v>Jeremy Jacques</x:v>
      </x:c>
      <x:c r="AB585" s="6">
        <x:v>46239.7292619213</x:v>
      </x:c>
      <x:c r="AC585" t="n" s="2">
        <x:v>38958</x:v>
      </x:c>
      <x:c r="AD585" s="0"/>
      <x:c r="AE585" s="0"/>
      <x:c r="AF585" s="0"/>
      <x:c r="AG585" s="0"/>
      <x:c r="AH585" s="0"/>
      <x:c r="AI585" s="0"/>
      <x:c r="AJ585" s="0"/>
      <x:c r="AK585" s="0"/>
    </x:row>
    <x:row r="586">
      <x:c r="A586" t="str" s="2">
        <x:f>=HYPERLINK("https://rsms.futurehomex.com/lead/38959", "Chloe White")</x:f>
      </x:c>
      <x:c r="B586" t="n" s="2">
        <x:v>69</x:v>
      </x:c>
      <x:c r="C586" t="str" s="2">
        <x:v>1/2</x:v>
      </x:c>
      <x:c r="D586" t="str" s="2">
        <x:f>=""</x:f>
      </x:c>
      <x:c r="E586" t="str" s="2">
        <x:v>Hunter Manders</x:v>
      </x:c>
      <x:c r="F586" t="str" s="2">
        <x:v>Facebook Messenger</x:v>
      </x:c>
      <x:c r="G586" t="str" s="2">
        <x:v>Heritage Housing of Albany</x:v>
      </x:c>
      <x:c r="H586" t="str" s="2">
        <x:v>Alexander Bryant</x:v>
      </x:c>
      <x:c r="I586" t="str" s="2">
        <x:v>Karol Romero</x:v>
      </x:c>
      <x:c r="J586" t="str" s="2">
        <x:v>Alexander Bryant</x:v>
      </x:c>
      <x:c r="K586" t="n" s="2">
        <x:v>5</x:v>
      </x:c>
      <x:c r="L586" t="str" s="2">
        <x:v>1.1</x:v>
      </x:c>
      <x:c r="M586" t="str" s="2">
        <x:v>Tentative</x:v>
      </x:c>
      <x:c r="N586" t="str" s="2">
        <x:v>Deal Created</x:v>
      </x:c>
      <x:c r="O586" s="0"/>
      <x:c r="P586" s="6">
        <x:v>46239</x:v>
      </x:c>
      <x:c r="Q586" s="6">
        <x:v>46280.92180517361</x:v>
      </x:c>
      <x:c r="R586" s="0"/>
      <x:c r="S586" s="0"/>
      <x:c r="T586" s="0"/>
      <x:c r="U586" s="0"/>
      <x:c r="V586" s="0"/>
      <x:c r="W586" s="0"/>
      <x:c r="X586" t="str" s="2">
        <x:v>2293449988</x:v>
      </x:c>
      <x:c r="Y586" t="str" s="2">
        <x:v>chloebwhite16@gmail.com</x:v>
      </x:c>
      <x:c r="Z586" s="6">
        <x:v>46248.76803637732</x:v>
      </x:c>
      <x:c r="AA586" t="str" s="2">
        <x:v>Alexander Bryant</x:v>
      </x:c>
      <x:c r="AB586" s="6">
        <x:v>46239.749751157404</x:v>
      </x:c>
      <x:c r="AC586" t="n" s="2">
        <x:v>38959</x:v>
      </x:c>
      <x:c r="AD586" s="0"/>
      <x:c r="AE586" s="0"/>
      <x:c r="AF586" s="0"/>
      <x:c r="AG586" s="0"/>
      <x:c r="AH586" s="0"/>
      <x:c r="AI586" s="0"/>
      <x:c r="AJ586" s="0"/>
      <x:c r="AK586" s="0"/>
    </x:row>
    <x:row r="587">
      <x:c r="A587" t="str" s="2">
        <x:f>=HYPERLINK("https://rsms.futurehomex.com/lead/38960", "Sunnye Travis")</x:f>
      </x:c>
      <x:c r="B587" t="n" s="2">
        <x:v>69</x:v>
      </x:c>
      <x:c r="C587" t="str" s="2">
        <x:v>1/4</x:v>
      </x:c>
      <x:c r="D587" t="str" s="2">
        <x:f>=""</x:f>
      </x:c>
      <x:c r="E587" t="str" s="2">
        <x:v>Ryan Dicken</x:v>
      </x:c>
      <x:c r="F587" t="str" s="2">
        <x:v>Website</x:v>
      </x:c>
      <x:c r="G587" t="str" s="2">
        <x:v>Heritage Housing Marble Falls</x:v>
      </x:c>
      <x:c r="H587" t="str" s="2">
        <x:v>Stephen Sanders</x:v>
      </x:c>
      <x:c r="I587" s="0"/>
      <x:c r="J587" t="str" s="2">
        <x:v>Stephen Sanders</x:v>
      </x:c>
      <x:c r="K587" t="n" s="2">
        <x:v>34</x:v>
      </x:c>
      <x:c r="L587" t="str" s="2">
        <x:v>2.4</x:v>
      </x:c>
      <x:c r="M587" t="str" s="2">
        <x:v>Tentative</x:v>
      </x:c>
      <x:c r="N587" t="str" s="2">
        <x:v>Deal approval</x:v>
      </x:c>
      <x:c r="O587" s="0"/>
      <x:c r="P587" s="6">
        <x:v>46239</x:v>
      </x:c>
      <x:c r="Q587" s="6">
        <x:v>46258.73966481481</x:v>
      </x:c>
      <x:c r="R587" s="0"/>
      <x:c r="S587" s="0"/>
      <x:c r="T587" s="0"/>
      <x:c r="U587" s="0"/>
      <x:c r="V587" s="0"/>
      <x:c r="W587" s="0"/>
      <x:c r="X587" t="str" s="2">
        <x:v>8302623850</x:v>
      </x:c>
      <x:c r="Y587" t="str" s="2">
        <x:v>sunnyetravis93@gmail.com</x:v>
      </x:c>
      <x:c r="Z587" s="6">
        <x:v>46296.91495038194</x:v>
      </x:c>
      <x:c r="AA587" t="str" s="2">
        <x:v>Stephen Sanders</x:v>
      </x:c>
      <x:c r="AB587" s="6">
        <x:v>46255.826892592595</x:v>
      </x:c>
      <x:c r="AC587" t="n" s="2">
        <x:v>38960</x:v>
      </x:c>
      <x:c r="AD587" t="str" s="2">
        <x:v>Singlewide</x:v>
      </x:c>
      <x:c r="AE587" s="0"/>
      <x:c r="AF587" s="0"/>
      <x:c r="AG587" s="7">
        <x:v>8000</x:v>
      </x:c>
      <x:c r="AH587" s="0"/>
      <x:c r="AI587" t="str" s="2">
        <x:v>494</x:v>
      </x:c>
      <x:c r="AJ587" s="0"/>
      <x:c r="AK587" s="0"/>
    </x:row>
    <x:row r="588">
      <x:c r="A588" t="str" s="2">
        <x:f>=HYPERLINK("https://rsms.futurehomex.com/lead/38961", "Tarkesha Taylor")</x:f>
      </x:c>
      <x:c r="B588" t="n" s="2">
        <x:v>69</x:v>
      </x:c>
      <x:c r="C588" t="str" s="2">
        <x:v/>
      </x:c>
      <x:c r="D588" t="str" s="2">
        <x:f>=""</x:f>
      </x:c>
      <x:c r="E588" s="0"/>
      <x:c r="F588" t="str" s="2">
        <x:v>Landing_BPM</x:v>
      </x:c>
      <x:c r="G588" t="str" s="2">
        <x:v>Heritage Housing of Tulsa</x:v>
      </x:c>
      <x:c r="H588" t="str" s="2">
        <x:v>Jenna Fransisco</x:v>
      </x:c>
      <x:c r="I588" s="0"/>
      <x:c r="J588" t="str" s="2">
        <x:v>Jenna Fransisco</x:v>
      </x:c>
      <x:c r="K588" t="n" s="2">
        <x:v>5</x:v>
      </x:c>
      <x:c r="L588" t="str" s="2">
        <x:v>1.1</x:v>
      </x:c>
      <x:c r="M588" t="str" s="2">
        <x:v>Tentative</x:v>
      </x:c>
      <x:c r="N588" t="str" s="2">
        <x:v>Prospect</x:v>
      </x:c>
      <x:c r="O588" s="0"/>
      <x:c r="P588" s="6">
        <x:v>46239</x:v>
      </x:c>
      <x:c r="Q588" s="6">
        <x:v>46239.7734246875</x:v>
      </x:c>
      <x:c r="R588" s="0"/>
      <x:c r="S588" s="0"/>
      <x:c r="T588" s="0"/>
      <x:c r="U588" s="0"/>
      <x:c r="V588" s="0"/>
      <x:c r="W588" s="0"/>
      <x:c r="X588" t="str" s="2">
        <x:v>4642215819</x:v>
      </x:c>
      <x:c r="Y588" t="str" s="2">
        <x:v>tarkeshat400@gmail.com</x:v>
      </x:c>
      <x:c r="Z588" s="0"/>
      <x:c r="AA588" s="0"/>
      <x:c r="AB588" s="6">
        <x:v>46239.773425231484</x:v>
      </x:c>
      <x:c r="AC588" t="n" s="2">
        <x:v>38961</x:v>
      </x:c>
      <x:c r="AD588" s="0"/>
      <x:c r="AE588" s="0"/>
      <x:c r="AF588" s="0"/>
      <x:c r="AG588" s="0"/>
      <x:c r="AH588" s="0"/>
      <x:c r="AI588" s="0"/>
      <x:c r="AJ588" s="0"/>
      <x:c r="AK588" s="0"/>
    </x:row>
    <x:row r="589">
      <x:c r="A589" t="str" s="2">
        <x:f>=HYPERLINK("https://rsms.futurehomex.com/lead/38964", "Andrew Carpenter")</x:f>
      </x:c>
      <x:c r="B589" t="n" s="2">
        <x:v>69</x:v>
      </x:c>
      <x:c r="C589" t="str" s="2">
        <x:v>2/6</x:v>
      </x:c>
      <x:c r="D589" t="str" s="2">
        <x:f>=""</x:f>
      </x:c>
      <x:c r="E589" s="0"/>
      <x:c r="F589" t="str" s="2">
        <x:v>Meta Marketplace</x:v>
      </x:c>
      <x:c r="G589" t="str" s="2">
        <x:v>Heritage Housing of Asheboro</x:v>
      </x:c>
      <x:c r="H589" t="str" s="2">
        <x:v>Maria Lopez</x:v>
      </x:c>
      <x:c r="I589" t="str" s="2">
        <x:v>Karol Romero</x:v>
      </x:c>
      <x:c r="J589" t="str" s="2">
        <x:v>Maria Lopez</x:v>
      </x:c>
      <x:c r="K589" t="n" s="2">
        <x:v>100</x:v>
      </x:c>
      <x:c r="L589" t="str" s="2">
        <x:v>6.2</x:v>
      </x:c>
      <x:c r="M589" t="str" s="2">
        <x:v>Closed</x:v>
      </x:c>
      <x:c r="N589" t="str" s="2">
        <x:v>Delivered</x:v>
      </x:c>
      <x:c r="O589" s="6">
        <x:v>46270</x:v>
      </x:c>
      <x:c r="P589" s="6">
        <x:v>46239</x:v>
      </x:c>
      <x:c r="Q589" s="6">
        <x:v>46295.69328950231</x:v>
      </x:c>
      <x:c r="R589" s="0"/>
      <x:c r="S589" s="6">
        <x:v>46239</x:v>
      </x:c>
      <x:c r="T589" s="0"/>
      <x:c r="U589" s="6">
        <x:v>46244</x:v>
      </x:c>
      <x:c r="V589" s="6">
        <x:v>46244</x:v>
      </x:c>
      <x:c r="W589" s="6">
        <x:v>46293</x:v>
      </x:c>
      <x:c r="X589" t="str" s="2">
        <x:v>3369085744</x:v>
      </x:c>
      <x:c r="Y589" t="str" s="2">
        <x:v>adcarpenter1996@gmail.com</x:v>
      </x:c>
      <x:c r="Z589" s="6">
        <x:v>46286.566434375</x:v>
      </x:c>
      <x:c r="AA589" t="str" s="2">
        <x:v>Dane Lara</x:v>
      </x:c>
      <x:c r="AB589" s="6">
        <x:v>46239.86361623843</x:v>
      </x:c>
      <x:c r="AC589" t="n" s="2">
        <x:v>38964</x:v>
      </x:c>
      <x:c r="AD589" t="str" s="2">
        <x:v>Singlewide</x:v>
      </x:c>
      <x:c r="AE589" t="str" s="2">
        <x:v>Legacy Housing Corporation</x:v>
      </x:c>
      <x:c r="AF589" s="7">
        <x:v>30000</x:v>
      </x:c>
      <x:c r="AG589" s="7">
        <x:v>30000</x:v>
      </x:c>
      <x:c r="AH589" s="0"/>
      <x:c r="AI589" s="0"/>
      <x:c r="AJ589" s="0"/>
      <x:c r="AK589" s="0"/>
    </x:row>
    <x:row r="590">
      <x:c r="A590" t="str" s="2">
        <x:f>=HYPERLINK("https://rsms.futurehomex.com/lead/38966", "Juanita Council")</x:f>
      </x:c>
      <x:c r="B590" t="n" s="2">
        <x:v>69</x:v>
      </x:c>
      <x:c r="C590" t="str" s="2">
        <x:v/>
      </x:c>
      <x:c r="D590" t="str" s="2">
        <x:f>=""</x:f>
      </x:c>
      <x:c r="E590" s="0"/>
      <x:c r="F590" t="str" s="2">
        <x:v>Landing_BPM</x:v>
      </x:c>
      <x:c r="G590" t="str" s="2">
        <x:v>Legacy Housing Corp. DBA Americasa</x:v>
      </x:c>
      <x:c r="H590" t="str" s="2">
        <x:v>Jose Parada</x:v>
      </x:c>
      <x:c r="I590" t="str" s="2">
        <x:v>Karol Romero</x:v>
      </x:c>
      <x:c r="J590" s="0"/>
      <x:c r="K590" t="n" s="2">
        <x:v>5</x:v>
      </x:c>
      <x:c r="L590" t="str" s="2">
        <x:v>1.1</x:v>
      </x:c>
      <x:c r="M590" t="str" s="2">
        <x:v>Tentative</x:v>
      </x:c>
      <x:c r="N590" t="str" s="2">
        <x:v>Prospect</x:v>
      </x:c>
      <x:c r="O590" s="0"/>
      <x:c r="P590" s="6">
        <x:v>46239</x:v>
      </x:c>
      <x:c r="Q590" s="6">
        <x:v>46239.898925891204</x:v>
      </x:c>
      <x:c r="R590" s="0"/>
      <x:c r="S590" s="0"/>
      <x:c r="T590" s="0"/>
      <x:c r="U590" s="0"/>
      <x:c r="V590" s="0"/>
      <x:c r="W590" s="0"/>
      <x:c r="X590" t="str" s="2">
        <x:v>3462069482</x:v>
      </x:c>
      <x:c r="Y590" t="str" s="2">
        <x:v>Juaajuaa03@gmail.com</x:v>
      </x:c>
      <x:c r="Z590" s="6">
        <x:v>46239.89907083334</x:v>
      </x:c>
      <x:c r="AA590" t="str" s="2">
        <x:v>Rodrigo Ramirez</x:v>
      </x:c>
      <x:c r="AB590" s="6">
        <x:v>46239.89892769676</x:v>
      </x:c>
      <x:c r="AC590" t="n" s="2">
        <x:v>38966</x:v>
      </x:c>
      <x:c r="AD590" s="0"/>
      <x:c r="AE590" s="0"/>
      <x:c r="AF590" s="0"/>
      <x:c r="AG590" s="0"/>
      <x:c r="AH590" s="0"/>
      <x:c r="AI590" s="0"/>
      <x:c r="AJ590" s="0"/>
      <x:c r="AK590" s="0"/>
    </x:row>
    <x:row r="591">
      <x:c r="A591" t="str" s="2">
        <x:f>=HYPERLINK("https://rsms.futurehomex.com/lead/38967", "Hector Hernandez")</x:f>
      </x:c>
      <x:c r="B591" t="n" s="2">
        <x:v>69</x:v>
      </x:c>
      <x:c r="C591" t="str" s="2">
        <x:v/>
      </x:c>
      <x:c r="D591" t="str" s="2">
        <x:f>=""</x:f>
      </x:c>
      <x:c r="E591" s="0"/>
      <x:c r="F591" t="str" s="2">
        <x:v>Google Ads</x:v>
      </x:c>
      <x:c r="G591" t="str" s="2">
        <x:v>Legacy Housing Corp. DBA Americasa</x:v>
      </x:c>
      <x:c r="H591" t="str" s="2">
        <x:v>Rodrigo Ramirez</x:v>
      </x:c>
      <x:c r="I591" t="str" s="2">
        <x:v>Karol Romero</x:v>
      </x:c>
      <x:c r="J591" s="0"/>
      <x:c r="K591" t="n" s="2">
        <x:v>5</x:v>
      </x:c>
      <x:c r="L591" t="str" s="2">
        <x:v>1.1</x:v>
      </x:c>
      <x:c r="M591" t="str" s="2">
        <x:v>Dead</x:v>
      </x:c>
      <x:c r="N591" t="str" s="2">
        <x:v>Prospect</x:v>
      </x:c>
      <x:c r="O591" s="0"/>
      <x:c r="P591" s="6">
        <x:v>46239</x:v>
      </x:c>
      <x:c r="Q591" s="6">
        <x:v>46239.902106712965</x:v>
      </x:c>
      <x:c r="R591" s="0"/>
      <x:c r="S591" s="0"/>
      <x:c r="T591" s="0"/>
      <x:c r="U591" s="0"/>
      <x:c r="V591" s="0"/>
      <x:c r="W591" s="0"/>
      <x:c r="X591" t="str" s="2">
        <x:v>3467685887</x:v>
      </x:c>
      <x:c r="Y591" t="str" s="2">
        <x:v>73hhernandez73@gmail.com</x:v>
      </x:c>
      <x:c r="Z591" s="6">
        <x:v>46239.915421875</x:v>
      </x:c>
      <x:c r="AA591" t="str" s="2">
        <x:v>Rodrigo Ramirez</x:v>
      </x:c>
      <x:c r="AB591" s="6">
        <x:v>46239.90210771991</x:v>
      </x:c>
      <x:c r="AC591" t="n" s="2">
        <x:v>38967</x:v>
      </x:c>
      <x:c r="AD591" s="0"/>
      <x:c r="AE591" s="0"/>
      <x:c r="AF591" s="0"/>
      <x:c r="AG591" s="0"/>
      <x:c r="AH591" s="0"/>
      <x:c r="AI591" s="0"/>
      <x:c r="AJ591" s="0"/>
      <x:c r="AK591" s="0"/>
    </x:row>
    <x:row r="592">
      <x:c r="A592" t="str" s="2">
        <x:f>=HYPERLINK("https://rsms.futurehomex.com/lead/38969", "Christopher Sloan")</x:f>
      </x:c>
      <x:c r="B592" t="n" s="2">
        <x:v>69</x:v>
      </x:c>
      <x:c r="C592" t="str" s="2">
        <x:v/>
      </x:c>
      <x:c r="D592" t="str" s="2">
        <x:f>=""</x:f>
      </x:c>
      <x:c r="E592" s="0"/>
      <x:c r="F592" t="str" s="2">
        <x:v>Landing_BPM</x:v>
      </x:c>
      <x:c r="G592" t="str" s="2">
        <x:v>Heritage Housing of Canton</x:v>
      </x:c>
      <x:c r="H592" t="str" s="2">
        <x:v>Jacob Hatten</x:v>
      </x:c>
      <x:c r="I592" s="0"/>
      <x:c r="J592" t="str" s="2">
        <x:v>Jacob Hatten</x:v>
      </x:c>
      <x:c r="K592" t="n" s="2">
        <x:v>5</x:v>
      </x:c>
      <x:c r="L592" t="str" s="2">
        <x:v>1.1</x:v>
      </x:c>
      <x:c r="M592" t="str" s="2">
        <x:v>Tentative</x:v>
      </x:c>
      <x:c r="N592" t="str" s="2">
        <x:v>Deal Created</x:v>
      </x:c>
      <x:c r="O592" s="0"/>
      <x:c r="P592" s="6">
        <x:v>46239</x:v>
      </x:c>
      <x:c r="Q592" s="6">
        <x:v>46239.92176362268</x:v>
      </x:c>
      <x:c r="R592" s="0"/>
      <x:c r="S592" s="0"/>
      <x:c r="T592" s="0"/>
      <x:c r="U592" s="0"/>
      <x:c r="V592" s="0"/>
      <x:c r="W592" s="0"/>
      <x:c r="X592" t="str" s="2">
        <x:v>4696501046</x:v>
      </x:c>
      <x:c r="Y592" t="str" s="2">
        <x:v>c.pauldloan@gmail.com</x:v>
      </x:c>
      <x:c r="Z592" s="0"/>
      <x:c r="AA592" s="0"/>
      <x:c r="AB592" s="6">
        <x:v>46239.921764039354</x:v>
      </x:c>
      <x:c r="AC592" t="n" s="2">
        <x:v>38969</x:v>
      </x:c>
      <x:c r="AD592" s="0"/>
      <x:c r="AE592" s="0"/>
      <x:c r="AF592" s="0"/>
      <x:c r="AG592" s="0"/>
      <x:c r="AH592" s="0"/>
      <x:c r="AI592" s="0"/>
      <x:c r="AJ592" s="0"/>
      <x:c r="AK592" s="0"/>
    </x:row>
    <x:row r="593">
      <x:c r="A593" t="str" s="2">
        <x:f>=HYPERLINK("https://rsms.futurehomex.com/lead/38970", "Jessica Samford")</x:f>
      </x:c>
      <x:c r="B593" t="n" s="2">
        <x:v>69</x:v>
      </x:c>
      <x:c r="C593" t="str" s="2">
        <x:v>0/1</x:v>
      </x:c>
      <x:c r="D593" t="str" s="2">
        <x:f>=""</x:f>
      </x:c>
      <x:c r="E593" s="0"/>
      <x:c r="F593" t="str" s="2">
        <x:v>Google Ads</x:v>
      </x:c>
      <x:c r="G593" t="str" s="2">
        <x:v>Heritage Housing of Minden</x:v>
      </x:c>
      <x:c r="H593" t="str" s="2">
        <x:v>Patrick Schuchart</x:v>
      </x:c>
      <x:c r="I593" t="str" s="2">
        <x:v>Karol Romero</x:v>
      </x:c>
      <x:c r="J593" t="str" s="2">
        <x:v>Patrick Schuchart</x:v>
      </x:c>
      <x:c r="K593" t="n" s="2">
        <x:v>5</x:v>
      </x:c>
      <x:c r="L593" t="str" s="2">
        <x:v>1.1</x:v>
      </x:c>
      <x:c r="M593" t="str" s="2">
        <x:v>Tentative</x:v>
      </x:c>
      <x:c r="N593" t="str" s="2">
        <x:v>Deal Created</x:v>
      </x:c>
      <x:c r="O593" s="0"/>
      <x:c r="P593" s="6">
        <x:v>46239</x:v>
      </x:c>
      <x:c r="Q593" s="6">
        <x:v>46242.665168287036</x:v>
      </x:c>
      <x:c r="R593" s="0"/>
      <x:c r="S593" s="0"/>
      <x:c r="T593" s="0"/>
      <x:c r="U593" s="0"/>
      <x:c r="V593" s="0"/>
      <x:c r="W593" s="0"/>
      <x:c r="X593" t="str" s="2">
        <x:v>3185781111</x:v>
      </x:c>
      <x:c r="Y593" t="str" s="2">
        <x:v>JSanford1949.jas@gmail.com</x:v>
      </x:c>
      <x:c r="Z593" s="6">
        <x:v>46294.88506114583</x:v>
      </x:c>
      <x:c r="AA593" t="str" s="2">
        <x:v>Kyla Brown</x:v>
      </x:c>
      <x:c r="AB593" s="6">
        <x:v>46239.92861724537</x:v>
      </x:c>
      <x:c r="AC593" t="n" s="2">
        <x:v>38970</x:v>
      </x:c>
      <x:c r="AD593" s="0"/>
      <x:c r="AE593" s="0"/>
      <x:c r="AF593" s="0"/>
      <x:c r="AG593" s="0"/>
      <x:c r="AH593" s="0"/>
      <x:c r="AI593" s="0"/>
      <x:c r="AJ593" s="0"/>
      <x:c r="AK593" s="0"/>
    </x:row>
    <x:row r="594">
      <x:c r="A594" t="str" s="2">
        <x:f>=HYPERLINK("https://rsms.futurehomex.com/lead/38972", "Al-Talaha Stewart")</x:f>
      </x:c>
      <x:c r="B594" t="n" s="2">
        <x:v>68</x:v>
      </x:c>
      <x:c r="C594" t="str" s="2">
        <x:v/>
      </x:c>
      <x:c r="D594" t="str" s="2">
        <x:f>=""</x:f>
      </x:c>
      <x:c r="E594" t="str" s="2">
        <x:v>Antoine Stewart</x:v>
      </x:c>
      <x:c r="F594" t="str" s="2">
        <x:v>Landing_BPM</x:v>
      </x:c>
      <x:c r="G594" t="str" s="2">
        <x:v>Heritage Housing of Augusta</x:v>
      </x:c>
      <x:c r="H594" t="str" s="2">
        <x:v>Alex Jones</x:v>
      </x:c>
      <x:c r="I594" t="str" s="2">
        <x:v>Karol Romero</x:v>
      </x:c>
      <x:c r="J594" t="str" s="2">
        <x:v>Alex Jones</x:v>
      </x:c>
      <x:c r="K594" t="n" s="2">
        <x:v>9</x:v>
      </x:c>
      <x:c r="L594" t="str" s="2">
        <x:v>1.2</x:v>
      </x:c>
      <x:c r="M594" t="str" s="2">
        <x:v>Dead</x:v>
      </x:c>
      <x:c r="N594" t="str" s="2">
        <x:v>Prospect</x:v>
      </x:c>
      <x:c r="O594" s="0"/>
      <x:c r="P594" s="6">
        <x:v>46240</x:v>
      </x:c>
      <x:c r="Q594" s="6">
        <x:v>46260.62278668981</x:v>
      </x:c>
      <x:c r="R594" s="0"/>
      <x:c r="S594" s="0"/>
      <x:c r="T594" s="0"/>
      <x:c r="U594" s="0"/>
      <x:c r="V594" s="0"/>
      <x:c r="W594" s="0"/>
      <x:c r="X594" t="str" s="2">
        <x:v>7627721583</x:v>
      </x:c>
      <x:c r="Y594" t="str" s="2">
        <x:v>sassytallie89@yahoo.com</x:v>
      </x:c>
      <x:c r="Z594" s="6">
        <x:v>46259.9259334838</x:v>
      </x:c>
      <x:c r="AA594" t="str" s="2">
        <x:v>Alex Jones</x:v>
      </x:c>
      <x:c r="AB594" s="6">
        <x:v>46252.68633611111</x:v>
      </x:c>
      <x:c r="AC594" t="n" s="2">
        <x:v>38972</x:v>
      </x:c>
      <x:c r="AD594" s="0"/>
      <x:c r="AE594" s="0"/>
      <x:c r="AF594" s="0"/>
      <x:c r="AG594" s="7">
        <x:v>10000</x:v>
      </x:c>
      <x:c r="AH594" s="0"/>
      <x:c r="AI594" t="str" s="2">
        <x:v>465</x:v>
      </x:c>
      <x:c r="AJ594" s="0"/>
      <x:c r="AK594" s="0"/>
    </x:row>
    <x:row r="595">
      <x:c r="A595" t="str" s="2">
        <x:f>=HYPERLINK("https://rsms.futurehomex.com/lead/38973", "Antoine Stewart")</x:f>
      </x:c>
      <x:c r="B595" t="n" s="2">
        <x:v>68</x:v>
      </x:c>
      <x:c r="C595" t="str" s="2">
        <x:v/>
      </x:c>
      <x:c r="D595" t="str" s="2">
        <x:f>=""</x:f>
      </x:c>
      <x:c r="E595" s="0"/>
      <x:c r="F595" t="str" s="2">
        <x:v>Landing_BPM</x:v>
      </x:c>
      <x:c r="G595" t="str" s="2">
        <x:v>Heritage Housing of Athens</x:v>
      </x:c>
      <x:c r="H595" t="str" s="2">
        <x:v>Nathan Bishop</x:v>
      </x:c>
      <x:c r="I595" s="0"/>
      <x:c r="J595" s="0"/>
      <x:c r="K595" t="n" s="2">
        <x:v>21</x:v>
      </x:c>
      <x:c r="L595" t="str" s="2">
        <x:v>2.1</x:v>
      </x:c>
      <x:c r="M595" t="str" s="2">
        <x:v>Tentative</x:v>
      </x:c>
      <x:c r="N595" t="str" s="2">
        <x:v>Qualified</x:v>
      </x:c>
      <x:c r="O595" s="0"/>
      <x:c r="P595" s="6">
        <x:v>46240</x:v>
      </x:c>
      <x:c r="Q595" s="6">
        <x:v>46240.66468819445</x:v>
      </x:c>
      <x:c r="R595" s="0"/>
      <x:c r="S595" s="6">
        <x:v>46240</x:v>
      </x:c>
      <x:c r="T595" s="0"/>
      <x:c r="U595" s="0"/>
      <x:c r="V595" s="0"/>
      <x:c r="W595" s="0"/>
      <x:c r="X595" t="str" s="2">
        <x:v>7627721574</x:v>
      </x:c>
      <x:c r="Y595" t="str" s="2">
        <x:v>Antstewart73@gmail.com</x:v>
      </x:c>
      <x:c r="Z595" s="6">
        <x:v>46240.664674340274</x:v>
      </x:c>
      <x:c r="AA595" t="str" s="2">
        <x:v>Brian Amato</x:v>
      </x:c>
      <x:c r="AB595" s="6">
        <x:v>46240.66312106481</x:v>
      </x:c>
      <x:c r="AC595" t="n" s="2">
        <x:v>38973</x:v>
      </x:c>
      <x:c r="AD595" s="0"/>
      <x:c r="AE595" s="0"/>
      <x:c r="AF595" s="0"/>
      <x:c r="AG595" s="0"/>
      <x:c r="AH595" s="0"/>
      <x:c r="AI595" s="0"/>
      <x:c r="AJ595" s="0"/>
      <x:c r="AK595" s="0"/>
    </x:row>
    <x:row r="596">
      <x:c r="A596" t="str" s="2">
        <x:f>=HYPERLINK("https://rsms.futurehomex.com/lead/38976", "Kaylin Jones")</x:f>
      </x:c>
      <x:c r="B596" t="n" s="2">
        <x:v>68</x:v>
      </x:c>
      <x:c r="C596" t="str" s="2">
        <x:v/>
      </x:c>
      <x:c r="D596" t="str" s="2">
        <x:f>=""</x:f>
      </x:c>
      <x:c r="E596" s="0"/>
      <x:c r="F596" t="str" s="2">
        <x:v>Financing Form</x:v>
      </x:c>
      <x:c r="G596" t="str" s="2">
        <x:v>Heritage Housing of Jennings</x:v>
      </x:c>
      <x:c r="H596" t="str" s="2">
        <x:v>Mervin Leslie Smith</x:v>
      </x:c>
      <x:c r="I596" s="0"/>
      <x:c r="J596" t="str" s="2">
        <x:v>Mervin Leslie Smith</x:v>
      </x:c>
      <x:c r="K596" t="n" s="2">
        <x:v>5</x:v>
      </x:c>
      <x:c r="L596" t="str" s="2">
        <x:v>1.1</x:v>
      </x:c>
      <x:c r="M596" t="str" s="2">
        <x:v>Dead</x:v>
      </x:c>
      <x:c r="N596" t="str" s="2">
        <x:v>Deal Created</x:v>
      </x:c>
      <x:c r="O596" s="0"/>
      <x:c r="P596" s="6">
        <x:v>46240</x:v>
      </x:c>
      <x:c r="Q596" s="6">
        <x:v>46240.72600732639</x:v>
      </x:c>
      <x:c r="R596" s="0"/>
      <x:c r="S596" s="0"/>
      <x:c r="T596" s="0"/>
      <x:c r="U596" s="0"/>
      <x:c r="V596" s="0"/>
      <x:c r="W596" s="0"/>
      <x:c r="X596" t="str" s="2">
        <x:v>3373498202</x:v>
      </x:c>
      <x:c r="Y596" t="str" s="2">
        <x:v>kaylinjones2005@yahoo.com</x:v>
      </x:c>
      <x:c r="Z596" s="6">
        <x:v>46240.730905902776</x:v>
      </x:c>
      <x:c r="AA596" t="str" s="2">
        <x:v>Mervin Leslie Smith</x:v>
      </x:c>
      <x:c r="AB596" s="6">
        <x:v>46240.72600945602</x:v>
      </x:c>
      <x:c r="AC596" t="n" s="2">
        <x:v>38976</x:v>
      </x:c>
      <x:c r="AD596" s="0"/>
      <x:c r="AE596" s="0"/>
      <x:c r="AF596" s="0"/>
      <x:c r="AG596" s="0"/>
      <x:c r="AH596" s="0"/>
      <x:c r="AI596" s="0"/>
      <x:c r="AJ596" s="0"/>
      <x:c r="AK596" s="0"/>
    </x:row>
    <x:row r="597">
      <x:c r="A597" t="str" s="2">
        <x:f>=HYPERLINK("https://rsms.futurehomex.com/lead/38977", "Joseph Winke")</x:f>
      </x:c>
      <x:c r="B597" t="n" s="2">
        <x:v>68</x:v>
      </x:c>
      <x:c r="C597" t="str" s="2">
        <x:v>0/1</x:v>
      </x:c>
      <x:c r="D597" t="str" s="2">
        <x:f>=""</x:f>
      </x:c>
      <x:c r="E597" s="0"/>
      <x:c r="F597" t="str" s="2">
        <x:v>Walk-in</x:v>
      </x:c>
      <x:c r="G597" t="str" s="2">
        <x:v>Heritage Housing of Oklahoma City</x:v>
      </x:c>
      <x:c r="H597" t="str" s="2">
        <x:v>Trey Rixleben</x:v>
      </x:c>
      <x:c r="I597" t="str" s="2">
        <x:v>Karol Romero</x:v>
      </x:c>
      <x:c r="J597" t="str" s="2">
        <x:v>Trey Rixleben</x:v>
      </x:c>
      <x:c r="K597" t="n" s="2">
        <x:v>5</x:v>
      </x:c>
      <x:c r="L597" t="str" s="2">
        <x:v>1.1</x:v>
      </x:c>
      <x:c r="M597" t="str" s="2">
        <x:v>Inactive</x:v>
      </x:c>
      <x:c r="N597" t="str" s="2">
        <x:v>Deal Created</x:v>
      </x:c>
      <x:c r="O597" s="0"/>
      <x:c r="P597" s="6">
        <x:v>46240</x:v>
      </x:c>
      <x:c r="Q597" s="6">
        <x:v>46261.85600821759</x:v>
      </x:c>
      <x:c r="R597" s="0"/>
      <x:c r="S597" s="0"/>
      <x:c r="T597" s="0"/>
      <x:c r="U597" s="0"/>
      <x:c r="V597" s="0"/>
      <x:c r="W597" s="0"/>
      <x:c r="X597" t="str" s="2">
        <x:v>4057063060</x:v>
      </x:c>
      <x:c r="Y597" t="str" s="2">
        <x:v>joseph.winke@yahoo.com</x:v>
      </x:c>
      <x:c r="Z597" s="6">
        <x:v>46261.85622230324</x:v>
      </x:c>
      <x:c r="AA597" t="str" s="2">
        <x:v>Trey Rixleben</x:v>
      </x:c>
      <x:c r="AB597" s="6">
        <x:v>46240.781089351854</x:v>
      </x:c>
      <x:c r="AC597" t="n" s="2">
        <x:v>38977</x:v>
      </x:c>
      <x:c r="AD597" s="0"/>
      <x:c r="AE597" s="0"/>
      <x:c r="AF597" s="0"/>
      <x:c r="AG597" s="0"/>
      <x:c r="AH597" s="0"/>
      <x:c r="AI597" s="0"/>
      <x:c r="AJ597" s="0"/>
      <x:c r="AK597" s="0"/>
    </x:row>
    <x:row r="598">
      <x:c r="A598" t="str" s="2">
        <x:f>=HYPERLINK("https://rsms.futurehomex.com/lead/38978", "Jose Vergara")</x:f>
      </x:c>
      <x:c r="B598" t="n" s="2">
        <x:v>68</x:v>
      </x:c>
      <x:c r="C598" t="str" s="2">
        <x:v>0/1</x:v>
      </x:c>
      <x:c r="D598" t="str" s="2">
        <x:f>=""</x:f>
      </x:c>
      <x:c r="E598" s="0"/>
      <x:c r="F598" t="str" s="2">
        <x:v>Landing_BPM</x:v>
      </x:c>
      <x:c r="G598" t="str" s="2">
        <x:v>Legacy Housing Corp. DBA Americasa</x:v>
      </x:c>
      <x:c r="H598" t="str" s="2">
        <x:v>Jose Parada</x:v>
      </x:c>
      <x:c r="I598" t="str" s="2">
        <x:v>Karol Romero</x:v>
      </x:c>
      <x:c r="J598" s="0"/>
      <x:c r="K598" t="n" s="2">
        <x:v>5</x:v>
      </x:c>
      <x:c r="L598" t="str" s="2">
        <x:v>1.1</x:v>
      </x:c>
      <x:c r="M598" t="str" s="2">
        <x:v>Tentative</x:v>
      </x:c>
      <x:c r="N598" t="str" s="2">
        <x:v>Prospect</x:v>
      </x:c>
      <x:c r="O598" s="0"/>
      <x:c r="P598" s="6">
        <x:v>46240</x:v>
      </x:c>
      <x:c r="Q598" s="6">
        <x:v>46240.78749116898</x:v>
      </x:c>
      <x:c r="R598" s="0"/>
      <x:c r="S598" s="0"/>
      <x:c r="T598" s="0"/>
      <x:c r="U598" s="0"/>
      <x:c r="V598" s="0"/>
      <x:c r="W598" s="0"/>
      <x:c r="X598" t="str" s="2">
        <x:v>8327554444</x:v>
      </x:c>
      <x:c r="Y598" t="str" s="2">
        <x:v>beroma3@yahoo.com</x:v>
      </x:c>
      <x:c r="Z598" s="6">
        <x:v>46241.865350266205</x:v>
      </x:c>
      <x:c r="AA598" t="str" s="2">
        <x:v>Victoria Sanchez</x:v>
      </x:c>
      <x:c r="AB598" s="6">
        <x:v>46240.78749221065</x:v>
      </x:c>
      <x:c r="AC598" t="n" s="2">
        <x:v>38978</x:v>
      </x:c>
      <x:c r="AD598" s="0"/>
      <x:c r="AE598" s="0"/>
      <x:c r="AF598" s="0"/>
      <x:c r="AG598" s="0"/>
      <x:c r="AH598" s="0"/>
      <x:c r="AI598" s="0"/>
      <x:c r="AJ598" s="0"/>
      <x:c r="AK598" s="0"/>
    </x:row>
    <x:row r="599">
      <x:c r="A599" t="str" s="2">
        <x:f>=HYPERLINK("https://rsms.futurehomex.com/lead/38979", "Monty Hilliard")</x:f>
      </x:c>
      <x:c r="B599" t="n" s="2">
        <x:v>68</x:v>
      </x:c>
      <x:c r="C599" t="str" s="2">
        <x:v>0/1</x:v>
      </x:c>
      <x:c r="D599" t="str" s="2">
        <x:f>=""</x:f>
      </x:c>
      <x:c r="E599" s="0"/>
      <x:c r="F599" t="str" s="2">
        <x:v>Walk-in</x:v>
      </x:c>
      <x:c r="G599" t="str" s="2">
        <x:v>Heritage Housing of Oklahoma City</x:v>
      </x:c>
      <x:c r="H599" t="str" s="2">
        <x:v>Trey Rixleben</x:v>
      </x:c>
      <x:c r="I599" t="str" s="2">
        <x:v>Karol Romero</x:v>
      </x:c>
      <x:c r="J599" t="str" s="2">
        <x:v>Trey Rixleben</x:v>
      </x:c>
      <x:c r="K599" t="n" s="2">
        <x:v>5</x:v>
      </x:c>
      <x:c r="L599" t="str" s="2">
        <x:v>1.1</x:v>
      </x:c>
      <x:c r="M599" t="str" s="2">
        <x:v>Dead</x:v>
      </x:c>
      <x:c r="N599" t="str" s="2">
        <x:v>Deal Created</x:v>
      </x:c>
      <x:c r="O599" s="0"/>
      <x:c r="P599" s="6">
        <x:v>46240</x:v>
      </x:c>
      <x:c r="Q599" s="6">
        <x:v>46240.815522881945</x:v>
      </x:c>
      <x:c r="R599" s="0"/>
      <x:c r="S599" s="0"/>
      <x:c r="T599" s="0"/>
      <x:c r="U599" s="0"/>
      <x:c r="V599" s="0"/>
      <x:c r="W599" s="0"/>
      <x:c r="X599" t="str" s="2">
        <x:v>9403904826</x:v>
      </x:c>
      <x:c r="Y599" t="str" s="2">
        <x:v>9403904826</x:v>
      </x:c>
      <x:c r="Z599" s="6">
        <x:v>46267.97940640046</x:v>
      </x:c>
      <x:c r="AA599" t="str" s="2">
        <x:v>Trey Rixleben</x:v>
      </x:c>
      <x:c r="AB599" s="6">
        <x:v>46240.815524224534</x:v>
      </x:c>
      <x:c r="AC599" t="n" s="2">
        <x:v>38979</x:v>
      </x:c>
      <x:c r="AD599" s="0"/>
      <x:c r="AE599" s="0"/>
      <x:c r="AF599" s="0"/>
      <x:c r="AG599" s="0"/>
      <x:c r="AH599" s="0"/>
      <x:c r="AI599" s="0"/>
      <x:c r="AJ599" s="0"/>
      <x:c r="AK599" s="0"/>
    </x:row>
    <x:row r="600">
      <x:c r="A600" t="str" s="2">
        <x:f>=HYPERLINK("https://rsms.futurehomex.com/lead/38980", "Rickayla Thomas")</x:f>
      </x:c>
      <x:c r="B600" t="n" s="2">
        <x:v>68</x:v>
      </x:c>
      <x:c r="C600" t="str" s="2">
        <x:v>1/4</x:v>
      </x:c>
      <x:c r="D600" t="str" s="2">
        <x:f>=""</x:f>
      </x:c>
      <x:c r="E600" s="0"/>
      <x:c r="F600" t="str" s="2">
        <x:v>Financing Form</x:v>
      </x:c>
      <x:c r="G600" t="str" s="2">
        <x:v>Heritage Housing of Jennings</x:v>
      </x:c>
      <x:c r="H600" t="str" s="2">
        <x:v>Clint O'Neal</x:v>
      </x:c>
      <x:c r="I600" s="0"/>
      <x:c r="J600" t="str" s="2">
        <x:v>Clint O'Neal</x:v>
      </x:c>
      <x:c r="K600" t="n" s="2">
        <x:v>5</x:v>
      </x:c>
      <x:c r="L600" t="str" s="2">
        <x:v>1.1</x:v>
      </x:c>
      <x:c r="M600" t="str" s="2">
        <x:v>Tentative</x:v>
      </x:c>
      <x:c r="N600" t="str" s="2">
        <x:v>Deal Created</x:v>
      </x:c>
      <x:c r="O600" s="0"/>
      <x:c r="P600" s="6">
        <x:v>46240</x:v>
      </x:c>
      <x:c r="Q600" s="6">
        <x:v>46240.84705679398</x:v>
      </x:c>
      <x:c r="R600" s="0"/>
      <x:c r="S600" s="0"/>
      <x:c r="T600" s="0"/>
      <x:c r="U600" s="0"/>
      <x:c r="V600" s="0"/>
      <x:c r="W600" s="0"/>
      <x:c r="X600" t="str" s="2">
        <x:v>2254601825</x:v>
      </x:c>
      <x:c r="Y600" t="str" s="2">
        <x:v>thomasrickayla9@gmail.com</x:v>
      </x:c>
      <x:c r="Z600" s="6">
        <x:v>46267.63682013889</x:v>
      </x:c>
      <x:c r="AA600" t="str" s="2">
        <x:v>Clint O'Neal</x:v>
      </x:c>
      <x:c r="AB600" s="6">
        <x:v>46240.84705740741</x:v>
      </x:c>
      <x:c r="AC600" t="n" s="2">
        <x:v>38980</x:v>
      </x:c>
      <x:c r="AD600" s="0"/>
      <x:c r="AE600" s="0"/>
      <x:c r="AF600" s="0"/>
      <x:c r="AG600" s="0"/>
      <x:c r="AH600" s="0"/>
      <x:c r="AI600" s="0"/>
      <x:c r="AJ600" s="0"/>
      <x:c r="AK600" s="0"/>
    </x:row>
    <x:row r="601">
      <x:c r="A601" t="str" s="2">
        <x:f>=HYPERLINK("https://rsms.futurehomex.com/lead/38981", "Antoine Stewart")</x:f>
      </x:c>
      <x:c r="B601" t="n" s="2">
        <x:v>68</x:v>
      </x:c>
      <x:c r="C601" t="str" s="2">
        <x:v/>
      </x:c>
      <x:c r="D601" t="str" s="2">
        <x:f>=""</x:f>
      </x:c>
      <x:c r="E601" s="0"/>
      <x:c r="F601" t="str" s="2">
        <x:v>Landing_BPM</x:v>
      </x:c>
      <x:c r="G601" t="str" s="2">
        <x:v>Heritage Housing of Augusta</x:v>
      </x:c>
      <x:c r="H601" t="str" s="2">
        <x:v>Faye Lively</x:v>
      </x:c>
      <x:c r="I601" t="str" s="2">
        <x:v>Karol Romero</x:v>
      </x:c>
      <x:c r="J601" s="0"/>
      <x:c r="K601" t="n" s="2">
        <x:v>59</x:v>
      </x:c>
      <x:c r="L601" t="str" s="2">
        <x:v>4.3</x:v>
      </x:c>
      <x:c r="M601" t="str" s="2">
        <x:v>Active</x:v>
      </x:c>
      <x:c r="N601" t="str" s="2">
        <x:v>Loan Approved</x:v>
      </x:c>
      <x:c r="O601" s="0"/>
      <x:c r="P601" s="6">
        <x:v>46240</x:v>
      </x:c>
      <x:c r="Q601" s="6">
        <x:v>46244.702579895835</x:v>
      </x:c>
      <x:c r="R601" s="0"/>
      <x:c r="S601" s="0"/>
      <x:c r="T601" s="0"/>
      <x:c r="U601" s="6">
        <x:v>46244</x:v>
      </x:c>
      <x:c r="V601" s="0"/>
      <x:c r="W601" s="0"/>
      <x:c r="X601" t="str" s="2">
        <x:v>7627721574</x:v>
      </x:c>
      <x:c r="Y601" t="str" s="2">
        <x:v>Antstewart73@gmail.com</x:v>
      </x:c>
      <x:c r="Z601" s="6">
        <x:v>46244.702879895834</x:v>
      </x:c>
      <x:c r="AA601" t="str" s="2">
        <x:v>Brian Amato</x:v>
      </x:c>
      <x:c r="AB601" s="6">
        <x:v>46240.860615543985</x:v>
      </x:c>
      <x:c r="AC601" t="n" s="2">
        <x:v>38981</x:v>
      </x:c>
      <x:c r="AD601" s="0"/>
      <x:c r="AE601" s="0"/>
      <x:c r="AF601" s="0"/>
      <x:c r="AG601" s="7">
        <x:v>5000</x:v>
      </x:c>
      <x:c r="AH601" s="0"/>
      <x:c r="AI601" s="0"/>
      <x:c r="AJ601" s="0"/>
      <x:c r="AK601" s="0"/>
    </x:row>
    <x:row r="602">
      <x:c r="A602" t="str" s="2">
        <x:f>=HYPERLINK("https://rsms.futurehomex.com/lead/38982", "Mack Myles")</x:f>
      </x:c>
      <x:c r="B602" t="n" s="2">
        <x:v>68</x:v>
      </x:c>
      <x:c r="C602" t="str" s="2">
        <x:v>0/2</x:v>
      </x:c>
      <x:c r="D602" t="str" s="2">
        <x:f>=""</x:f>
      </x:c>
      <x:c r="E602" s="0"/>
      <x:c r="F602" t="str" s="2">
        <x:v>Walk-in</x:v>
      </x:c>
      <x:c r="G602" t="str" s="2">
        <x:v>Heritage Housing of Minden</x:v>
      </x:c>
      <x:c r="H602" t="str" s="2">
        <x:v>Kyla Brown</x:v>
      </x:c>
      <x:c r="I602" t="str" s="2">
        <x:v>Karol Romero</x:v>
      </x:c>
      <x:c r="J602" t="str" s="2">
        <x:v>Kyla Brown</x:v>
      </x:c>
      <x:c r="K602" t="n" s="2">
        <x:v>40</x:v>
      </x:c>
      <x:c r="L602" t="str" s="2">
        <x:v>3.3</x:v>
      </x:c>
      <x:c r="M602" t="str" s="2">
        <x:v>Inactive</x:v>
      </x:c>
      <x:c r="N602" t="str" s="2">
        <x:v>Application</x:v>
      </x:c>
      <x:c r="O602" s="0"/>
      <x:c r="P602" s="6">
        <x:v>46240</x:v>
      </x:c>
      <x:c r="Q602" s="6">
        <x:v>46268.875150659725</x:v>
      </x:c>
      <x:c r="R602" s="0"/>
      <x:c r="S602" s="6">
        <x:v>46240</x:v>
      </x:c>
      <x:c r="T602" s="6">
        <x:v>46253</x:v>
      </x:c>
      <x:c r="U602" s="6">
        <x:v>46253</x:v>
      </x:c>
      <x:c r="V602" s="0"/>
      <x:c r="W602" s="0"/>
      <x:c r="X602" t="str" s="2">
        <x:v>3185369827</x:v>
      </x:c>
      <x:c r="Y602" t="str" s="2">
        <x:v>3185369827</x:v>
      </x:c>
      <x:c r="Z602" s="6">
        <x:v>46291.837085914354</x:v>
      </x:c>
      <x:c r="AA602" t="str" s="2">
        <x:v>Patrick Schuchart</x:v>
      </x:c>
      <x:c r="AB602" s="6">
        <x:v>46240.88163892361</x:v>
      </x:c>
      <x:c r="AC602" t="n" s="2">
        <x:v>38982</x:v>
      </x:c>
      <x:c r="AD602" t="str" s="2">
        <x:v>Doublewide</x:v>
      </x:c>
      <x:c r="AE602" s="0"/>
      <x:c r="AF602" s="7">
        <x:v>2000</x:v>
      </x:c>
      <x:c r="AG602" s="7">
        <x:v>2000</x:v>
      </x:c>
      <x:c r="AH602" s="0"/>
      <x:c r="AI602" t="str" s="2">
        <x:v>554</x:v>
      </x:c>
      <x:c r="AJ602" s="0"/>
      <x:c r="AK602" s="0"/>
    </x:row>
    <x:row r="603">
      <x:c r="A603" t="str" s="2">
        <x:f>=HYPERLINK("https://rsms.futurehomex.com/lead/38984", "James Shaughnessy")</x:f>
      </x:c>
      <x:c r="B603" t="n" s="2">
        <x:v>68</x:v>
      </x:c>
      <x:c r="C603" t="str" s="2">
        <x:v>0/5</x:v>
      </x:c>
      <x:c r="D603" t="str" s="2">
        <x:f>=""</x:f>
      </x:c>
      <x:c r="E603" s="0"/>
      <x:c r="F603" t="str" s="2">
        <x:v>Facebook Messenger</x:v>
      </x:c>
      <x:c r="G603" t="str" s="2">
        <x:v>Heritage Housing of Oklahoma City</x:v>
      </x:c>
      <x:c r="H603" t="str" s="2">
        <x:v>Trey Rixleben</x:v>
      </x:c>
      <x:c r="I603" s="0"/>
      <x:c r="J603" t="str" s="2">
        <x:v>Steve Castell</x:v>
      </x:c>
      <x:c r="K603" t="n" s="2">
        <x:v>100</x:v>
      </x:c>
      <x:c r="L603" t="str" s="2">
        <x:v>6.2</x:v>
      </x:c>
      <x:c r="M603" t="str" s="2">
        <x:v>Closed</x:v>
      </x:c>
      <x:c r="N603" t="str" s="2">
        <x:v>Delivered</x:v>
      </x:c>
      <x:c r="O603" s="6">
        <x:v>46295</x:v>
      </x:c>
      <x:c r="P603" s="6">
        <x:v>46240</x:v>
      </x:c>
      <x:c r="Q603" s="6">
        <x:v>46279.60018194444</x:v>
      </x:c>
      <x:c r="R603" t="str" s="2">
        <x:v>Steve Castell</x:v>
      </x:c>
      <x:c r="S603" s="6">
        <x:v>46240</x:v>
      </x:c>
      <x:c r="T603" s="6">
        <x:v>46260</x:v>
      </x:c>
      <x:c r="U603" s="6">
        <x:v>46261</x:v>
      </x:c>
      <x:c r="V603" s="6">
        <x:v>46261</x:v>
      </x:c>
      <x:c r="W603" s="6">
        <x:v>46280</x:v>
      </x:c>
      <x:c r="X603" t="str" s="2">
        <x:v>5802781074</x:v>
      </x:c>
      <x:c r="Y603" t="str" s="2">
        <x:v>jstennisproshop@gmail.com</x:v>
      </x:c>
      <x:c r="Z603" s="6">
        <x:v>46279.600045949075</x:v>
      </x:c>
      <x:c r="AA603" t="str" s="2">
        <x:v>Wendy Lee Lunn</x:v>
      </x:c>
      <x:c r="AB603" s="6">
        <x:v>46240.94464059028</x:v>
      </x:c>
      <x:c r="AC603" t="n" s="2">
        <x:v>38984</x:v>
      </x:c>
      <x:c r="AD603" t="str" s="2">
        <x:v>Singlewide</x:v>
      </x:c>
      <x:c r="AE603" t="str" s="2">
        <x:v>Legacy Housing Corporation</x:v>
      </x:c>
      <x:c r="AF603" s="7">
        <x:v>7100</x:v>
      </x:c>
      <x:c r="AG603" s="7">
        <x:v>7100</x:v>
      </x:c>
      <x:c r="AH603" s="0"/>
      <x:c r="AI603" t="str" s="2">
        <x:v>800</x:v>
      </x:c>
      <x:c r="AJ603" s="0"/>
      <x:c r="AK603" t="str" s="6">
        <x:v>2026-09-12</x:v>
      </x:c>
    </x:row>
    <x:row r="604">
      <x:c r="A604" t="str" s="2">
        <x:f>=HYPERLINK("https://rsms.futurehomex.com/lead/38985", "Judy Oppelt")</x:f>
      </x:c>
      <x:c r="B604" t="n" s="2">
        <x:v>68</x:v>
      </x:c>
      <x:c r="C604" t="str" s="2">
        <x:v/>
      </x:c>
      <x:c r="D604" t="str" s="2">
        <x:f>=""</x:f>
      </x:c>
      <x:c r="E604" s="0"/>
      <x:c r="F604" t="str" s="2">
        <x:v>HH - Tulsa</x:v>
      </x:c>
      <x:c r="G604" t="str" s="2">
        <x:v>Heritage Housing of Tulsa</x:v>
      </x:c>
      <x:c r="H604" t="str" s="2">
        <x:v>Derek Searcy</x:v>
      </x:c>
      <x:c r="I604" t="str" s="2">
        <x:v>Karol Romero</x:v>
      </x:c>
      <x:c r="J604" t="str" s="2">
        <x:v>Jenna Fransisco</x:v>
      </x:c>
      <x:c r="K604" t="n" s="2">
        <x:v>5</x:v>
      </x:c>
      <x:c r="L604" t="str" s="2">
        <x:v>1.1</x:v>
      </x:c>
      <x:c r="M604" t="str" s="2">
        <x:v>Active</x:v>
      </x:c>
      <x:c r="N604" t="str" s="2">
        <x:v>Deal Created</x:v>
      </x:c>
      <x:c r="O604" s="0"/>
      <x:c r="P604" s="6">
        <x:v>46240</x:v>
      </x:c>
      <x:c r="Q604" s="6">
        <x:v>46240.948767511574</x:v>
      </x:c>
      <x:c r="R604" s="0"/>
      <x:c r="S604" s="0"/>
      <x:c r="T604" s="0"/>
      <x:c r="U604" s="0"/>
      <x:c r="V604" s="0"/>
      <x:c r="W604" s="0"/>
      <x:c r="X604" t="str" s="2">
        <x:v>9189013325</x:v>
      </x:c>
      <x:c r="Y604" t="str" s="2">
        <x:v>9189013325</x:v>
      </x:c>
      <x:c r="Z604" s="6">
        <x:v>46245.921031631944</x:v>
      </x:c>
      <x:c r="AA604" t="str" s="2">
        <x:v>Brittany Cobb</x:v>
      </x:c>
      <x:c r="AB604" s="6">
        <x:v>46240.94876894676</x:v>
      </x:c>
      <x:c r="AC604" t="n" s="2">
        <x:v>38985</x:v>
      </x:c>
      <x:c r="AD604" s="0"/>
      <x:c r="AE604" s="0"/>
      <x:c r="AF604" s="0"/>
      <x:c r="AG604" s="0"/>
      <x:c r="AH604" s="0"/>
      <x:c r="AI604" s="0"/>
      <x:c r="AJ604" s="0"/>
      <x:c r="AK604" s="0"/>
    </x:row>
    <x:row r="605">
      <x:c r="A605" t="str" s="2">
        <x:f>=HYPERLINK("https://rsms.futurehomex.com/lead/38987", "Katee Morgan")</x:f>
      </x:c>
      <x:c r="B605" t="n" s="2">
        <x:v>67</x:v>
      </x:c>
      <x:c r="C605" t="str" s="2">
        <x:v/>
      </x:c>
      <x:c r="D605" t="str" s="2">
        <x:f>=""</x:f>
      </x:c>
      <x:c r="E605" s="0"/>
      <x:c r="F605" t="str" s="2">
        <x:v>Walk-in</x:v>
      </x:c>
      <x:c r="G605" t="str" s="2">
        <x:v>Heritage Housing of Albany</x:v>
      </x:c>
      <x:c r="H605" t="str" s="2">
        <x:v>Alexander Bryant</x:v>
      </x:c>
      <x:c r="I605" t="str" s="2">
        <x:v>Karol Romero</x:v>
      </x:c>
      <x:c r="J605" t="str" s="2">
        <x:v>Alexander Bryant</x:v>
      </x:c>
      <x:c r="K605" t="n" s="2">
        <x:v>5</x:v>
      </x:c>
      <x:c r="L605" t="str" s="2">
        <x:v>1.1</x:v>
      </x:c>
      <x:c r="M605" t="str" s="2">
        <x:v>Tentative</x:v>
      </x:c>
      <x:c r="N605" t="str" s="2">
        <x:v>Deal Created</x:v>
      </x:c>
      <x:c r="O605" s="0"/>
      <x:c r="P605" s="6">
        <x:v>46241</x:v>
      </x:c>
      <x:c r="Q605" s="6">
        <x:v>46282.82618318287</x:v>
      </x:c>
      <x:c r="R605" s="0"/>
      <x:c r="S605" s="0"/>
      <x:c r="T605" s="0"/>
      <x:c r="U605" s="0"/>
      <x:c r="V605" s="0"/>
      <x:c r="W605" s="0"/>
      <x:c r="X605" t="str" s="2">
        <x:v>2297265150</x:v>
      </x:c>
      <x:c r="Y605" t="str" s="2">
        <x:v>morgan_katee@yahoo.com</x:v>
      </x:c>
      <x:c r="Z605" s="0"/>
      <x:c r="AA605" s="0"/>
      <x:c r="AB605" s="6">
        <x:v>46241.610917164355</x:v>
      </x:c>
      <x:c r="AC605" t="n" s="2">
        <x:v>38987</x:v>
      </x:c>
      <x:c r="AD605" s="0"/>
      <x:c r="AE605" s="0"/>
      <x:c r="AF605" s="0"/>
      <x:c r="AG605" s="0"/>
      <x:c r="AH605" s="0"/>
      <x:c r="AI605" s="0"/>
      <x:c r="AJ605" s="0"/>
      <x:c r="AK605" s="0"/>
    </x:row>
    <x:row r="606">
      <x:c r="A606" t="str" s="2">
        <x:f>=HYPERLINK("https://rsms.futurehomex.com/lead/38989", "Virginia Rosas")</x:f>
      </x:c>
      <x:c r="B606" t="n" s="2">
        <x:v>67</x:v>
      </x:c>
      <x:c r="C606" t="str" s="2">
        <x:v/>
      </x:c>
      <x:c r="D606" t="str" s="2">
        <x:f>=""</x:f>
      </x:c>
      <x:c r="E606" s="0"/>
      <x:c r="F606" t="str" s="2">
        <x:v>Financing Form</x:v>
      </x:c>
      <x:c r="G606" t="str" s="2">
        <x:v>Heritage Housing Marble Falls</x:v>
      </x:c>
      <x:c r="H606" t="str" s="2">
        <x:v>Garrett Riedesel</x:v>
      </x:c>
      <x:c r="I606" s="0"/>
      <x:c r="J606" t="str" s="2">
        <x:v>Garrett Riedesel</x:v>
      </x:c>
      <x:c r="K606" t="n" s="2">
        <x:v>5</x:v>
      </x:c>
      <x:c r="L606" t="str" s="2">
        <x:v>1.1</x:v>
      </x:c>
      <x:c r="M606" t="str" s="2">
        <x:v>Tentative</x:v>
      </x:c>
      <x:c r="N606" t="str" s="2">
        <x:v>Prospect</x:v>
      </x:c>
      <x:c r="O606" s="0"/>
      <x:c r="P606" s="6">
        <x:v>46241</x:v>
      </x:c>
      <x:c r="Q606" s="6">
        <x:v>46241.621309953705</x:v>
      </x:c>
      <x:c r="R606" s="0"/>
      <x:c r="S606" s="0"/>
      <x:c r="T606" s="0"/>
      <x:c r="U606" s="0"/>
      <x:c r="V606" s="0"/>
      <x:c r="W606" s="0"/>
      <x:c r="X606" t="str" s="2">
        <x:v>2105377265</x:v>
      </x:c>
      <x:c r="Y606" t="str" s="2">
        <x:v>virginiarosas1407@yahoo.com</x:v>
      </x:c>
      <x:c r="Z606" s="0"/>
      <x:c r="AA606" s="0"/>
      <x:c r="AB606" s="6">
        <x:v>46241.62131033565</x:v>
      </x:c>
      <x:c r="AC606" t="n" s="2">
        <x:v>38989</x:v>
      </x:c>
      <x:c r="AD606" s="0"/>
      <x:c r="AE606" s="0"/>
      <x:c r="AF606" s="0"/>
      <x:c r="AG606" s="0"/>
      <x:c r="AH606" s="0"/>
      <x:c r="AI606" s="0"/>
      <x:c r="AJ606" s="0"/>
      <x:c r="AK606" s="0"/>
    </x:row>
    <x:row r="607">
      <x:c r="A607" t="str" s="2">
        <x:f>=HYPERLINK("https://rsms.futurehomex.com/lead/38990", "Valerie Ramirez")</x:f>
      </x:c>
      <x:c r="B607" t="n" s="2">
        <x:v>67</x:v>
      </x:c>
      <x:c r="C607" t="str" s="2">
        <x:v/>
      </x:c>
      <x:c r="D607" t="str" s="2">
        <x:f>=""</x:f>
      </x:c>
      <x:c r="E607" s="0"/>
      <x:c r="F607" t="str" s="2">
        <x:v>HH - Oklahoma City</x:v>
      </x:c>
      <x:c r="G607" t="str" s="2">
        <x:v>Heritage Housing of Oklahoma City</x:v>
      </x:c>
      <x:c r="H607" t="str" s="2">
        <x:v>Karla Brizuela</x:v>
      </x:c>
      <x:c r="I607" s="0"/>
      <x:c r="J607" s="0"/>
      <x:c r="K607" t="n" s="2">
        <x:v>5</x:v>
      </x:c>
      <x:c r="L607" t="str" s="2">
        <x:v>1.1</x:v>
      </x:c>
      <x:c r="M607" t="str" s="2">
        <x:v>Dead</x:v>
      </x:c>
      <x:c r="N607" t="str" s="2">
        <x:v>Prospect</x:v>
      </x:c>
      <x:c r="O607" s="0"/>
      <x:c r="P607" s="6">
        <x:v>46241</x:v>
      </x:c>
      <x:c r="Q607" s="6">
        <x:v>46241.62461446759</x:v>
      </x:c>
      <x:c r="R607" s="0"/>
      <x:c r="S607" s="0"/>
      <x:c r="T607" s="0"/>
      <x:c r="U607" s="0"/>
      <x:c r="V607" s="0"/>
      <x:c r="W607" s="0"/>
      <x:c r="X607" t="str" s="2">
        <x:v>6192457238</x:v>
      </x:c>
      <x:c r="Y607" t="str" s="2">
        <x:v>ramirezvalerie2005@gmail.com</x:v>
      </x:c>
      <x:c r="Z607" s="0"/>
      <x:c r="AA607" s="0"/>
      <x:c r="AB607" s="6">
        <x:v>46241.624615740744</x:v>
      </x:c>
      <x:c r="AC607" t="n" s="2">
        <x:v>38990</x:v>
      </x:c>
      <x:c r="AD607" s="0"/>
      <x:c r="AE607" s="0"/>
      <x:c r="AF607" s="0"/>
      <x:c r="AG607" s="0"/>
      <x:c r="AH607" s="0"/>
      <x:c r="AI607" s="0"/>
      <x:c r="AJ607" s="0"/>
      <x:c r="AK607" s="0"/>
    </x:row>
    <x:row r="608">
      <x:c r="A608" t="str" s="2">
        <x:f>=HYPERLINK("https://rsms.futurehomex.com/lead/38991", "Liz Mares")</x:f>
      </x:c>
      <x:c r="B608" t="n" s="2">
        <x:v>67</x:v>
      </x:c>
      <x:c r="C608" t="str" s="2">
        <x:v/>
      </x:c>
      <x:c r="D608" t="str" s="2">
        <x:f>=""</x:f>
      </x:c>
      <x:c r="E608" s="0"/>
      <x:c r="F608" t="str" s="2">
        <x:v>META Marketplace</x:v>
      </x:c>
      <x:c r="G608" t="str" s="2">
        <x:v>Heritage Housing Marble Falls</x:v>
      </x:c>
      <x:c r="H608" t="str" s="2">
        <x:v>Garrett Riedesel</x:v>
      </x:c>
      <x:c r="I608" s="0"/>
      <x:c r="J608" t="str" s="2">
        <x:v>Garrett Riedesel</x:v>
      </x:c>
      <x:c r="K608" t="n" s="2">
        <x:v>5</x:v>
      </x:c>
      <x:c r="L608" t="str" s="2">
        <x:v>1.1</x:v>
      </x:c>
      <x:c r="M608" t="str" s="2">
        <x:v>Tentative</x:v>
      </x:c>
      <x:c r="N608" t="str" s="2">
        <x:v>Prospect</x:v>
      </x:c>
      <x:c r="O608" s="0"/>
      <x:c r="P608" s="6">
        <x:v>46241</x:v>
      </x:c>
      <x:c r="Q608" s="6">
        <x:v>46241.62705697917</x:v>
      </x:c>
      <x:c r="R608" s="0"/>
      <x:c r="S608" s="0"/>
      <x:c r="T608" s="0"/>
      <x:c r="U608" s="0"/>
      <x:c r="V608" s="0"/>
      <x:c r="W608" s="0"/>
      <x:c r="X608" t="str" s="2">
        <x:v>7139305300</x:v>
      </x:c>
      <x:c r="Y608" t="str" s="2">
        <x:v>nonam@gmail.com</x:v>
      </x:c>
      <x:c r="Z608" s="0"/>
      <x:c r="AA608" s="0"/>
      <x:c r="AB608" s="6">
        <x:v>46241.627057604164</x:v>
      </x:c>
      <x:c r="AC608" t="n" s="2">
        <x:v>38991</x:v>
      </x:c>
      <x:c r="AD608" s="0"/>
      <x:c r="AE608" s="0"/>
      <x:c r="AF608" s="0"/>
      <x:c r="AG608" s="0"/>
      <x:c r="AH608" s="0"/>
      <x:c r="AI608" s="0"/>
      <x:c r="AJ608" s="0"/>
      <x:c r="AK608" s="0"/>
    </x:row>
    <x:row r="609">
      <x:c r="A609" t="str" s="2">
        <x:f>=HYPERLINK("https://rsms.futurehomex.com/lead/38994", "ANDRYA Perritt")</x:f>
      </x:c>
      <x:c r="B609" t="n" s="2">
        <x:v>67</x:v>
      </x:c>
      <x:c r="C609" t="str" s="2">
        <x:v>1/1</x:v>
      </x:c>
      <x:c r="D609" t="str" s="2">
        <x:f>=""</x:f>
      </x:c>
      <x:c r="E609" s="0"/>
      <x:c r="F609" t="str" s="2">
        <x:v>Walk-in</x:v>
      </x:c>
      <x:c r="G609" t="str" s="2">
        <x:v>Heritage Housing of Oklahoma City</x:v>
      </x:c>
      <x:c r="H609" t="str" s="2">
        <x:v>Trey Rixleben</x:v>
      </x:c>
      <x:c r="I609" t="str" s="2">
        <x:v>Karol Romero</x:v>
      </x:c>
      <x:c r="J609" t="str" s="2">
        <x:v>Trey Rixleben</x:v>
      </x:c>
      <x:c r="K609" t="n" s="2">
        <x:v>5</x:v>
      </x:c>
      <x:c r="L609" t="str" s="2">
        <x:v>1.1</x:v>
      </x:c>
      <x:c r="M609" t="str" s="2">
        <x:v>Tentative</x:v>
      </x:c>
      <x:c r="N609" t="str" s="2">
        <x:v>Deal Created</x:v>
      </x:c>
      <x:c r="O609" s="0"/>
      <x:c r="P609" s="6">
        <x:v>46241</x:v>
      </x:c>
      <x:c r="Q609" s="6">
        <x:v>46241.66808880787</x:v>
      </x:c>
      <x:c r="R609" s="0"/>
      <x:c r="S609" s="0"/>
      <x:c r="T609" s="0"/>
      <x:c r="U609" s="0"/>
      <x:c r="V609" s="0"/>
      <x:c r="W609" s="0"/>
      <x:c r="X609" t="str" s="2">
        <x:v>8179014949</x:v>
      </x:c>
      <x:c r="Y609" t="str" s="2">
        <x:v>andryaperritt@gmail.com</x:v>
      </x:c>
      <x:c r="Z609" s="6">
        <x:v>46241.66840396991</x:v>
      </x:c>
      <x:c r="AA609" t="str" s="2">
        <x:v>Trey Rixleben</x:v>
      </x:c>
      <x:c r="AB609" s="6">
        <x:v>46241.66809143518</x:v>
      </x:c>
      <x:c r="AC609" t="n" s="2">
        <x:v>38994</x:v>
      </x:c>
      <x:c r="AD609" s="0"/>
      <x:c r="AE609" s="0"/>
      <x:c r="AF609" s="0"/>
      <x:c r="AG609" s="0"/>
      <x:c r="AH609" s="0"/>
      <x:c r="AI609" s="0"/>
      <x:c r="AJ609" s="0"/>
      <x:c r="AK609" s="0"/>
    </x:row>
    <x:row r="610">
      <x:c r="A610" t="str" s="2">
        <x:f>=HYPERLINK("https://rsms.futurehomex.com/lead/39001", "Vickie Aubrey")</x:f>
      </x:c>
      <x:c r="B610" t="n" s="2">
        <x:v>67</x:v>
      </x:c>
      <x:c r="C610" t="str" s="2">
        <x:v/>
      </x:c>
      <x:c r="D610" t="str" s="2">
        <x:f>=""</x:f>
      </x:c>
      <x:c r="E610" s="0"/>
      <x:c r="F610" t="str" s="2">
        <x:v>Walk-in</x:v>
      </x:c>
      <x:c r="G610" t="str" s="2">
        <x:v>Heritage Housing of Oklahoma City</x:v>
      </x:c>
      <x:c r="H610" t="str" s="2">
        <x:v>Steve Castell</x:v>
      </x:c>
      <x:c r="I610" s="0"/>
      <x:c r="J610" t="str" s="2">
        <x:v>Steve Castell</x:v>
      </x:c>
      <x:c r="K610" t="n" s="2">
        <x:v>5</x:v>
      </x:c>
      <x:c r="L610" t="str" s="2">
        <x:v>1.1</x:v>
      </x:c>
      <x:c r="M610" t="str" s="2">
        <x:v>Dead</x:v>
      </x:c>
      <x:c r="N610" t="str" s="2">
        <x:v>Deal Created</x:v>
      </x:c>
      <x:c r="O610" s="0"/>
      <x:c r="P610" s="6">
        <x:v>46241</x:v>
      </x:c>
      <x:c r="Q610" s="6">
        <x:v>46241.7677099537</x:v>
      </x:c>
      <x:c r="R610" s="0"/>
      <x:c r="S610" s="6">
        <x:v>46241</x:v>
      </x:c>
      <x:c r="T610" s="0"/>
      <x:c r="U610" s="0"/>
      <x:c r="V610" s="0"/>
      <x:c r="W610" s="0"/>
      <x:c r="X610" t="str" s="2">
        <x:v>4052122910</x:v>
      </x:c>
      <x:c r="Y610" t="str" s="2">
        <x:v>ronaubrey1966@gmail.com</x:v>
      </x:c>
      <x:c r="Z610" s="6">
        <x:v>46241.76054398148</x:v>
      </x:c>
      <x:c r="AA610" t="str" s="2">
        <x:v>Steve Castell</x:v>
      </x:c>
      <x:c r="AB610" s="6">
        <x:v>46241.75988896991</x:v>
      </x:c>
      <x:c r="AC610" t="n" s="2">
        <x:v>39001</x:v>
      </x:c>
      <x:c r="AD610" s="0"/>
      <x:c r="AE610" s="0"/>
      <x:c r="AF610" s="0"/>
      <x:c r="AG610" s="0"/>
      <x:c r="AH610" s="0"/>
      <x:c r="AI610" s="0"/>
      <x:c r="AJ610" s="0"/>
      <x:c r="AK610" s="0"/>
    </x:row>
    <x:row r="611">
      <x:c r="A611" t="str" s="2">
        <x:f>=HYPERLINK("https://rsms.futurehomex.com/lead/39003", "Luis Cruz")</x:f>
      </x:c>
      <x:c r="B611" t="n" s="2">
        <x:v>67</x:v>
      </x:c>
      <x:c r="C611" t="str" s="2">
        <x:v/>
      </x:c>
      <x:c r="D611" t="str" s="2">
        <x:f>=""</x:f>
      </x:c>
      <x:c r="E611" s="0"/>
      <x:c r="F611" t="str" s="2">
        <x:v>Website</x:v>
      </x:c>
      <x:c r="G611" t="str" s="2">
        <x:v>Legacy Housing Corp. DBA Americasa</x:v>
      </x:c>
      <x:c r="H611" t="str" s="2">
        <x:v>Rodrigo Ramirez</x:v>
      </x:c>
      <x:c r="I611" t="str" s="2">
        <x:v>Karol Romero</x:v>
      </x:c>
      <x:c r="J611" s="0"/>
      <x:c r="K611" t="n" s="2">
        <x:v>5</x:v>
      </x:c>
      <x:c r="L611" t="str" s="2">
        <x:v>1.1</x:v>
      </x:c>
      <x:c r="M611" t="str" s="2">
        <x:v>Dead</x:v>
      </x:c>
      <x:c r="N611" t="str" s="2">
        <x:v>Prospect</x:v>
      </x:c>
      <x:c r="O611" s="0"/>
      <x:c r="P611" s="6">
        <x:v>46241</x:v>
      </x:c>
      <x:c r="Q611" s="6">
        <x:v>46241.815246261576</x:v>
      </x:c>
      <x:c r="R611" s="0"/>
      <x:c r="S611" s="0"/>
      <x:c r="T611" s="0"/>
      <x:c r="U611" s="0"/>
      <x:c r="V611" s="0"/>
      <x:c r="W611" s="0"/>
      <x:c r="X611" t="str" s="2">
        <x:v>9794811796</x:v>
      </x:c>
      <x:c r="Y611" t="str" s="2">
        <x:v>cruzluis@hotmail.com</x:v>
      </x:c>
      <x:c r="Z611" s="6">
        <x:v>46242.827394988424</x:v>
      </x:c>
      <x:c r="AA611" t="str" s="2">
        <x:v>Angelica Mendoza </x:v>
      </x:c>
      <x:c r="AB611" s="6">
        <x:v>46241.81524730324</x:v>
      </x:c>
      <x:c r="AC611" t="n" s="2">
        <x:v>39003</x:v>
      </x:c>
      <x:c r="AD611" s="0"/>
      <x:c r="AE611" s="0"/>
      <x:c r="AF611" s="0"/>
      <x:c r="AG611" s="0"/>
      <x:c r="AH611" s="0"/>
      <x:c r="AI611" s="0"/>
      <x:c r="AJ611" s="0"/>
      <x:c r="AK611" s="0"/>
    </x:row>
    <x:row r="612">
      <x:c r="A612" t="str" s="2">
        <x:f>=HYPERLINK("https://rsms.futurehomex.com/lead/39004", "Dawn Smith")</x:f>
      </x:c>
      <x:c r="B612" t="n" s="2">
        <x:v>67</x:v>
      </x:c>
      <x:c r="C612" t="str" s="2">
        <x:v/>
      </x:c>
      <x:c r="D612" t="str" s="2">
        <x:f>=""</x:f>
      </x:c>
      <x:c r="E612" s="0"/>
      <x:c r="F612" t="str" s="2">
        <x:v>Walk-in</x:v>
      </x:c>
      <x:c r="G612" t="str" s="2">
        <x:v>Heritage Housing of Asheboro</x:v>
      </x:c>
      <x:c r="H612" t="str" s="2">
        <x:v>Maria Lopez</x:v>
      </x:c>
      <x:c r="I612" s="0"/>
      <x:c r="J612" s="0"/>
      <x:c r="K612" t="n" s="2">
        <x:v>21</x:v>
      </x:c>
      <x:c r="L612" t="str" s="2">
        <x:v>2.1</x:v>
      </x:c>
      <x:c r="M612" t="str" s="2">
        <x:v>Tentative</x:v>
      </x:c>
      <x:c r="N612" t="str" s="2">
        <x:v>Qualified</x:v>
      </x:c>
      <x:c r="O612" s="0"/>
      <x:c r="P612" s="6">
        <x:v>46241</x:v>
      </x:c>
      <x:c r="Q612" s="6">
        <x:v>46249.644239664354</x:v>
      </x:c>
      <x:c r="R612" s="0"/>
      <x:c r="S612" s="0"/>
      <x:c r="T612" s="0"/>
      <x:c r="U612" s="0"/>
      <x:c r="V612" s="0"/>
      <x:c r="W612" s="0"/>
      <x:c r="X612" t="str" s="2">
        <x:v>3369472516</x:v>
      </x:c>
      <x:c r="Y612" t="str" s="2">
        <x:v>darlingdawn81@gmail.com</x:v>
      </x:c>
      <x:c r="Z612" s="6">
        <x:v>46249.64422696759</x:v>
      </x:c>
      <x:c r="AA612" t="str" s="2">
        <x:v>Jeremy Jacques</x:v>
      </x:c>
      <x:c r="AB612" s="6">
        <x:v>46241.816605671294</x:v>
      </x:c>
      <x:c r="AC612" t="n" s="2">
        <x:v>39004</x:v>
      </x:c>
      <x:c r="AD612" s="0"/>
      <x:c r="AE612" s="0"/>
      <x:c r="AF612" s="0"/>
      <x:c r="AG612" s="0"/>
      <x:c r="AH612" s="0"/>
      <x:c r="AI612" s="0"/>
      <x:c r="AJ612" s="0"/>
      <x:c r="AK612" s="0"/>
    </x:row>
    <x:row r="613">
      <x:c r="A613" t="str" s="2">
        <x:f>=HYPERLINK("https://rsms.futurehomex.com/lead/39005", "Trevor Bertrand")</x:f>
      </x:c>
      <x:c r="B613" t="n" s="2">
        <x:v>67</x:v>
      </x:c>
      <x:c r="C613" t="str" s="2">
        <x:v>1/2</x:v>
      </x:c>
      <x:c r="D613" t="str" s="2">
        <x:f>=""</x:f>
      </x:c>
      <x:c r="E613" s="0"/>
      <x:c r="F613" t="str" s="2">
        <x:v>Financing Form</x:v>
      </x:c>
      <x:c r="G613" t="str" s="2">
        <x:v>Heritage Housing of Jennings</x:v>
      </x:c>
      <x:c r="H613" t="str" s="2">
        <x:v>Clint O'Neal</x:v>
      </x:c>
      <x:c r="I613" s="0"/>
      <x:c r="J613" t="str" s="2">
        <x:v>Clint O'Neal</x:v>
      </x:c>
      <x:c r="K613" t="n" s="2">
        <x:v>5</x:v>
      </x:c>
      <x:c r="L613" t="str" s="2">
        <x:v>1.1</x:v>
      </x:c>
      <x:c r="M613" t="str" s="2">
        <x:v>Tentative</x:v>
      </x:c>
      <x:c r="N613" t="str" s="2">
        <x:v>Deal Created</x:v>
      </x:c>
      <x:c r="O613" s="0"/>
      <x:c r="P613" s="6">
        <x:v>46241</x:v>
      </x:c>
      <x:c r="Q613" s="6">
        <x:v>46241.82875327546</x:v>
      </x:c>
      <x:c r="R613" s="0"/>
      <x:c r="S613" s="0"/>
      <x:c r="T613" s="0"/>
      <x:c r="U613" s="0"/>
      <x:c r="V613" s="0"/>
      <x:c r="W613" s="0"/>
      <x:c r="X613" t="str" s="2">
        <x:v>3372270140</x:v>
      </x:c>
      <x:c r="Y613" t="str" s="2">
        <x:v>trip1red@yahoo.com</x:v>
      </x:c>
      <x:c r="Z613" s="6">
        <x:v>46275.72861157407</x:v>
      </x:c>
      <x:c r="AA613" t="str" s="2">
        <x:v>Clint O'Neal</x:v>
      </x:c>
      <x:c r="AB613" s="6">
        <x:v>46241.82820451389</x:v>
      </x:c>
      <x:c r="AC613" t="n" s="2">
        <x:v>39005</x:v>
      </x:c>
      <x:c r="AD613" s="0"/>
      <x:c r="AE613" s="0"/>
      <x:c r="AF613" s="0"/>
      <x:c r="AG613" s="0"/>
      <x:c r="AH613" s="0"/>
      <x:c r="AI613" s="0"/>
      <x:c r="AJ613" s="0"/>
      <x:c r="AK613" s="0"/>
    </x:row>
    <x:row r="614">
      <x:c r="A614" t="str" s="2">
        <x:f>=HYPERLINK("https://rsms.futurehomex.com/lead/39007", "Justin Scott")</x:f>
      </x:c>
      <x:c r="B614" t="n" s="2">
        <x:v>67</x:v>
      </x:c>
      <x:c r="C614" t="str" s="2">
        <x:v>2/4</x:v>
      </x:c>
      <x:c r="D614" t="str" s="2">
        <x:f>=""</x:f>
      </x:c>
      <x:c r="E614" s="0"/>
      <x:c r="F614" t="str" s="2">
        <x:v>Flyers</x:v>
      </x:c>
      <x:c r="G614" t="str" s="2">
        <x:v>Heritage Housing Marble Falls</x:v>
      </x:c>
      <x:c r="H614" t="str" s="2">
        <x:v>Stephen Sanders</x:v>
      </x:c>
      <x:c r="I614" t="str" s="2">
        <x:v>Karol Romero</x:v>
      </x:c>
      <x:c r="J614" t="str" s="2">
        <x:v>Stephen Sanders</x:v>
      </x:c>
      <x:c r="K614" t="n" s="2">
        <x:v>5</x:v>
      </x:c>
      <x:c r="L614" t="str" s="2">
        <x:v>1.1</x:v>
      </x:c>
      <x:c r="M614" t="str" s="2">
        <x:v>Tentative</x:v>
      </x:c>
      <x:c r="N614" t="str" s="2">
        <x:v>Deal Created</x:v>
      </x:c>
      <x:c r="O614" s="0"/>
      <x:c r="P614" s="6">
        <x:v>46241</x:v>
      </x:c>
      <x:c r="Q614" s="6">
        <x:v>46281.8282346412</x:v>
      </x:c>
      <x:c r="R614" s="0"/>
      <x:c r="S614" s="0"/>
      <x:c r="T614" s="0"/>
      <x:c r="U614" s="0"/>
      <x:c r="V614" s="0"/>
      <x:c r="W614" s="0"/>
      <x:c r="X614" t="str" s="2">
        <x:v>3252489930</x:v>
      </x:c>
      <x:c r="Y614" t="str" s="2">
        <x:v>Justinscott2559@gmail.com</x:v>
      </x:c>
      <x:c r="Z614" s="6">
        <x:v>46288.679243831015</x:v>
      </x:c>
      <x:c r="AA614" t="str" s="2">
        <x:v>Stephen Sanders</x:v>
      </x:c>
      <x:c r="AB614" s="6">
        <x:v>46241.85407137732</x:v>
      </x:c>
      <x:c r="AC614" t="n" s="2">
        <x:v>39007</x:v>
      </x:c>
      <x:c r="AD614" s="0"/>
      <x:c r="AE614" s="0"/>
      <x:c r="AF614" s="0"/>
      <x:c r="AG614" s="7">
        <x:v>10000</x:v>
      </x:c>
      <x:c r="AH614" s="0"/>
      <x:c r="AI614" s="0"/>
      <x:c r="AJ614" s="0"/>
      <x:c r="AK614" s="0"/>
    </x:row>
    <x:row r="615">
      <x:c r="A615" t="str" s="2">
        <x:f>=HYPERLINK("https://rsms.futurehomex.com/lead/39008", "Aaron Adams")</x:f>
      </x:c>
      <x:c r="B615" t="n" s="2">
        <x:v>67</x:v>
      </x:c>
      <x:c r="C615" t="str" s="2">
        <x:v>0/2</x:v>
      </x:c>
      <x:c r="D615" t="str" s="2">
        <x:f>=""</x:f>
      </x:c>
      <x:c r="E615" t="str" s="2">
        <x:v>Sumer Mertens</x:v>
      </x:c>
      <x:c r="F615" t="str" s="2">
        <x:v>Facebook Messenger</x:v>
      </x:c>
      <x:c r="G615" t="str" s="2">
        <x:v>Heritage Housing of Oklahoma City</x:v>
      </x:c>
      <x:c r="H615" t="str" s="2">
        <x:v>Trey Rixleben</x:v>
      </x:c>
      <x:c r="I615" s="0"/>
      <x:c r="J615" s="0"/>
      <x:c r="K615" t="n" s="2">
        <x:v>38</x:v>
      </x:c>
      <x:c r="L615" t="str" s="2">
        <x:v>3.2</x:v>
      </x:c>
      <x:c r="M615" t="str" s="2">
        <x:v>Dead</x:v>
      </x:c>
      <x:c r="N615" t="str" s="2">
        <x:v>Application</x:v>
      </x:c>
      <x:c r="O615" s="0"/>
      <x:c r="P615" s="6">
        <x:v>46241</x:v>
      </x:c>
      <x:c r="Q615" s="6">
        <x:v>46246.92236454861</x:v>
      </x:c>
      <x:c r="R615" t="str" s="2">
        <x:v>Steve Castell</x:v>
      </x:c>
      <x:c r="S615" s="6">
        <x:v>46241</x:v>
      </x:c>
      <x:c r="T615" s="6">
        <x:v>46241</x:v>
      </x:c>
      <x:c r="U615" s="6">
        <x:v>46245</x:v>
      </x:c>
      <x:c r="V615" s="0"/>
      <x:c r="W615" s="0"/>
      <x:c r="X615" t="str" s="2">
        <x:v>4053703039</x:v>
      </x:c>
      <x:c r="Y615" t="str" s="2">
        <x:v>windows5_5@yahoo.com</x:v>
      </x:c>
      <x:c r="Z615" s="6">
        <x:v>46253.86492896991</x:v>
      </x:c>
      <x:c r="AA615" t="str" s="2">
        <x:v>Trey Rixleben</x:v>
      </x:c>
      <x:c r="AB615" s="6">
        <x:v>46241.8545377662</x:v>
      </x:c>
      <x:c r="AC615" t="n" s="2">
        <x:v>39008</x:v>
      </x:c>
      <x:c r="AD615" s="0"/>
      <x:c r="AE615" s="0"/>
      <x:c r="AF615" s="0"/>
      <x:c r="AG615" s="7">
        <x:v>0</x:v>
      </x:c>
      <x:c r="AH615" s="0"/>
      <x:c r="AI615" s="0"/>
      <x:c r="AJ615" s="0"/>
      <x:c r="AK615" s="0"/>
    </x:row>
    <x:row r="616">
      <x:c r="A616" t="str" s="2">
        <x:f>=HYPERLINK("https://rsms.futurehomex.com/lead/39009", "Tricia Smith")</x:f>
      </x:c>
      <x:c r="B616" t="n" s="2">
        <x:v>67</x:v>
      </x:c>
      <x:c r="C616" t="str" s="2">
        <x:v/>
      </x:c>
      <x:c r="D616" t="str" s="2">
        <x:f>=""</x:f>
      </x:c>
      <x:c r="E616" t="str" s="2">
        <x:v>Lewell Smith</x:v>
      </x:c>
      <x:c r="F616" t="str" s="2">
        <x:v>Financing Form</x:v>
      </x:c>
      <x:c r="G616" t="str" s="2">
        <x:v>Heritage Housing of Tulsa</x:v>
      </x:c>
      <x:c r="H616" t="str" s="2">
        <x:v>Derek Searcy</x:v>
      </x:c>
      <x:c r="I616" s="0"/>
      <x:c r="J616" t="str" s="2">
        <x:v>Jenna Fransisco</x:v>
      </x:c>
      <x:c r="K616" t="n" s="2">
        <x:v>5</x:v>
      </x:c>
      <x:c r="L616" t="str" s="2">
        <x:v>1.1</x:v>
      </x:c>
      <x:c r="M616" t="str" s="2">
        <x:v>Active</x:v>
      </x:c>
      <x:c r="N616" t="str" s="2">
        <x:v>Deal Created</x:v>
      </x:c>
      <x:c r="O616" s="0"/>
      <x:c r="P616" s="6">
        <x:v>46241</x:v>
      </x:c>
      <x:c r="Q616" s="6">
        <x:v>46247.726919988425</x:v>
      </x:c>
      <x:c r="R616" s="0"/>
      <x:c r="S616" s="0"/>
      <x:c r="T616" s="0"/>
      <x:c r="U616" s="0"/>
      <x:c r="V616" s="0"/>
      <x:c r="W616" s="0"/>
      <x:c r="X616" t="str" s="2">
        <x:v>6203060903</x:v>
      </x:c>
      <x:c r="Y616" t="str" s="2">
        <x:v>smithtl628@gmail.com</x:v>
      </x:c>
      <x:c r="Z616" s="6">
        <x:v>46247.735666168985</x:v>
      </x:c>
      <x:c r="AA616" t="str" s="2">
        <x:v>Brittany Cobb</x:v>
      </x:c>
      <x:c r="AB616" s="6">
        <x:v>46241.877646215275</x:v>
      </x:c>
      <x:c r="AC616" t="n" s="2">
        <x:v>39009</x:v>
      </x:c>
      <x:c r="AD616" s="0"/>
      <x:c r="AE616" s="0"/>
      <x:c r="AF616" s="0"/>
      <x:c r="AG616" s="7">
        <x:v>1</x:v>
      </x:c>
      <x:c r="AH616" s="0"/>
      <x:c r="AI616" s="0"/>
      <x:c r="AJ616" s="0"/>
      <x:c r="AK616" s="0"/>
    </x:row>
    <x:row r="617">
      <x:c r="A617" t="str" s="2">
        <x:f>=HYPERLINK("https://rsms.futurehomex.com/lead/39011", "Pedro Rios")</x:f>
      </x:c>
      <x:c r="B617" t="n" s="2">
        <x:v>67</x:v>
      </x:c>
      <x:c r="C617" t="str" s="2">
        <x:v/>
      </x:c>
      <x:c r="D617" t="str" s="2">
        <x:f>=""</x:f>
      </x:c>
      <x:c r="E617" s="0"/>
      <x:c r="F617" t="str" s="2">
        <x:v>Walk-in</x:v>
      </x:c>
      <x:c r="G617" t="str" s="2">
        <x:v>Heritage Housing of Asheboro</x:v>
      </x:c>
      <x:c r="H617" t="str" s="2">
        <x:v>Maria Lopez</x:v>
      </x:c>
      <x:c r="I617" s="0"/>
      <x:c r="J617" s="0"/>
      <x:c r="K617" t="n" s="2">
        <x:v>21</x:v>
      </x:c>
      <x:c r="L617" t="str" s="2">
        <x:v>2.1</x:v>
      </x:c>
      <x:c r="M617" t="str" s="2">
        <x:v>Tentative</x:v>
      </x:c>
      <x:c r="N617" t="str" s="2">
        <x:v>Qualified</x:v>
      </x:c>
      <x:c r="O617" s="0"/>
      <x:c r="P617" s="6">
        <x:v>46241</x:v>
      </x:c>
      <x:c r="Q617" s="6">
        <x:v>46249.644495636574</x:v>
      </x:c>
      <x:c r="R617" s="0"/>
      <x:c r="S617" s="0"/>
      <x:c r="T617" s="0"/>
      <x:c r="U617" s="0"/>
      <x:c r="V617" s="0"/>
      <x:c r="W617" s="0"/>
      <x:c r="X617" t="str" s="2">
        <x:v>7048980607</x:v>
      </x:c>
      <x:c r="Y617" t="str" s="2">
        <x:v>pedroriosnc@gmail.com</x:v>
      </x:c>
      <x:c r="Z617" s="6">
        <x:v>46249.644480358795</x:v>
      </x:c>
      <x:c r="AA617" t="str" s="2">
        <x:v>Jeremy Jacques</x:v>
      </x:c>
      <x:c r="AB617" s="6">
        <x:v>46241.90992457176</x:v>
      </x:c>
      <x:c r="AC617" t="n" s="2">
        <x:v>39011</x:v>
      </x:c>
      <x:c r="AD617" s="0"/>
      <x:c r="AE617" s="0"/>
      <x:c r="AF617" s="0"/>
      <x:c r="AG617" s="0"/>
      <x:c r="AH617" s="0"/>
      <x:c r="AI617" s="0"/>
      <x:c r="AJ617" s="0"/>
      <x:c r="AK617" s="0"/>
    </x:row>
    <x:row r="618">
      <x:c r="A618" t="str" s="2">
        <x:f>=HYPERLINK("https://rsms.futurehomex.com/lead/39014", "Samantha Gomez")</x:f>
      </x:c>
      <x:c r="B618" t="n" s="2">
        <x:v>66</x:v>
      </x:c>
      <x:c r="C618" t="str" s="2">
        <x:v>0/6</x:v>
      </x:c>
      <x:c r="D618" t="str" s="2">
        <x:f>=""</x:f>
      </x:c>
      <x:c r="E618" t="str" s="2">
        <x:v>Laura Esparza</x:v>
      </x:c>
      <x:c r="F618" t="str" s="2">
        <x:v>Meta Marketplace</x:v>
      </x:c>
      <x:c r="G618" t="str" s="2">
        <x:v>Heritage Housing Gainesville</x:v>
      </x:c>
      <x:c r="H618" t="str" s="2">
        <x:v>John Schwichtenberg</x:v>
      </x:c>
      <x:c r="I618" s="0"/>
      <x:c r="J618" t="str" s="2">
        <x:v>John Schwichtenberg</x:v>
      </x:c>
      <x:c r="K618" t="n" s="2">
        <x:v>100</x:v>
      </x:c>
      <x:c r="L618" t="str" s="2">
        <x:v>6.2</x:v>
      </x:c>
      <x:c r="M618" t="str" s="2">
        <x:v>Closed</x:v>
      </x:c>
      <x:c r="N618" t="str" s="2">
        <x:v>Delivered</x:v>
      </x:c>
      <x:c r="O618" s="6">
        <x:v>46254</x:v>
      </x:c>
      <x:c r="P618" s="6">
        <x:v>46242</x:v>
      </x:c>
      <x:c r="Q618" s="6">
        <x:v>46274.59987126158</x:v>
      </x:c>
      <x:c r="R618" s="0"/>
      <x:c r="S618" s="6">
        <x:v>46241</x:v>
      </x:c>
      <x:c r="T618" s="6">
        <x:v>46242</x:v>
      </x:c>
      <x:c r="U618" s="6">
        <x:v>46246</x:v>
      </x:c>
      <x:c r="V618" s="6">
        <x:v>46246</x:v>
      </x:c>
      <x:c r="W618" s="6">
        <x:v>46261</x:v>
      </x:c>
      <x:c r="X618" t="str" s="2">
        <x:v>4698491961</x:v>
      </x:c>
      <x:c r="Y618" t="str" s="2">
        <x:v>samanthaxgomez0@icloud.com</x:v>
      </x:c>
      <x:c r="Z618" s="6">
        <x:v>46255.62891940972</x:v>
      </x:c>
      <x:c r="AA618" t="str" s="2">
        <x:v>Dane Lara</x:v>
      </x:c>
      <x:c r="AB618" s="6">
        <x:v>46260.90121273148</x:v>
      </x:c>
      <x:c r="AC618" t="n" s="2">
        <x:v>39014</x:v>
      </x:c>
      <x:c r="AD618" t="str" s="2">
        <x:v>Singlewide</x:v>
      </x:c>
      <x:c r="AE618" t="str" s="2">
        <x:v>Legacy Housing Corporation</x:v>
      </x:c>
      <x:c r="AF618" s="7">
        <x:v>13650</x:v>
      </x:c>
      <x:c r="AG618" s="7">
        <x:v>13650</x:v>
      </x:c>
      <x:c r="AH618" s="0"/>
      <x:c r="AI618" s="0"/>
      <x:c r="AJ618" s="0"/>
      <x:c r="AK618" s="0"/>
    </x:row>
    <x:row r="619">
      <x:c r="A619" t="str" s="2">
        <x:f>=HYPERLINK("https://rsms.futurehomex.com/lead/39015", "Beth Shacklford")</x:f>
      </x:c>
      <x:c r="B619" t="n" s="2">
        <x:v>66</x:v>
      </x:c>
      <x:c r="C619" t="str" s="2">
        <x:v>0/3</x:v>
      </x:c>
      <x:c r="D619" t="str" s="2">
        <x:f>=""</x:f>
      </x:c>
      <x:c r="E619" s="0"/>
      <x:c r="F619" t="str" s="2">
        <x:v>Facebook Messenger</x:v>
      </x:c>
      <x:c r="G619" t="str" s="2">
        <x:v>Heritage Housing of Minden</x:v>
      </x:c>
      <x:c r="H619" t="str" s="2">
        <x:v>Patrick Schuchart</x:v>
      </x:c>
      <x:c r="I619" t="str" s="2">
        <x:v>Karol Romero</x:v>
      </x:c>
      <x:c r="J619" t="str" s="2">
        <x:v>Patrick Schuchart</x:v>
      </x:c>
      <x:c r="K619" t="n" s="2">
        <x:v>5</x:v>
      </x:c>
      <x:c r="L619" t="str" s="2">
        <x:v>1.1</x:v>
      </x:c>
      <x:c r="M619" t="str" s="2">
        <x:v>Tentative</x:v>
      </x:c>
      <x:c r="N619" t="str" s="2">
        <x:v>Deal Created</x:v>
      </x:c>
      <x:c r="O619" s="0"/>
      <x:c r="P619" s="6">
        <x:v>46242</x:v>
      </x:c>
      <x:c r="Q619" s="6">
        <x:v>46244.700111261576</x:v>
      </x:c>
      <x:c r="R619" s="0"/>
      <x:c r="S619" s="6">
        <x:v>46236</x:v>
      </x:c>
      <x:c r="T619" s="0"/>
      <x:c r="U619" s="0"/>
      <x:c r="V619" s="0"/>
      <x:c r="W619" s="0"/>
      <x:c r="X619" t="str" s="2">
        <x:v>3185730539</x:v>
      </x:c>
      <x:c r="Y619" t="str" s="2">
        <x:v>elizabeth_s35@yahoo.com</x:v>
      </x:c>
      <x:c r="Z619" s="6">
        <x:v>46302.604268599534</x:v>
      </x:c>
      <x:c r="AA619" t="str" s="2">
        <x:v>Kyla Brown</x:v>
      </x:c>
      <x:c r="AB619" s="6">
        <x:v>46242.602401122684</x:v>
      </x:c>
      <x:c r="AC619" t="n" s="2">
        <x:v>39015</x:v>
      </x:c>
      <x:c r="AD619" s="0"/>
      <x:c r="AE619" s="0"/>
      <x:c r="AF619" s="0"/>
      <x:c r="AG619" s="7">
        <x:v>0</x:v>
      </x:c>
      <x:c r="AH619" s="0"/>
      <x:c r="AI619" t="str" s="2">
        <x:v>695</x:v>
      </x:c>
      <x:c r="AJ619" s="0"/>
      <x:c r="AK619" s="0"/>
    </x:row>
    <x:row r="620">
      <x:c r="A620" t="str" s="2">
        <x:f>=HYPERLINK("https://rsms.futurehomex.com/lead/39016", "Brandon Hunt")</x:f>
      </x:c>
      <x:c r="B620" t="n" s="2">
        <x:v>66</x:v>
      </x:c>
      <x:c r="C620" t="str" s="2">
        <x:v/>
      </x:c>
      <x:c r="D620" t="str" s="2">
        <x:f>=""</x:f>
      </x:c>
      <x:c r="E620" t="str" s="2">
        <x:v>Susana Hernandez</x:v>
      </x:c>
      <x:c r="F620" t="str" s="2">
        <x:v>Facebook Messenger</x:v>
      </x:c>
      <x:c r="G620" t="str" s="2">
        <x:v>Heritage Housing of Asheboro</x:v>
      </x:c>
      <x:c r="H620" t="str" s="2">
        <x:v>Maria Lopez</x:v>
      </x:c>
      <x:c r="I620" s="0"/>
      <x:c r="J620" s="0"/>
      <x:c r="K620" t="n" s="2">
        <x:v>21</x:v>
      </x:c>
      <x:c r="L620" t="str" s="2">
        <x:v>2.1</x:v>
      </x:c>
      <x:c r="M620" t="str" s="2">
        <x:v>Tentative</x:v>
      </x:c>
      <x:c r="N620" t="str" s="2">
        <x:v>Qualified</x:v>
      </x:c>
      <x:c r="O620" s="0"/>
      <x:c r="P620" s="6">
        <x:v>46242</x:v>
      </x:c>
      <x:c r="Q620" s="6">
        <x:v>46249.643979085646</x:v>
      </x:c>
      <x:c r="R620" s="0"/>
      <x:c r="S620" s="0"/>
      <x:c r="T620" s="0"/>
      <x:c r="U620" s="0"/>
      <x:c r="V620" s="0"/>
      <x:c r="W620" s="0"/>
      <x:c r="X620" t="str" s="2">
        <x:v>3369956064</x:v>
      </x:c>
      <x:c r="Y620" t="str" s="2">
        <x:v>bkhuntdeer@gmail.com</x:v>
      </x:c>
      <x:c r="Z620" s="6">
        <x:v>46249.64396574074</x:v>
      </x:c>
      <x:c r="AA620" t="str" s="2">
        <x:v>Jeremy Jacques</x:v>
      </x:c>
      <x:c r="AB620" s="6">
        <x:v>46242.61946512732</x:v>
      </x:c>
      <x:c r="AC620" t="n" s="2">
        <x:v>39016</x:v>
      </x:c>
      <x:c r="AD620" s="0"/>
      <x:c r="AE620" s="0"/>
      <x:c r="AF620" s="0"/>
      <x:c r="AG620" s="0"/>
      <x:c r="AH620" s="0"/>
      <x:c r="AI620" s="0"/>
      <x:c r="AJ620" s="0"/>
      <x:c r="AK620" s="0"/>
    </x:row>
    <x:row r="621">
      <x:c r="A621" t="str" s="2">
        <x:f>=HYPERLINK("https://rsms.futurehomex.com/lead/39017", "Maria Esparza")</x:f>
      </x:c>
      <x:c r="B621" t="n" s="2">
        <x:v>66</x:v>
      </x:c>
      <x:c r="C621" t="str" s="2">
        <x:v>0/2</x:v>
      </x:c>
      <x:c r="D621" t="str" s="2">
        <x:f>=""</x:f>
      </x:c>
      <x:c r="E621" s="0"/>
      <x:c r="F621" t="str" s="2">
        <x:v>Meta Marketplace</x:v>
      </x:c>
      <x:c r="G621" t="str" s="2">
        <x:v>Heritage Housing Gainesville</x:v>
      </x:c>
      <x:c r="H621" t="str" s="2">
        <x:v>John Schwichtenberg</x:v>
      </x:c>
      <x:c r="I621" s="0"/>
      <x:c r="J621" t="str" s="2">
        <x:v>John Schwichtenberg</x:v>
      </x:c>
      <x:c r="K621" t="n" s="2">
        <x:v>100</x:v>
      </x:c>
      <x:c r="L621" t="str" s="2">
        <x:v>6.2</x:v>
      </x:c>
      <x:c r="M621" t="str" s="2">
        <x:v>Closed</x:v>
      </x:c>
      <x:c r="N621" t="str" s="2">
        <x:v>Delivered</x:v>
      </x:c>
      <x:c r="O621" s="6">
        <x:v>46295</x:v>
      </x:c>
      <x:c r="P621" s="6">
        <x:v>46242</x:v>
      </x:c>
      <x:c r="Q621" s="6">
        <x:v>46296.67158174769</x:v>
      </x:c>
      <x:c r="R621" s="0"/>
      <x:c r="S621" s="6">
        <x:v>46242</x:v>
      </x:c>
      <x:c r="T621" s="6">
        <x:v>46242</x:v>
      </x:c>
      <x:c r="U621" s="6">
        <x:v>46274</x:v>
      </x:c>
      <x:c r="V621" s="6">
        <x:v>46290</x:v>
      </x:c>
      <x:c r="W621" s="6">
        <x:v>46295</x:v>
      </x:c>
      <x:c r="X621" t="str" s="2">
        <x:v>6823728171</x:v>
      </x:c>
      <x:c r="Y621" t="str" s="2">
        <x:v>maria.esparza060514@icloud.com</x:v>
      </x:c>
      <x:c r="Z621" s="6">
        <x:v>46295.80179135417</x:v>
      </x:c>
      <x:c r="AA621" t="str" s="2">
        <x:v>Kristin Breedlove</x:v>
      </x:c>
      <x:c r="AB621" s="6">
        <x:v>46242.64730153935</x:v>
      </x:c>
      <x:c r="AC621" t="n" s="2">
        <x:v>39017</x:v>
      </x:c>
      <x:c r="AD621" t="str" s="2">
        <x:v>Singlewide</x:v>
      </x:c>
      <x:c r="AE621" t="str" s="2">
        <x:v>Legacy Housing Corporation</x:v>
      </x:c>
      <x:c r="AF621" s="7">
        <x:v>11700</x:v>
      </x:c>
      <x:c r="AG621" s="7">
        <x:v>11700</x:v>
      </x:c>
      <x:c r="AH621" s="0"/>
      <x:c r="AI621" s="0"/>
      <x:c r="AJ621" s="0"/>
      <x:c r="AK621" s="0"/>
    </x:row>
    <x:row r="622">
      <x:c r="A622" t="str" s="2">
        <x:f>=HYPERLINK("https://rsms.futurehomex.com/lead/39018", "Barbara Moore")</x:f>
      </x:c>
      <x:c r="B622" t="n" s="2">
        <x:v>66</x:v>
      </x:c>
      <x:c r="C622" t="str" s="2">
        <x:v>1/3</x:v>
      </x:c>
      <x:c r="D622" t="str" s="2">
        <x:f>=""</x:f>
      </x:c>
      <x:c r="E622" s="0"/>
      <x:c r="F622" t="str" s="2">
        <x:v>Facebook Messenger</x:v>
      </x:c>
      <x:c r="G622" t="str" s="2">
        <x:v>Heritage Housing of Oklahoma City</x:v>
      </x:c>
      <x:c r="H622" t="str" s="2">
        <x:v>Steve Castell</x:v>
      </x:c>
      <x:c r="I622" s="0"/>
      <x:c r="J622" t="str" s="2">
        <x:v>Steve Castell</x:v>
      </x:c>
      <x:c r="K622" t="n" s="2">
        <x:v>5</x:v>
      </x:c>
      <x:c r="L622" t="str" s="2">
        <x:v>1.1</x:v>
      </x:c>
      <x:c r="M622" t="str" s="2">
        <x:v>Tentative</x:v>
      </x:c>
      <x:c r="N622" t="str" s="2">
        <x:v>Deal Created</x:v>
      </x:c>
      <x:c r="O622" s="0"/>
      <x:c r="P622" s="6">
        <x:v>46242</x:v>
      </x:c>
      <x:c r="Q622" s="6">
        <x:v>46242.66041582176</x:v>
      </x:c>
      <x:c r="R622" s="0"/>
      <x:c r="S622" s="6">
        <x:v>46242</x:v>
      </x:c>
      <x:c r="T622" s="0"/>
      <x:c r="U622" s="0"/>
      <x:c r="V622" s="0"/>
      <x:c r="W622" s="0"/>
      <x:c r="X622" t="str" s="2">
        <x:v>5803517322</x:v>
      </x:c>
      <x:c r="Y622" t="str" s="2">
        <x:v>5803517322</x:v>
      </x:c>
      <x:c r="Z622" s="6">
        <x:v>46249.06271550926</x:v>
      </x:c>
      <x:c r="AA622" t="str" s="2">
        <x:v>Steve Castell</x:v>
      </x:c>
      <x:c r="AB622" s="6">
        <x:v>46242.66041736111</x:v>
      </x:c>
      <x:c r="AC622" t="n" s="2">
        <x:v>39018</x:v>
      </x:c>
      <x:c r="AD622" s="0"/>
      <x:c r="AE622" s="0"/>
      <x:c r="AF622" s="0"/>
      <x:c r="AG622" s="0"/>
      <x:c r="AH622" s="0"/>
      <x:c r="AI622" s="0"/>
      <x:c r="AJ622" s="0"/>
      <x:c r="AK622" s="0"/>
    </x:row>
    <x:row r="623">
      <x:c r="A623" t="str" s="2">
        <x:f>=HYPERLINK("https://rsms.futurehomex.com/lead/39019", "Eltaurus Randle")</x:f>
      </x:c>
      <x:c r="B623" t="n" s="2">
        <x:v>66</x:v>
      </x:c>
      <x:c r="C623" t="str" s="2">
        <x:v>0/2</x:v>
      </x:c>
      <x:c r="D623" t="str" s="2">
        <x:f>=""</x:f>
      </x:c>
      <x:c r="E623" t="str" s="2">
        <x:v>Camillia Randle</x:v>
      </x:c>
      <x:c r="F623" t="str" s="2">
        <x:v>Office Hot Calls</x:v>
      </x:c>
      <x:c r="G623" t="str" s="2">
        <x:v>Heritage Housing of Minden</x:v>
      </x:c>
      <x:c r="H623" t="str" s="2">
        <x:v>Patrick Schuchart</x:v>
      </x:c>
      <x:c r="I623" t="str" s="2">
        <x:v>Karol Romero</x:v>
      </x:c>
      <x:c r="J623" t="str" s="2">
        <x:v>Patrick Schuchart</x:v>
      </x:c>
      <x:c r="K623" t="n" s="2">
        <x:v>38</x:v>
      </x:c>
      <x:c r="L623" t="str" s="2">
        <x:v>3.2</x:v>
      </x:c>
      <x:c r="M623" t="str" s="2">
        <x:v>Active</x:v>
      </x:c>
      <x:c r="N623" t="str" s="2">
        <x:v>Application</x:v>
      </x:c>
      <x:c r="O623" s="0"/>
      <x:c r="P623" s="6">
        <x:v>46242</x:v>
      </x:c>
      <x:c r="Q623" s="6">
        <x:v>46297.74156149306</x:v>
      </x:c>
      <x:c r="R623" s="0"/>
      <x:c r="S623" s="6">
        <x:v>46242</x:v>
      </x:c>
      <x:c r="T623" s="0"/>
      <x:c r="U623" s="0"/>
      <x:c r="V623" s="0"/>
      <x:c r="W623" s="0"/>
      <x:c r="X623" t="str" s="2">
        <x:v>3184538213</x:v>
      </x:c>
      <x:c r="Y623" t="str" s="2">
        <x:v>randlecamilla@gmail.com</x:v>
      </x:c>
      <x:c r="Z623" s="6">
        <x:v>46302.60587638889</x:v>
      </x:c>
      <x:c r="AA623" t="str" s="2">
        <x:v>Kyla Brown</x:v>
      </x:c>
      <x:c r="AB623" s="6">
        <x:v>46242.67606863426</x:v>
      </x:c>
      <x:c r="AC623" t="n" s="2">
        <x:v>39019</x:v>
      </x:c>
      <x:c r="AD623" t="str" s="2">
        <x:v>Singlewide</x:v>
      </x:c>
      <x:c r="AE623" s="0"/>
      <x:c r="AF623" s="0"/>
      <x:c r="AG623" s="0"/>
      <x:c r="AH623" s="0"/>
      <x:c r="AI623" t="str" s="2">
        <x:v>677</x:v>
      </x:c>
      <x:c r="AJ623" s="0"/>
      <x:c r="AK623" s="0"/>
    </x:row>
    <x:row r="624">
      <x:c r="A624" t="str" s="2">
        <x:f>=HYPERLINK("https://rsms.futurehomex.com/lead/39020", "Jimmy Ford")</x:f>
      </x:c>
      <x:c r="B624" t="n" s="2">
        <x:v>66</x:v>
      </x:c>
      <x:c r="C624" t="str" s="2">
        <x:v>0/1</x:v>
      </x:c>
      <x:c r="D624" t="str" s="2">
        <x:f>=""</x:f>
      </x:c>
      <x:c r="E624" s="0"/>
      <x:c r="F624" t="str" s="2">
        <x:v>Walk-in</x:v>
      </x:c>
      <x:c r="G624" t="str" s="2">
        <x:v>Heritage Housing of Albany</x:v>
      </x:c>
      <x:c r="H624" t="str" s="2">
        <x:v>Alexander Bryant</x:v>
      </x:c>
      <x:c r="I624" t="str" s="2">
        <x:v>Karol Romero</x:v>
      </x:c>
      <x:c r="J624" t="str" s="2">
        <x:v>Alexander Bryant</x:v>
      </x:c>
      <x:c r="K624" t="n" s="2">
        <x:v>5</x:v>
      </x:c>
      <x:c r="L624" t="str" s="2">
        <x:v>1.1</x:v>
      </x:c>
      <x:c r="M624" t="str" s="2">
        <x:v>Tentative</x:v>
      </x:c>
      <x:c r="N624" t="str" s="2">
        <x:v>Deal Created</x:v>
      </x:c>
      <x:c r="O624" s="0"/>
      <x:c r="P624" s="6">
        <x:v>46242</x:v>
      </x:c>
      <x:c r="Q624" s="6">
        <x:v>46242.6929659375</x:v>
      </x:c>
      <x:c r="R624" s="0"/>
      <x:c r="S624" s="6">
        <x:v>46242</x:v>
      </x:c>
      <x:c r="T624" s="0"/>
      <x:c r="U624" s="0"/>
      <x:c r="V624" s="0"/>
      <x:c r="W624" s="0"/>
      <x:c r="X624" t="str" s="2">
        <x:v>4078602161</x:v>
      </x:c>
      <x:c r="Y624" t="str" s="2">
        <x:v>jlford12345@gmail.com</x:v>
      </x:c>
      <x:c r="Z624" s="6">
        <x:v>46255.88784008102</x:v>
      </x:c>
      <x:c r="AA624" t="str" s="2">
        <x:v>Alexander Bryant</x:v>
      </x:c>
      <x:c r="AB624" s="6">
        <x:v>46242.69296739584</x:v>
      </x:c>
      <x:c r="AC624" t="n" s="2">
        <x:v>39020</x:v>
      </x:c>
      <x:c r="AD624" s="0"/>
      <x:c r="AE624" s="0"/>
      <x:c r="AF624" s="0"/>
      <x:c r="AG624" s="0"/>
      <x:c r="AH624" s="0"/>
      <x:c r="AI624" s="0"/>
      <x:c r="AJ624" s="0"/>
      <x:c r="AK624" s="0"/>
    </x:row>
    <x:row r="625">
      <x:c r="A625" t="str" s="2">
        <x:f>=HYPERLINK("https://rsms.futurehomex.com/lead/39021", "Cecilio Hernandez")</x:f>
      </x:c>
      <x:c r="B625" t="n" s="2">
        <x:v>66</x:v>
      </x:c>
      <x:c r="C625" t="str" s="2">
        <x:v>0/4</x:v>
      </x:c>
      <x:c r="D625" t="str" s="2">
        <x:f>=""</x:f>
      </x:c>
      <x:c r="E625" s="0"/>
      <x:c r="F625" t="str" s="2">
        <x:v>Meta Marketplace</x:v>
      </x:c>
      <x:c r="G625" t="str" s="2">
        <x:v>Heritage Housing Gainesville</x:v>
      </x:c>
      <x:c r="H625" t="str" s="2">
        <x:v>John Schwichtenberg</x:v>
      </x:c>
      <x:c r="I625" s="0"/>
      <x:c r="J625" t="str" s="2">
        <x:v>John Schwichtenberg</x:v>
      </x:c>
      <x:c r="K625" t="n" s="2">
        <x:v>100</x:v>
      </x:c>
      <x:c r="L625" t="str" s="2">
        <x:v>6.2</x:v>
      </x:c>
      <x:c r="M625" t="str" s="2">
        <x:v>Closed</x:v>
      </x:c>
      <x:c r="N625" t="str" s="2">
        <x:v>Delivered</x:v>
      </x:c>
      <x:c r="O625" s="6">
        <x:v>46254</x:v>
      </x:c>
      <x:c r="P625" s="6">
        <x:v>46242</x:v>
      </x:c>
      <x:c r="Q625" s="6">
        <x:v>46258.6226090625</x:v>
      </x:c>
      <x:c r="R625" s="0"/>
      <x:c r="S625" s="6">
        <x:v>46242</x:v>
      </x:c>
      <x:c r="T625" s="6">
        <x:v>46242</x:v>
      </x:c>
      <x:c r="U625" s="6">
        <x:v>46246</x:v>
      </x:c>
      <x:c r="V625" s="6">
        <x:v>46246</x:v>
      </x:c>
      <x:c r="W625" s="6">
        <x:v>46260</x:v>
      </x:c>
      <x:c r="X625" t="str" s="2">
        <x:v>6823401544</x:v>
      </x:c>
      <x:c r="Y625" t="str" s="2">
        <x:v>laurasramos667@gmail.com</x:v>
      </x:c>
      <x:c r="Z625" s="6">
        <x:v>46254.74454957176</x:v>
      </x:c>
      <x:c r="AA625" t="str" s="2">
        <x:v>Brandie Sartor</x:v>
      </x:c>
      <x:c r="AB625" s="6">
        <x:v>46260.900948229166</x:v>
      </x:c>
      <x:c r="AC625" t="n" s="2">
        <x:v>39021</x:v>
      </x:c>
      <x:c r="AD625" t="str" s="2">
        <x:v>Doublewide</x:v>
      </x:c>
      <x:c r="AE625" t="str" s="2">
        <x:v>Legacy Housing Corporation</x:v>
      </x:c>
      <x:c r="AF625" s="7">
        <x:v>13500</x:v>
      </x:c>
      <x:c r="AG625" s="7">
        <x:v>13500</x:v>
      </x:c>
      <x:c r="AH625" s="7">
        <x:v>13500</x:v>
      </x:c>
      <x:c r="AI625" s="0"/>
      <x:c r="AJ625" s="0"/>
      <x:c r="AK625" t="str" s="6">
        <x:v>2026-08-22</x:v>
      </x:c>
    </x:row>
    <x:row r="626">
      <x:c r="A626" t="str" s="2">
        <x:f>=HYPERLINK("https://rsms.futurehomex.com/lead/39022", "JEMEL DAVIS")</x:f>
      </x:c>
      <x:c r="B626" t="n" s="2">
        <x:v>66</x:v>
      </x:c>
      <x:c r="C626" t="str" s="2">
        <x:v/>
      </x:c>
      <x:c r="D626" t="str" s="2">
        <x:f>=""</x:f>
      </x:c>
      <x:c r="E626" s="0"/>
      <x:c r="F626" t="str" s="2">
        <x:v>Walk-in</x:v>
      </x:c>
      <x:c r="G626" t="str" s="2">
        <x:v>Heritage Housing of Augusta</x:v>
      </x:c>
      <x:c r="H626" t="str" s="2">
        <x:v>Faye Lively</x:v>
      </x:c>
      <x:c r="I626" t="str" s="2">
        <x:v>Karol Romero</x:v>
      </x:c>
      <x:c r="J626" t="str" s="2">
        <x:v>Faye Lively</x:v>
      </x:c>
      <x:c r="K626" t="n" s="2">
        <x:v>59</x:v>
      </x:c>
      <x:c r="L626" t="str" s="2">
        <x:v>4.3</x:v>
      </x:c>
      <x:c r="M626" t="str" s="2">
        <x:v>Active</x:v>
      </x:c>
      <x:c r="N626" t="str" s="2">
        <x:v>Loan Approved</x:v>
      </x:c>
      <x:c r="O626" s="0"/>
      <x:c r="P626" s="6">
        <x:v>46242</x:v>
      </x:c>
      <x:c r="Q626" s="6">
        <x:v>46267.910632604166</x:v>
      </x:c>
      <x:c r="R626" s="0"/>
      <x:c r="S626" s="0"/>
      <x:c r="T626" s="0"/>
      <x:c r="U626" s="6">
        <x:v>46244</x:v>
      </x:c>
      <x:c r="V626" s="0"/>
      <x:c r="W626" s="0"/>
      <x:c r="X626" t="str" s="2">
        <x:v>7067515827</x:v>
      </x:c>
      <x:c r="Y626" t="str" s="2">
        <x:v>jemeldavis26@gmail.com</x:v>
      </x:c>
      <x:c r="Z626" s="6">
        <x:v>46244.76448020833</x:v>
      </x:c>
      <x:c r="AA626" t="str" s="2">
        <x:v>Brian Amato</x:v>
      </x:c>
      <x:c r="AB626" s="6">
        <x:v>46242.7291965625</x:v>
      </x:c>
      <x:c r="AC626" t="n" s="2">
        <x:v>39022</x:v>
      </x:c>
      <x:c r="AD626" t="str" s="2">
        <x:v>Singlewide</x:v>
      </x:c>
      <x:c r="AE626" s="0"/>
      <x:c r="AF626" s="0"/>
      <x:c r="AG626" s="7">
        <x:v>8000</x:v>
      </x:c>
      <x:c r="AH626" s="0"/>
      <x:c r="AI626" t="str" s="2">
        <x:v>586</x:v>
      </x:c>
      <x:c r="AJ626" s="0"/>
      <x:c r="AK626" s="0"/>
    </x:row>
    <x:row r="627">
      <x:c r="A627" t="str" s="2">
        <x:f>=HYPERLINK("https://rsms.futurehomex.com/lead/39023", "Irene Parra")</x:f>
      </x:c>
      <x:c r="B627" t="n" s="2">
        <x:v>66</x:v>
      </x:c>
      <x:c r="C627" t="str" s="2">
        <x:v/>
      </x:c>
      <x:c r="D627" t="str" s="2">
        <x:f>=""</x:f>
      </x:c>
      <x:c r="E627" s="0"/>
      <x:c r="F627" t="str" s="2">
        <x:v>Walk-in</x:v>
      </x:c>
      <x:c r="G627" t="str" s="2">
        <x:v>Heritage Housing of Asheboro</x:v>
      </x:c>
      <x:c r="H627" t="str" s="2">
        <x:v>Maria Lopez</x:v>
      </x:c>
      <x:c r="I627" s="0"/>
      <x:c r="J627" s="0"/>
      <x:c r="K627" t="n" s="2">
        <x:v>21</x:v>
      </x:c>
      <x:c r="L627" t="str" s="2">
        <x:v>2.1</x:v>
      </x:c>
      <x:c r="M627" t="str" s="2">
        <x:v>Tentative</x:v>
      </x:c>
      <x:c r="N627" t="str" s="2">
        <x:v>Qualified</x:v>
      </x:c>
      <x:c r="O627" s="0"/>
      <x:c r="P627" s="6">
        <x:v>46242</x:v>
      </x:c>
      <x:c r="Q627" s="6">
        <x:v>46249.64310497685</x:v>
      </x:c>
      <x:c r="R627" s="0"/>
      <x:c r="S627" s="0"/>
      <x:c r="T627" s="0"/>
      <x:c r="U627" s="0"/>
      <x:c r="V627" s="0"/>
      <x:c r="W627" s="0"/>
      <x:c r="X627" t="str" s="2">
        <x:v>9109750406</x:v>
      </x:c>
      <x:c r="Y627" t="str" s="2">
        <x:v>irobleto@hotmail.com</x:v>
      </x:c>
      <x:c r="Z627" s="6">
        <x:v>46249.64309085648</x:v>
      </x:c>
      <x:c r="AA627" t="str" s="2">
        <x:v>Jeremy Jacques</x:v>
      </x:c>
      <x:c r="AB627" s="6">
        <x:v>46242.75639927083</x:v>
      </x:c>
      <x:c r="AC627" t="n" s="2">
        <x:v>39023</x:v>
      </x:c>
      <x:c r="AD627" s="0"/>
      <x:c r="AE627" s="0"/>
      <x:c r="AF627" s="0"/>
      <x:c r="AG627" s="0"/>
      <x:c r="AH627" s="0"/>
      <x:c r="AI627" s="0"/>
      <x:c r="AJ627" s="0"/>
      <x:c r="AK627" s="0"/>
    </x:row>
    <x:row r="628">
      <x:c r="A628" t="str" s="2">
        <x:f>=HYPERLINK("https://rsms.futurehomex.com/lead/39024", "Norma Aguilera")</x:f>
      </x:c>
      <x:c r="B628" t="n" s="2">
        <x:v>66</x:v>
      </x:c>
      <x:c r="C628" t="str" s="2">
        <x:v>1/6</x:v>
      </x:c>
      <x:c r="D628" t="str" s="2">
        <x:f>=""</x:f>
      </x:c>
      <x:c r="E628" s="0"/>
      <x:c r="F628" t="str" s="2">
        <x:v>Walk-in</x:v>
      </x:c>
      <x:c r="G628" t="str" s="2">
        <x:v>Heritage Housing of Oklahoma City</x:v>
      </x:c>
      <x:c r="H628" t="str" s="2">
        <x:v>Alejandra Calderon</x:v>
      </x:c>
      <x:c r="I628" s="0"/>
      <x:c r="J628" s="0"/>
      <x:c r="K628" t="n" s="2">
        <x:v>5</x:v>
      </x:c>
      <x:c r="L628" t="str" s="2">
        <x:v>1.1</x:v>
      </x:c>
      <x:c r="M628" t="str" s="2">
        <x:v>Tentative</x:v>
      </x:c>
      <x:c r="N628" t="str" s="2">
        <x:v>Deal Created</x:v>
      </x:c>
      <x:c r="O628" s="0"/>
      <x:c r="P628" s="6">
        <x:v>46242</x:v>
      </x:c>
      <x:c r="Q628" s="6">
        <x:v>46245.60064278935</x:v>
      </x:c>
      <x:c r="R628" s="0"/>
      <x:c r="S628" s="6">
        <x:v>46242</x:v>
      </x:c>
      <x:c r="T628" s="0"/>
      <x:c r="U628" s="0"/>
      <x:c r="V628" s="0"/>
      <x:c r="W628" s="0"/>
      <x:c r="X628" t="str" s="2">
        <x:v>4059682001</x:v>
      </x:c>
      <x:c r="Y628" t="str" s="2">
        <x:v>Elivdnjr@gmail.com</x:v>
      </x:c>
      <x:c r="Z628" s="6">
        <x:v>46303.960592905096</x:v>
      </x:c>
      <x:c r="AA628" t="str" s="2">
        <x:v>Alejandra Calderon</x:v>
      </x:c>
      <x:c r="AB628" s="6">
        <x:v>46242.75936646991</x:v>
      </x:c>
      <x:c r="AC628" t="n" s="2">
        <x:v>39024</x:v>
      </x:c>
      <x:c r="AD628" s="0"/>
      <x:c r="AE628" s="0"/>
      <x:c r="AF628" s="0"/>
      <x:c r="AG628" s="0"/>
      <x:c r="AH628" s="0"/>
      <x:c r="AI628" s="0"/>
      <x:c r="AJ628" s="0"/>
      <x:c r="AK628" s="0"/>
    </x:row>
    <x:row r="629">
      <x:c r="A629" t="str" s="2">
        <x:f>=HYPERLINK("https://rsms.futurehomex.com/lead/39025", "Cristian Granjeno-Avila")</x:f>
      </x:c>
      <x:c r="B629" t="n" s="2">
        <x:v>66</x:v>
      </x:c>
      <x:c r="C629" t="str" s="2">
        <x:v>0/10</x:v>
      </x:c>
      <x:c r="D629" t="str" s="2">
        <x:f>=""</x:f>
      </x:c>
      <x:c r="E629" t="str" s="2">
        <x:v>Martin Granjeno Hernandez</x:v>
      </x:c>
      <x:c r="F629" t="str" s="2">
        <x:v>Facebook Messenger</x:v>
      </x:c>
      <x:c r="G629" t="str" s="2">
        <x:v>Heritage Housing of Albany</x:v>
      </x:c>
      <x:c r="H629" t="str" s="2">
        <x:v>Alexander Bryant</x:v>
      </x:c>
      <x:c r="I629" t="str" s="2">
        <x:v>Karol Romero</x:v>
      </x:c>
      <x:c r="J629" t="str" s="2">
        <x:v>Alexander Bryant</x:v>
      </x:c>
      <x:c r="K629" t="n" s="2">
        <x:v>100</x:v>
      </x:c>
      <x:c r="L629" t="str" s="2">
        <x:v>6.2</x:v>
      </x:c>
      <x:c r="M629" t="str" s="2">
        <x:v>Closed</x:v>
      </x:c>
      <x:c r="N629" t="str" s="2">
        <x:v>Delivered</x:v>
      </x:c>
      <x:c r="O629" s="6">
        <x:v>46286</x:v>
      </x:c>
      <x:c r="P629" s="6">
        <x:v>46242</x:v>
      </x:c>
      <x:c r="Q629" s="6">
        <x:v>46289.83401269676</x:v>
      </x:c>
      <x:c r="R629" s="0"/>
      <x:c r="S629" s="6">
        <x:v>46242</x:v>
      </x:c>
      <x:c r="T629" s="6">
        <x:v>46249</x:v>
      </x:c>
      <x:c r="U629" s="6">
        <x:v>46249</x:v>
      </x:c>
      <x:c r="V629" s="6">
        <x:v>46262</x:v>
      </x:c>
      <x:c r="W629" s="6">
        <x:v>46295</x:v>
      </x:c>
      <x:c r="X629" t="str" s="2">
        <x:v>9122452156</x:v>
      </x:c>
      <x:c r="Y629" t="str" s="2">
        <x:v>cgranjeno02@gmail.com</x:v>
      </x:c>
      <x:c r="Z629" s="6">
        <x:v>46289.85919163194</x:v>
      </x:c>
      <x:c r="AA629" t="str" s="2">
        <x:v>Sarahi Vazquez</x:v>
      </x:c>
      <x:c r="AB629" s="6">
        <x:v>46242.76181068287</x:v>
      </x:c>
      <x:c r="AC629" t="n" s="2">
        <x:v>39025</x:v>
      </x:c>
      <x:c r="AD629" t="str" s="2">
        <x:v>Singlewide</x:v>
      </x:c>
      <x:c r="AE629" t="str" s="2">
        <x:v>Legacy Housing Corporation</x:v>
      </x:c>
      <x:c r="AF629" s="7">
        <x:v>25000</x:v>
      </x:c>
      <x:c r="AG629" s="7">
        <x:v>25000</x:v>
      </x:c>
      <x:c r="AH629" s="0"/>
      <x:c r="AI629" t="str" s="2">
        <x:v>731</x:v>
      </x:c>
      <x:c r="AJ629" s="0"/>
      <x:c r="AK629" s="0"/>
    </x:row>
    <x:row r="630">
      <x:c r="A630" t="str" s="2">
        <x:f>=HYPERLINK("https://rsms.futurehomex.com/lead/39026", "Tina Mckinney")</x:f>
      </x:c>
      <x:c r="B630" t="n" s="2">
        <x:v>66</x:v>
      </x:c>
      <x:c r="C630" t="str" s="2">
        <x:v>1/1</x:v>
      </x:c>
      <x:c r="D630" t="str" s="2">
        <x:f>=""</x:f>
      </x:c>
      <x:c r="E630" s="0"/>
      <x:c r="F630" t="str" s="2">
        <x:v>Facebook Messenger</x:v>
      </x:c>
      <x:c r="G630" t="str" s="2">
        <x:v>Heritage Housing of Oklahoma City</x:v>
      </x:c>
      <x:c r="H630" t="str" s="2">
        <x:v>Eva Misheva</x:v>
      </x:c>
      <x:c r="I630" s="0"/>
      <x:c r="J630" s="0"/>
      <x:c r="K630" t="n" s="2">
        <x:v>5</x:v>
      </x:c>
      <x:c r="L630" t="str" s="2">
        <x:v>1.1</x:v>
      </x:c>
      <x:c r="M630" t="str" s="2">
        <x:v>Tentative</x:v>
      </x:c>
      <x:c r="N630" t="str" s="2">
        <x:v>Prospect</x:v>
      </x:c>
      <x:c r="O630" s="0"/>
      <x:c r="P630" s="6">
        <x:v>46242</x:v>
      </x:c>
      <x:c r="Q630" s="6">
        <x:v>46242.7642059375</x:v>
      </x:c>
      <x:c r="R630" s="0"/>
      <x:c r="S630" s="0"/>
      <x:c r="T630" s="0"/>
      <x:c r="U630" s="0"/>
      <x:c r="V630" s="0"/>
      <x:c r="W630" s="0"/>
      <x:c r="X630" t="str" s="2">
        <x:v>4053204762</x:v>
      </x:c>
      <x:c r="Y630" t="str" s="2">
        <x:v>shedidn'tgivemeone@GMAIL.COM</x:v>
      </x:c>
      <x:c r="Z630" s="6">
        <x:v>46242.77754652778</x:v>
      </x:c>
      <x:c r="AA630" t="str" s="2">
        <x:v>Eva Misheva</x:v>
      </x:c>
      <x:c r="AB630" s="6">
        <x:v>46242.764207291664</x:v>
      </x:c>
      <x:c r="AC630" t="n" s="2">
        <x:v>39026</x:v>
      </x:c>
      <x:c r="AD630" s="0"/>
      <x:c r="AE630" s="0"/>
      <x:c r="AF630" s="0"/>
      <x:c r="AG630" s="0"/>
      <x:c r="AH630" s="0"/>
      <x:c r="AI630" s="0"/>
      <x:c r="AJ630" s="0"/>
      <x:c r="AK630" s="0"/>
    </x:row>
    <x:row r="631">
      <x:c r="A631" t="str" s="2">
        <x:f>=HYPERLINK("https://rsms.futurehomex.com/lead/39028", "Marilyn McCracken")</x:f>
      </x:c>
      <x:c r="B631" t="n" s="2">
        <x:v>66</x:v>
      </x:c>
      <x:c r="C631" t="str" s="2">
        <x:v>0/8</x:v>
      </x:c>
      <x:c r="D631" t="str" s="2">
        <x:f>=""</x:f>
      </x:c>
      <x:c r="E631" s="0"/>
      <x:c r="F631" t="str" s="2">
        <x:v>Facebook Messenger</x:v>
      </x:c>
      <x:c r="G631" t="str" s="2">
        <x:v>Heritage Housing of Oklahoma City</x:v>
      </x:c>
      <x:c r="H631" t="str" s="2">
        <x:v>Steve Castell</x:v>
      </x:c>
      <x:c r="I631" s="0"/>
      <x:c r="J631" t="str" s="2">
        <x:v>Steve Castell</x:v>
      </x:c>
      <x:c r="K631" t="n" s="2">
        <x:v>5</x:v>
      </x:c>
      <x:c r="L631" t="str" s="2">
        <x:v>1.1</x:v>
      </x:c>
      <x:c r="M631" t="str" s="2">
        <x:v>Dead</x:v>
      </x:c>
      <x:c r="N631" t="str" s="2">
        <x:v>Deal Created</x:v>
      </x:c>
      <x:c r="O631" s="0"/>
      <x:c r="P631" s="6">
        <x:v>46242</x:v>
      </x:c>
      <x:c r="Q631" s="6">
        <x:v>46242.98790019676</x:v>
      </x:c>
      <x:c r="R631" s="0"/>
      <x:c r="S631" s="6">
        <x:v>46242</x:v>
      </x:c>
      <x:c r="T631" s="0"/>
      <x:c r="U631" s="0"/>
      <x:c r="V631" s="0"/>
      <x:c r="W631" s="0"/>
      <x:c r="X631" t="str" s="2">
        <x:v>5803198405</x:v>
      </x:c>
      <x:c r="Y631" t="str" s="2">
        <x:v>mccrackenm743@gmail.com</x:v>
      </x:c>
      <x:c r="Z631" s="6">
        <x:v>46274.613141469905</x:v>
      </x:c>
      <x:c r="AA631" t="str" s="2">
        <x:v>Steve Castell</x:v>
      </x:c>
      <x:c r="AB631" s="6">
        <x:v>46242.796665625</x:v>
      </x:c>
      <x:c r="AC631" t="n" s="2">
        <x:v>39028</x:v>
      </x:c>
      <x:c r="AD631" s="0"/>
      <x:c r="AE631" s="0"/>
      <x:c r="AF631" s="0"/>
      <x:c r="AG631" s="0"/>
      <x:c r="AH631" s="0"/>
      <x:c r="AI631" s="0"/>
      <x:c r="AJ631" s="0"/>
      <x:c r="AK631" s="0"/>
    </x:row>
    <x:row r="632">
      <x:c r="A632" t="str" s="2">
        <x:f>=HYPERLINK("https://rsms.futurehomex.com/lead/39029", "Nicholas Caulder II")</x:f>
      </x:c>
      <x:c r="B632" t="n" s="2">
        <x:v>66</x:v>
      </x:c>
      <x:c r="C632" t="str" s="2">
        <x:v/>
      </x:c>
      <x:c r="D632" t="str" s="2">
        <x:f>=""</x:f>
      </x:c>
      <x:c r="E632" s="0"/>
      <x:c r="F632" t="str" s="2">
        <x:v>Financing Form</x:v>
      </x:c>
      <x:c r="G632" t="str" s="2">
        <x:v>Heritage Housing of Asheboro</x:v>
      </x:c>
      <x:c r="H632" t="str" s="2">
        <x:v>Maria Lopez</x:v>
      </x:c>
      <x:c r="I632" t="str" s="2">
        <x:v>Karol Romero</x:v>
      </x:c>
      <x:c r="J632" t="str" s="2">
        <x:v>Maria Lopez</x:v>
      </x:c>
      <x:c r="K632" t="n" s="2">
        <x:v>21</x:v>
      </x:c>
      <x:c r="L632" t="str" s="2">
        <x:v>2.1</x:v>
      </x:c>
      <x:c r="M632" t="str" s="2">
        <x:v>Tentative</x:v>
      </x:c>
      <x:c r="N632" t="str" s="2">
        <x:v>Qualified</x:v>
      </x:c>
      <x:c r="O632" s="0"/>
      <x:c r="P632" s="6">
        <x:v>46242</x:v>
      </x:c>
      <x:c r="Q632" s="6">
        <x:v>46249.64348353009</x:v>
      </x:c>
      <x:c r="R632" s="0"/>
      <x:c r="S632" s="6">
        <x:v>46242</x:v>
      </x:c>
      <x:c r="T632" s="0"/>
      <x:c r="U632" s="0"/>
      <x:c r="V632" s="0"/>
      <x:c r="W632" s="0"/>
      <x:c r="X632" t="str" s="2">
        <x:v>7432673222</x:v>
      </x:c>
      <x:c r="Y632" t="str" s="2">
        <x:v>nicholascaulder2003@gmail.com</x:v>
      </x:c>
      <x:c r="Z632" s="6">
        <x:v>46249.64347056713</x:v>
      </x:c>
      <x:c r="AA632" t="str" s="2">
        <x:v>Jeremy Jacques</x:v>
      </x:c>
      <x:c r="AB632" s="6">
        <x:v>46242.82433422454</x:v>
      </x:c>
      <x:c r="AC632" t="n" s="2">
        <x:v>39029</x:v>
      </x:c>
      <x:c r="AD632" s="0"/>
      <x:c r="AE632" s="0"/>
      <x:c r="AF632" s="0"/>
      <x:c r="AG632" s="0"/>
      <x:c r="AH632" s="0"/>
      <x:c r="AI632" s="0"/>
      <x:c r="AJ632" s="0"/>
      <x:c r="AK632" s="0"/>
    </x:row>
    <x:row r="633">
      <x:c r="A633" t="str" s="2">
        <x:f>=HYPERLINK("https://rsms.futurehomex.com/lead/39030", "BLAKE RAMPEL")</x:f>
      </x:c>
      <x:c r="B633" t="n" s="2">
        <x:v>66</x:v>
      </x:c>
      <x:c r="C633" t="str" s="2">
        <x:v>1/1</x:v>
      </x:c>
      <x:c r="D633" t="str" s="2">
        <x:f>=""</x:f>
      </x:c>
      <x:c r="E633" s="0"/>
      <x:c r="F633" t="str" s="2">
        <x:v>Facebook Messenger</x:v>
      </x:c>
      <x:c r="G633" t="str" s="2">
        <x:v>Heritage Housing of Oklahoma City</x:v>
      </x:c>
      <x:c r="H633" t="str" s="2">
        <x:v>Eva Misheva</x:v>
      </x:c>
      <x:c r="I633" s="0"/>
      <x:c r="J633" s="0"/>
      <x:c r="K633" t="n" s="2">
        <x:v>5</x:v>
      </x:c>
      <x:c r="L633" t="str" s="2">
        <x:v>1.1</x:v>
      </x:c>
      <x:c r="M633" t="str" s="2">
        <x:v>Tentative</x:v>
      </x:c>
      <x:c r="N633" t="str" s="2">
        <x:v>Prospect</x:v>
      </x:c>
      <x:c r="O633" s="0"/>
      <x:c r="P633" s="6">
        <x:v>46242</x:v>
      </x:c>
      <x:c r="Q633" s="6">
        <x:v>46242.837252314814</x:v>
      </x:c>
      <x:c r="R633" s="0"/>
      <x:c r="S633" s="6">
        <x:v>46242</x:v>
      </x:c>
      <x:c r="T633" s="0"/>
      <x:c r="U633" s="0"/>
      <x:c r="V633" s="0"/>
      <x:c r="W633" s="0"/>
      <x:c r="X633" t="str" s="2">
        <x:v>4055667960</x:v>
      </x:c>
      <x:c r="Y633" t="str" s="2">
        <x:v>4055667960</x:v>
      </x:c>
      <x:c r="Z633" s="6">
        <x:v>46285.84496068287</x:v>
      </x:c>
      <x:c r="AA633" t="str" s="2">
        <x:v>Eva Misheva</x:v>
      </x:c>
      <x:c r="AB633" s="6">
        <x:v>46242.83725370371</x:v>
      </x:c>
      <x:c r="AC633" t="n" s="2">
        <x:v>39030</x:v>
      </x:c>
      <x:c r="AD633" s="0"/>
      <x:c r="AE633" s="0"/>
      <x:c r="AF633" s="0"/>
      <x:c r="AG633" s="0"/>
      <x:c r="AH633" s="0"/>
      <x:c r="AI633" s="0"/>
      <x:c r="AJ633" s="0"/>
      <x:c r="AK633" s="0"/>
    </x:row>
    <x:row r="634">
      <x:c r="A634" t="str" s="2">
        <x:f>=HYPERLINK("https://rsms.futurehomex.com/lead/39031", "Grace Oneal")</x:f>
      </x:c>
      <x:c r="B634" t="n" s="2">
        <x:v>66</x:v>
      </x:c>
      <x:c r="C634" t="str" s="2">
        <x:v>0/6</x:v>
      </x:c>
      <x:c r="D634" t="str" s="2">
        <x:f>=""</x:f>
      </x:c>
      <x:c r="E634" s="0"/>
      <x:c r="F634" t="str" s="2">
        <x:v>Walk-in</x:v>
      </x:c>
      <x:c r="G634" t="str" s="2">
        <x:v>Heritage Housing of Jennings</x:v>
      </x:c>
      <x:c r="H634" t="str" s="2">
        <x:v>Clint O'Neal</x:v>
      </x:c>
      <x:c r="I634" s="0"/>
      <x:c r="J634" s="0"/>
      <x:c r="K634" t="n" s="2">
        <x:v>5</x:v>
      </x:c>
      <x:c r="L634" t="str" s="2">
        <x:v>1.1</x:v>
      </x:c>
      <x:c r="M634" t="str" s="2">
        <x:v>Inactive</x:v>
      </x:c>
      <x:c r="N634" t="str" s="2">
        <x:v>Prospect</x:v>
      </x:c>
      <x:c r="O634" s="0"/>
      <x:c r="P634" s="6">
        <x:v>46242</x:v>
      </x:c>
      <x:c r="Q634" s="6">
        <x:v>46242.8537559375</x:v>
      </x:c>
      <x:c r="R634" s="0"/>
      <x:c r="S634" s="6">
        <x:v>46242</x:v>
      </x:c>
      <x:c r="T634" s="0"/>
      <x:c r="U634" s="0"/>
      <x:c r="V634" s="0"/>
      <x:c r="W634" s="0"/>
      <x:c r="X634" t="str" s="2">
        <x:v>3373044946</x:v>
      </x:c>
      <x:c r="Y634" t="str" s="2">
        <x:v>gvonealx9@yahoo.com</x:v>
      </x:c>
      <x:c r="Z634" s="6">
        <x:v>46304.84343619213</x:v>
      </x:c>
      <x:c r="AA634" t="str" s="2">
        <x:v>Clint O'Neal</x:v>
      </x:c>
      <x:c r="AB634" s="6">
        <x:v>46258.60820135417</x:v>
      </x:c>
      <x:c r="AC634" t="n" s="2">
        <x:v>39031</x:v>
      </x:c>
      <x:c r="AD634" s="0"/>
      <x:c r="AE634" s="0"/>
      <x:c r="AF634" s="0"/>
      <x:c r="AG634" s="0"/>
      <x:c r="AH634" s="0"/>
      <x:c r="AI634" s="0"/>
      <x:c r="AJ634" s="0"/>
      <x:c r="AK634" s="0"/>
    </x:row>
    <x:row r="635">
      <x:c r="A635" t="str" s="2">
        <x:f>=HYPERLINK("https://rsms.futurehomex.com/lead/39032", "VALERIE MATHEWS")</x:f>
      </x:c>
      <x:c r="B635" t="n" s="2">
        <x:v>66</x:v>
      </x:c>
      <x:c r="C635" t="str" s="2">
        <x:v>1/1</x:v>
      </x:c>
      <x:c r="D635" t="str" s="2">
        <x:f>=""</x:f>
      </x:c>
      <x:c r="E635" s="0"/>
      <x:c r="F635" t="str" s="2">
        <x:v>Walk-in</x:v>
      </x:c>
      <x:c r="G635" t="str" s="2">
        <x:v>Heritage Housing of Oklahoma City</x:v>
      </x:c>
      <x:c r="H635" t="str" s="2">
        <x:v>Eva Misheva</x:v>
      </x:c>
      <x:c r="I635" s="0"/>
      <x:c r="J635" s="0"/>
      <x:c r="K635" t="n" s="2">
        <x:v>5</x:v>
      </x:c>
      <x:c r="L635" t="str" s="2">
        <x:v>1.1</x:v>
      </x:c>
      <x:c r="M635" t="str" s="2">
        <x:v>Tentative</x:v>
      </x:c>
      <x:c r="N635" t="str" s="2">
        <x:v>Prospect</x:v>
      </x:c>
      <x:c r="O635" s="0"/>
      <x:c r="P635" s="6">
        <x:v>46242</x:v>
      </x:c>
      <x:c r="Q635" s="6">
        <x:v>46242.86624568287</x:v>
      </x:c>
      <x:c r="R635" s="0"/>
      <x:c r="S635" s="0"/>
      <x:c r="T635" s="0"/>
      <x:c r="U635" s="0"/>
      <x:c r="V635" s="0"/>
      <x:c r="W635" s="0"/>
      <x:c r="X635" t="str" s="2">
        <x:v>8062050105</x:v>
      </x:c>
      <x:c r="Y635" t="str" s="2">
        <x:v>8062050105</x:v>
      </x:c>
      <x:c r="Z635" s="6">
        <x:v>46264.91491423611</x:v>
      </x:c>
      <x:c r="AA635" t="str" s="2">
        <x:v>Eva Misheva</x:v>
      </x:c>
      <x:c r="AB635" s="6">
        <x:v>46242.86624699074</x:v>
      </x:c>
      <x:c r="AC635" t="n" s="2">
        <x:v>39032</x:v>
      </x:c>
      <x:c r="AD635" s="0"/>
      <x:c r="AE635" s="0"/>
      <x:c r="AF635" s="0"/>
      <x:c r="AG635" s="0"/>
      <x:c r="AH635" s="0"/>
      <x:c r="AI635" s="0"/>
      <x:c r="AJ635" s="0"/>
      <x:c r="AK635" s="0"/>
    </x:row>
    <x:row r="636">
      <x:c r="A636" t="str" s="2">
        <x:f>=HYPERLINK("https://rsms.futurehomex.com/lead/39033", "Philip Sullivan")</x:f>
      </x:c>
      <x:c r="B636" t="n" s="2">
        <x:v>66</x:v>
      </x:c>
      <x:c r="C636" t="str" s="2">
        <x:v>0/5</x:v>
      </x:c>
      <x:c r="D636" t="str" s="2">
        <x:f>=""</x:f>
      </x:c>
      <x:c r="E636" s="0"/>
      <x:c r="F636" t="str" s="2">
        <x:v>Facebook Messenger</x:v>
      </x:c>
      <x:c r="G636" t="str" s="2">
        <x:v>Heritage Housing of Oklahoma City</x:v>
      </x:c>
      <x:c r="H636" t="str" s="2">
        <x:v>Steve Castell</x:v>
      </x:c>
      <x:c r="I636" s="0"/>
      <x:c r="J636" t="str" s="2">
        <x:v>Steve Castell</x:v>
      </x:c>
      <x:c r="K636" t="n" s="2">
        <x:v>38</x:v>
      </x:c>
      <x:c r="L636" t="str" s="2">
        <x:v>3.2</x:v>
      </x:c>
      <x:c r="M636" t="str" s="2">
        <x:v>Dead</x:v>
      </x:c>
      <x:c r="N636" t="str" s="2">
        <x:v>Application</x:v>
      </x:c>
      <x:c r="O636" s="0"/>
      <x:c r="P636" s="6">
        <x:v>46242</x:v>
      </x:c>
      <x:c r="Q636" s="6">
        <x:v>46246.92167681713</x:v>
      </x:c>
      <x:c r="R636" s="0"/>
      <x:c r="S636" s="6">
        <x:v>46242</x:v>
      </x:c>
      <x:c r="T636" s="6">
        <x:v>46242</x:v>
      </x:c>
      <x:c r="U636" s="6">
        <x:v>46245</x:v>
      </x:c>
      <x:c r="V636" s="0"/>
      <x:c r="W636" s="0"/>
      <x:c r="X636" t="str" s="2">
        <x:v>5802842270</x:v>
      </x:c>
      <x:c r="Y636" t="str" s="2">
        <x:v>sullivan17.211.211@gmail.com</x:v>
      </x:c>
      <x:c r="Z636" s="6">
        <x:v>46254.94532549768</x:v>
      </x:c>
      <x:c r="AA636" t="str" s="2">
        <x:v>Steve Castell</x:v>
      </x:c>
      <x:c r="AB636" s="6">
        <x:v>46242.870334722225</x:v>
      </x:c>
      <x:c r="AC636" t="n" s="2">
        <x:v>39033</x:v>
      </x:c>
      <x:c r="AD636" s="0"/>
      <x:c r="AE636" s="0"/>
      <x:c r="AF636" s="0"/>
      <x:c r="AG636" s="7">
        <x:v>8500</x:v>
      </x:c>
      <x:c r="AH636" s="0"/>
      <x:c r="AI636" s="0"/>
      <x:c r="AJ636" s="0"/>
      <x:c r="AK636" s="0"/>
    </x:row>
    <x:row r="637">
      <x:c r="A637" t="str" s="2">
        <x:f>=HYPERLINK("https://rsms.futurehomex.com/lead/39034", "Carlos Lopez")</x:f>
      </x:c>
      <x:c r="B637" t="n" s="2">
        <x:v>66</x:v>
      </x:c>
      <x:c r="C637" t="str" s="2">
        <x:v>1/1</x:v>
      </x:c>
      <x:c r="D637" t="str" s="2">
        <x:f>=""</x:f>
      </x:c>
      <x:c r="E637" t="str" s="2">
        <x:v>Maria M Escalante</x:v>
      </x:c>
      <x:c r="F637" t="str" s="2">
        <x:v>Meta Marketplace</x:v>
      </x:c>
      <x:c r="G637" t="str" s="2">
        <x:v>Legacy Housing Corp. DBA Americasa</x:v>
      </x:c>
      <x:c r="H637" t="str" s="2">
        <x:v>Jose Parada</x:v>
      </x:c>
      <x:c r="I637" t="str" s="2">
        <x:v>Karol Romero</x:v>
      </x:c>
      <x:c r="J637" t="str" s="2">
        <x:v>Rodrigo Ramirez</x:v>
      </x:c>
      <x:c r="K637" t="n" s="2">
        <x:v>5</x:v>
      </x:c>
      <x:c r="L637" t="str" s="2">
        <x:v>1.1</x:v>
      </x:c>
      <x:c r="M637" t="str" s="2">
        <x:v>Inactive</x:v>
      </x:c>
      <x:c r="N637" t="str" s="2">
        <x:v>Deal Created</x:v>
      </x:c>
      <x:c r="O637" s="0"/>
      <x:c r="P637" s="6">
        <x:v>46242</x:v>
      </x:c>
      <x:c r="Q637" s="6">
        <x:v>46242.9076366088</x:v>
      </x:c>
      <x:c r="R637" s="0"/>
      <x:c r="S637" s="6">
        <x:v>46242</x:v>
      </x:c>
      <x:c r="T637" s="0"/>
      <x:c r="U637" s="0"/>
      <x:c r="V637" s="0"/>
      <x:c r="W637" s="0"/>
      <x:c r="X637" t="str" s="2">
        <x:v>2812504345</x:v>
      </x:c>
      <x:c r="Y637" t="str" s="2">
        <x:v>2812504345</x:v>
      </x:c>
      <x:c r="Z637" s="6">
        <x:v>46242.90918263889</x:v>
      </x:c>
      <x:c r="AA637" t="str" s="2">
        <x:v>Rodrigo Ramirez</x:v>
      </x:c>
      <x:c r="AB637" s="6">
        <x:v>46242.904440659724</x:v>
      </x:c>
      <x:c r="AC637" t="n" s="2">
        <x:v>39034</x:v>
      </x:c>
      <x:c r="AD637" s="0"/>
      <x:c r="AE637" s="0"/>
      <x:c r="AF637" s="0"/>
      <x:c r="AG637" s="7">
        <x:v>0</x:v>
      </x:c>
      <x:c r="AH637" s="0"/>
      <x:c r="AI637" s="0"/>
      <x:c r="AJ637" s="0"/>
      <x:c r="AK637" s="0"/>
    </x:row>
    <x:row r="638">
      <x:c r="A638" t="str" s="2">
        <x:f>=HYPERLINK("https://rsms.futurehomex.com/lead/39035", "Luis Cruz")</x:f>
      </x:c>
      <x:c r="B638" t="n" s="2">
        <x:v>66</x:v>
      </x:c>
      <x:c r="C638" t="str" s="2">
        <x:v/>
      </x:c>
      <x:c r="D638" t="str" s="2">
        <x:f>=""</x:f>
      </x:c>
      <x:c r="E638" s="0"/>
      <x:c r="F638" t="str" s="2">
        <x:v>Other</x:v>
      </x:c>
      <x:c r="G638" t="str" s="2">
        <x:v>Heritage Housing Mt Pleasant</x:v>
      </x:c>
      <x:c r="H638" t="str" s="2">
        <x:v>Sandra Saldana</x:v>
      </x:c>
      <x:c r="I638" s="0"/>
      <x:c r="J638" t="str" s="2">
        <x:v>Sandra Saldana</x:v>
      </x:c>
      <x:c r="K638" t="n" s="2">
        <x:v>5</x:v>
      </x:c>
      <x:c r="L638" t="str" s="2">
        <x:v>1.1</x:v>
      </x:c>
      <x:c r="M638" t="str" s="2">
        <x:v>Tentative</x:v>
      </x:c>
      <x:c r="N638" t="str" s="2">
        <x:v>Deal Created</x:v>
      </x:c>
      <x:c r="O638" s="0"/>
      <x:c r="P638" s="6">
        <x:v>46242</x:v>
      </x:c>
      <x:c r="Q638" s="6">
        <x:v>46242.93215381944</x:v>
      </x:c>
      <x:c r="R638" s="0"/>
      <x:c r="S638" s="0"/>
      <x:c r="T638" s="0"/>
      <x:c r="U638" s="0"/>
      <x:c r="V638" s="0"/>
      <x:c r="W638" s="0"/>
      <x:c r="X638" t="str" s="2">
        <x:v>9032614262</x:v>
      </x:c>
      <x:c r="Y638" t="str" s="2">
        <x:v>9032614262</x:v>
      </x:c>
      <x:c r="Z638" s="6">
        <x:v>46242.93999513889</x:v>
      </x:c>
      <x:c r="AA638" t="str" s="2">
        <x:v>Sandra Saldana</x:v>
      </x:c>
      <x:c r="AB638" s="6">
        <x:v>46242.9321556713</x:v>
      </x:c>
      <x:c r="AC638" t="n" s="2">
        <x:v>39035</x:v>
      </x:c>
      <x:c r="AD638" s="0"/>
      <x:c r="AE638" s="0"/>
      <x:c r="AF638" s="0"/>
      <x:c r="AG638" s="0"/>
      <x:c r="AH638" s="0"/>
      <x:c r="AI638" s="0"/>
      <x:c r="AJ638" s="0"/>
      <x:c r="AK638" s="0"/>
    </x:row>
    <x:row r="639">
      <x:c r="A639" t="str" s="2">
        <x:f>=HYPERLINK("https://rsms.futurehomex.com/lead/39036", "Antony Ramirez")</x:f>
      </x:c>
      <x:c r="B639" t="n" s="2">
        <x:v>66</x:v>
      </x:c>
      <x:c r="C639" t="str" s="2">
        <x:v/>
      </x:c>
      <x:c r="D639" t="str" s="2">
        <x:f>=""</x:f>
      </x:c>
      <x:c r="E639" s="0"/>
      <x:c r="F639" t="str" s="2">
        <x:v>Other</x:v>
      </x:c>
      <x:c r="G639" t="str" s="2">
        <x:v>Heritage Housing Mt Pleasant</x:v>
      </x:c>
      <x:c r="H639" t="str" s="2">
        <x:v>Sandra Saldana</x:v>
      </x:c>
      <x:c r="I639" s="0"/>
      <x:c r="J639" t="str" s="2">
        <x:v>Sandra Saldana</x:v>
      </x:c>
      <x:c r="K639" t="n" s="2">
        <x:v>5</x:v>
      </x:c>
      <x:c r="L639" t="str" s="2">
        <x:v>1.1</x:v>
      </x:c>
      <x:c r="M639" t="str" s="2">
        <x:v>Tentative</x:v>
      </x:c>
      <x:c r="N639" t="str" s="2">
        <x:v>Deal Created</x:v>
      </x:c>
      <x:c r="O639" s="0"/>
      <x:c r="P639" s="6">
        <x:v>46242</x:v>
      </x:c>
      <x:c r="Q639" s="6">
        <x:v>46242.93378063657</x:v>
      </x:c>
      <x:c r="R639" s="0"/>
      <x:c r="S639" s="0"/>
      <x:c r="T639" s="0"/>
      <x:c r="U639" s="0"/>
      <x:c r="V639" s="0"/>
      <x:c r="W639" s="0"/>
      <x:c r="X639" t="str" s="2">
        <x:v>9037172861</x:v>
      </x:c>
      <x:c r="Y639" t="str" s="2">
        <x:v>9037172861</x:v>
      </x:c>
      <x:c r="Z639" s="6">
        <x:v>46242.978848530096</x:v>
      </x:c>
      <x:c r="AA639" t="str" s="2">
        <x:v>Sandra Saldana</x:v>
      </x:c>
      <x:c r="AB639" s="6">
        <x:v>46242.93378267361</x:v>
      </x:c>
      <x:c r="AC639" t="n" s="2">
        <x:v>39036</x:v>
      </x:c>
      <x:c r="AD639" s="0"/>
      <x:c r="AE639" s="0"/>
      <x:c r="AF639" s="0"/>
      <x:c r="AG639" s="0"/>
      <x:c r="AH639" s="0"/>
      <x:c r="AI639" s="0"/>
      <x:c r="AJ639" s="0"/>
      <x:c r="AK639" s="0"/>
    </x:row>
    <x:row r="640">
      <x:c r="A640" t="str" s="2">
        <x:f>=HYPERLINK("https://rsms.futurehomex.com/lead/39038", "Elexya Parry")</x:f>
      </x:c>
      <x:c r="B640" t="n" s="2">
        <x:v>66</x:v>
      </x:c>
      <x:c r="C640" t="str" s="2">
        <x:v/>
      </x:c>
      <x:c r="D640" t="str" s="2">
        <x:f>=""</x:f>
      </x:c>
      <x:c r="E640" s="0"/>
      <x:c r="F640" t="str" s="2">
        <x:v>Referrals</x:v>
      </x:c>
      <x:c r="G640" t="str" s="2">
        <x:v>Heritage Housing Mt Pleasant</x:v>
      </x:c>
      <x:c r="H640" t="str" s="2">
        <x:v>Yarelis Torres</x:v>
      </x:c>
      <x:c r="I640" s="0"/>
      <x:c r="J640" t="str" s="2">
        <x:v>Yarelis Torres</x:v>
      </x:c>
      <x:c r="K640" t="n" s="2">
        <x:v>5</x:v>
      </x:c>
      <x:c r="L640" t="str" s="2">
        <x:v>1.1</x:v>
      </x:c>
      <x:c r="M640" t="str" s="2">
        <x:v>Tentative</x:v>
      </x:c>
      <x:c r="N640" t="str" s="2">
        <x:v>Deal Created</x:v>
      </x:c>
      <x:c r="O640" s="0"/>
      <x:c r="P640" s="6">
        <x:v>46242</x:v>
      </x:c>
      <x:c r="Q640" s="6">
        <x:v>46242.95499236111</x:v>
      </x:c>
      <x:c r="R640" s="0"/>
      <x:c r="S640" s="0"/>
      <x:c r="T640" s="0"/>
      <x:c r="U640" s="0"/>
      <x:c r="V640" s="0"/>
      <x:c r="W640" s="0"/>
      <x:c r="X640" t="str" s="2">
        <x:v>9037174094</x:v>
      </x:c>
      <x:c r="Y640" t="str" s="2">
        <x:v>9037174094</x:v>
      </x:c>
      <x:c r="Z640" s="6">
        <x:v>46246.686896099534</x:v>
      </x:c>
      <x:c r="AA640" t="str" s="2">
        <x:v>Yarelis Torres</x:v>
      </x:c>
      <x:c r="AB640" s="6">
        <x:v>46242.954993900465</x:v>
      </x:c>
      <x:c r="AC640" t="n" s="2">
        <x:v>39038</x:v>
      </x:c>
      <x:c r="AD640" s="0"/>
      <x:c r="AE640" s="0"/>
      <x:c r="AF640" s="0"/>
      <x:c r="AG640" s="0"/>
      <x:c r="AH640" s="0"/>
      <x:c r="AI640" s="0"/>
      <x:c r="AJ640" s="0"/>
      <x:c r="AK640" s="0"/>
    </x:row>
    <x:row r="641">
      <x:c r="A641" t="str" s="2">
        <x:f>=HYPERLINK("https://rsms.futurehomex.com/lead/39039", "Audrey Richey")</x:f>
      </x:c>
      <x:c r="B641" t="n" s="2">
        <x:v>66</x:v>
      </x:c>
      <x:c r="C641" t="str" s="2">
        <x:v/>
      </x:c>
      <x:c r="D641" t="str" s="2">
        <x:f>=""</x:f>
      </x:c>
      <x:c r="E641" s="0"/>
      <x:c r="F641" t="str" s="2">
        <x:v>Other</x:v>
      </x:c>
      <x:c r="G641" t="str" s="2">
        <x:v>Heritage Housing Mt Pleasant</x:v>
      </x:c>
      <x:c r="H641" t="str" s="2">
        <x:v>Yarelis Torres</x:v>
      </x:c>
      <x:c r="I641" s="0"/>
      <x:c r="J641" t="str" s="2">
        <x:v>Yarelis Torres</x:v>
      </x:c>
      <x:c r="K641" t="n" s="2">
        <x:v>5</x:v>
      </x:c>
      <x:c r="L641" t="str" s="2">
        <x:v>1.1</x:v>
      </x:c>
      <x:c r="M641" t="str" s="2">
        <x:v>Tentative</x:v>
      </x:c>
      <x:c r="N641" t="str" s="2">
        <x:v>Deal Created</x:v>
      </x:c>
      <x:c r="O641" s="0"/>
      <x:c r="P641" s="6">
        <x:v>46242</x:v>
      </x:c>
      <x:c r="Q641" s="6">
        <x:v>46242.95804131944</x:v>
      </x:c>
      <x:c r="R641" s="0"/>
      <x:c r="S641" s="0"/>
      <x:c r="T641" s="0"/>
      <x:c r="U641" s="0"/>
      <x:c r="V641" s="0"/>
      <x:c r="W641" s="0"/>
      <x:c r="X641" t="str" s="2">
        <x:v>8302796641</x:v>
      </x:c>
      <x:c r="Y641" t="str" s="2">
        <x:v>audreydeerichey@gmail.com</x:v>
      </x:c>
      <x:c r="Z641" s="6">
        <x:v>46246.668370405096</x:v>
      </x:c>
      <x:c r="AA641" t="str" s="2">
        <x:v>Yarelis Torres</x:v>
      </x:c>
      <x:c r="AB641" s="6">
        <x:v>46242.958042743056</x:v>
      </x:c>
      <x:c r="AC641" t="n" s="2">
        <x:v>39039</x:v>
      </x:c>
      <x:c r="AD641" s="0"/>
      <x:c r="AE641" s="0"/>
      <x:c r="AF641" s="0"/>
      <x:c r="AG641" s="0"/>
      <x:c r="AH641" s="0"/>
      <x:c r="AI641" s="0"/>
      <x:c r="AJ641" s="0"/>
      <x:c r="AK641" s="0"/>
    </x:row>
    <x:row r="642">
      <x:c r="A642" t="str" s="2">
        <x:f>=HYPERLINK("https://rsms.futurehomex.com/lead/39041", "Kevin Samuel")</x:f>
      </x:c>
      <x:c r="B642" t="n" s="2">
        <x:v>66</x:v>
      </x:c>
      <x:c r="C642" t="str" s="2">
        <x:v>0/2</x:v>
      </x:c>
      <x:c r="D642" t="str" s="2">
        <x:f>=""</x:f>
      </x:c>
      <x:c r="E642" s="0"/>
      <x:c r="F642" t="str" s="2">
        <x:v>Meta Ads - Forms</x:v>
      </x:c>
      <x:c r="G642" t="str" s="2">
        <x:v>Legacy Housing Corp. DBA Americasa</x:v>
      </x:c>
      <x:c r="H642" t="str" s="2">
        <x:v>Joey Marquez</x:v>
      </x:c>
      <x:c r="I642" t="str" s="2">
        <x:v>Karol Romero</x:v>
      </x:c>
      <x:c r="J642" s="0"/>
      <x:c r="K642" t="n" s="2">
        <x:v>5</x:v>
      </x:c>
      <x:c r="L642" t="str" s="2">
        <x:v>1.1</x:v>
      </x:c>
      <x:c r="M642" t="str" s="2">
        <x:v>Tentative</x:v>
      </x:c>
      <x:c r="N642" t="str" s="2">
        <x:v>Prospect</x:v>
      </x:c>
      <x:c r="O642" s="0"/>
      <x:c r="P642" s="6">
        <x:v>46242</x:v>
      </x:c>
      <x:c r="Q642" s="6">
        <x:v>46252.67299510416</x:v>
      </x:c>
      <x:c r="R642" s="0"/>
      <x:c r="S642" s="0"/>
      <x:c r="T642" s="0"/>
      <x:c r="U642" s="0"/>
      <x:c r="V642" s="0"/>
      <x:c r="W642" s="0"/>
      <x:c r="X642" t="str" s="2">
        <x:v>3463898511</x:v>
      </x:c>
      <x:c r="Y642" t="str" s="2">
        <x:v>p2010ksm198715@gmail.com</x:v>
      </x:c>
      <x:c r="Z642" s="6">
        <x:v>46287.61187890046</x:v>
      </x:c>
      <x:c r="AA642" t="str" s="2">
        <x:v>Joey Marquez</x:v>
      </x:c>
      <x:c r="AB642" s="6">
        <x:v>46242.97994922454</x:v>
      </x:c>
      <x:c r="AC642" t="n" s="2">
        <x:v>39041</x:v>
      </x:c>
      <x:c r="AD642" s="0"/>
      <x:c r="AE642" s="0"/>
      <x:c r="AF642" s="0"/>
      <x:c r="AG642" s="0"/>
      <x:c r="AH642" s="0"/>
      <x:c r="AI642" s="0"/>
      <x:c r="AJ642" s="0"/>
      <x:c r="AK642" s="0"/>
    </x:row>
    <x:row r="643">
      <x:c r="A643" t="str" s="2">
        <x:f>=HYPERLINK("https://rsms.futurehomex.com/lead/39044", "James Hon")</x:f>
      </x:c>
      <x:c r="B643" t="n" s="2">
        <x:v>65</x:v>
      </x:c>
      <x:c r="C643" t="str" s="2">
        <x:v/>
      </x:c>
      <x:c r="D643" t="str" s="2">
        <x:f>=""</x:f>
      </x:c>
      <x:c r="E643" s="0"/>
      <x:c r="F643" t="str" s="2">
        <x:v>Facebook Messenger</x:v>
      </x:c>
      <x:c r="G643" t="str" s="2">
        <x:v>Heritage Housing of Albany</x:v>
      </x:c>
      <x:c r="H643" t="str" s="2">
        <x:v>Yanet Alvarez</x:v>
      </x:c>
      <x:c r="I643" t="str" s="2">
        <x:v>Karol Romero</x:v>
      </x:c>
      <x:c r="J643" t="str" s="2">
        <x:v>Alexander Bryant</x:v>
      </x:c>
      <x:c r="K643" t="n" s="2">
        <x:v>34</x:v>
      </x:c>
      <x:c r="L643" t="str" s="2">
        <x:v>2.4</x:v>
      </x:c>
      <x:c r="M643" t="str" s="2">
        <x:v>Active</x:v>
      </x:c>
      <x:c r="N643" t="str" s="2">
        <x:v>Deal approval</x:v>
      </x:c>
      <x:c r="O643" s="0"/>
      <x:c r="P643" s="6">
        <x:v>46243</x:v>
      </x:c>
      <x:c r="Q643" s="6">
        <x:v>46289.60928295139</x:v>
      </x:c>
      <x:c r="R643" s="0"/>
      <x:c r="S643" s="6">
        <x:v>46273</x:v>
      </x:c>
      <x:c r="T643" s="0"/>
      <x:c r="U643" s="0"/>
      <x:c r="V643" s="0"/>
      <x:c r="W643" s="0"/>
      <x:c r="X643" t="str" s="2">
        <x:v>4782129190</x:v>
      </x:c>
      <x:c r="Y643" t="str" s="2">
        <x:v>southernstreettowing@gmail.com</x:v>
      </x:c>
      <x:c r="Z643" s="6">
        <x:v>46289.60033568287</x:v>
      </x:c>
      <x:c r="AA643" t="str" s="2">
        <x:v>Alexander Bryant</x:v>
      </x:c>
      <x:c r="AB643" s="6">
        <x:v>46289.58928295139</x:v>
      </x:c>
      <x:c r="AC643" t="n" s="2">
        <x:v>39044</x:v>
      </x:c>
      <x:c r="AD643" t="str" s="2">
        <x:v>Doublewide</x:v>
      </x:c>
      <x:c r="AE643" s="0"/>
      <x:c r="AF643" s="0"/>
      <x:c r="AG643" s="7">
        <x:v>10000</x:v>
      </x:c>
      <x:c r="AH643" s="0"/>
      <x:c r="AI643" s="0"/>
      <x:c r="AJ643" s="0"/>
      <x:c r="AK643" s="0"/>
    </x:row>
    <x:row r="644">
      <x:c r="A644" t="str" s="2">
        <x:f>=HYPERLINK("https://rsms.futurehomex.com/lead/39045", "Paola Colorado")</x:f>
      </x:c>
      <x:c r="B644" t="n" s="2">
        <x:v>65</x:v>
      </x:c>
      <x:c r="C644" t="str" s="2">
        <x:v/>
      </x:c>
      <x:c r="D644" t="str" s="2">
        <x:f>=""</x:f>
      </x:c>
      <x:c r="E644" s="0"/>
      <x:c r="F644" t="str" s="2">
        <x:v>Walk-in</x:v>
      </x:c>
      <x:c r="G644" t="str" s="2">
        <x:v>Heritage Housing of Asheboro</x:v>
      </x:c>
      <x:c r="H644" t="str" s="2">
        <x:v>Maria Lopez</x:v>
      </x:c>
      <x:c r="I644" s="0"/>
      <x:c r="J644" s="0"/>
      <x:c r="K644" t="n" s="2">
        <x:v>21</x:v>
      </x:c>
      <x:c r="L644" t="str" s="2">
        <x:v>2.1</x:v>
      </x:c>
      <x:c r="M644" t="str" s="2">
        <x:v>Tentative</x:v>
      </x:c>
      <x:c r="N644" t="str" s="2">
        <x:v>Qualified</x:v>
      </x:c>
      <x:c r="O644" s="0"/>
      <x:c r="P644" s="6">
        <x:v>46243</x:v>
      </x:c>
      <x:c r="Q644" s="6">
        <x:v>46249.64279517361</x:v>
      </x:c>
      <x:c r="R644" s="0"/>
      <x:c r="S644" s="0"/>
      <x:c r="T644" s="0"/>
      <x:c r="U644" s="0"/>
      <x:c r="V644" s="0"/>
      <x:c r="W644" s="0"/>
      <x:c r="X644" t="str" s="2">
        <x:v>6467042179</x:v>
      </x:c>
      <x:c r="Y644" t="str" s="2">
        <x:v>pcolorado30@gmail.com</x:v>
      </x:c>
      <x:c r="Z644" s="6">
        <x:v>46249.64278394676</x:v>
      </x:c>
      <x:c r="AA644" t="str" s="2">
        <x:v>Jeremy Jacques</x:v>
      </x:c>
      <x:c r="AB644" s="6">
        <x:v>46243.7455534375</x:v>
      </x:c>
      <x:c r="AC644" t="n" s="2">
        <x:v>39045</x:v>
      </x:c>
      <x:c r="AD644" s="0"/>
      <x:c r="AE644" s="0"/>
      <x:c r="AF644" s="0"/>
      <x:c r="AG644" s="0"/>
      <x:c r="AH644" s="0"/>
      <x:c r="AI644" s="0"/>
      <x:c r="AJ644" s="0"/>
      <x:c r="AK644" s="0"/>
    </x:row>
    <x:row r="645">
      <x:c r="A645" t="str" s="2">
        <x:f>=HYPERLINK("https://rsms.futurehomex.com/lead/39047", "Selena Calvin Day")</x:f>
      </x:c>
      <x:c r="B645" t="n" s="2">
        <x:v>65</x:v>
      </x:c>
      <x:c r="C645" t="str" s="2">
        <x:v/>
      </x:c>
      <x:c r="D645" t="str" s="2">
        <x:f>=""</x:f>
      </x:c>
      <x:c r="E645" s="0"/>
      <x:c r="F645" t="str" s="2">
        <x:v>Facebook Messenger</x:v>
      </x:c>
      <x:c r="G645" t="str" s="2">
        <x:v>Heritage Housing of Oklahoma City</x:v>
      </x:c>
      <x:c r="H645" t="str" s="2">
        <x:v>Eva Misheva</x:v>
      </x:c>
      <x:c r="I645" s="0"/>
      <x:c r="J645" s="0"/>
      <x:c r="K645" t="n" s="2">
        <x:v>5</x:v>
      </x:c>
      <x:c r="L645" t="str" s="2">
        <x:v>1.1</x:v>
      </x:c>
      <x:c r="M645" t="str" s="2">
        <x:v>Dead</x:v>
      </x:c>
      <x:c r="N645" t="str" s="2">
        <x:v>Prospect</x:v>
      </x:c>
      <x:c r="O645" s="0"/>
      <x:c r="P645" s="6">
        <x:v>46243</x:v>
      </x:c>
      <x:c r="Q645" s="6">
        <x:v>46243.908079479166</x:v>
      </x:c>
      <x:c r="R645" s="0"/>
      <x:c r="S645" s="6">
        <x:v>46243</x:v>
      </x:c>
      <x:c r="T645" s="0"/>
      <x:c r="U645" s="0"/>
      <x:c r="V645" s="0"/>
      <x:c r="W645" s="0"/>
      <x:c r="X645" t="str" s="2">
        <x:v>4054201679</x:v>
      </x:c>
      <x:c r="Y645" t="str" s="2">
        <x:v>CalvinDay1984@gmail.com</x:v>
      </x:c>
      <x:c r="Z645" s="6">
        <x:v>46243.90990277778</x:v>
      </x:c>
      <x:c r="AA645" t="str" s="2">
        <x:v>Eva Misheva</x:v>
      </x:c>
      <x:c r="AB645" s="6">
        <x:v>46243.908080787034</x:v>
      </x:c>
      <x:c r="AC645" t="n" s="2">
        <x:v>39047</x:v>
      </x:c>
      <x:c r="AD645" s="0"/>
      <x:c r="AE645" s="0"/>
      <x:c r="AF645" s="0"/>
      <x:c r="AG645" s="0"/>
      <x:c r="AH645" s="0"/>
      <x:c r="AI645" s="0"/>
      <x:c r="AJ645" s="0"/>
      <x:c r="AK645" s="0"/>
    </x:row>
    <x:row r="646">
      <x:c r="A646" t="str" s="2">
        <x:f>=HYPERLINK("https://rsms.futurehomex.com/lead/39048", "Eduardo Tovar Valenzuela")</x:f>
      </x:c>
      <x:c r="B646" t="n" s="2">
        <x:v>64</x:v>
      </x:c>
      <x:c r="C646" t="str" s="2">
        <x:v>0/2</x:v>
      </x:c>
      <x:c r="D646" t="str" s="2">
        <x:f>=""</x:f>
      </x:c>
      <x:c r="E646" s="0"/>
      <x:c r="F646" t="str" s="2">
        <x:v>Facebook Messenger</x:v>
      </x:c>
      <x:c r="G646" t="str" s="2">
        <x:v>Heritage Housing of Greenville</x:v>
      </x:c>
      <x:c r="H646" t="str" s="2">
        <x:v>Ana Garcia</x:v>
      </x:c>
      <x:c r="I646" s="0"/>
      <x:c r="J646" t="str" s="2">
        <x:v>Ana Garcia</x:v>
      </x:c>
      <x:c r="K646" t="n" s="2">
        <x:v>64</x:v>
      </x:c>
      <x:c r="L646" t="str" s="2">
        <x:v>4.5</x:v>
      </x:c>
      <x:c r="M646" t="str" s="2">
        <x:v>Active</x:v>
      </x:c>
      <x:c r="N646" t="str" s="2">
        <x:v>Clear to Close</x:v>
      </x:c>
      <x:c r="O646" s="0"/>
      <x:c r="P646" s="6">
        <x:v>46244</x:v>
      </x:c>
      <x:c r="Q646" s="6">
        <x:v>46244.70395269676</x:v>
      </x:c>
      <x:c r="R646" s="0"/>
      <x:c r="S646" s="6">
        <x:v>46240</x:v>
      </x:c>
      <x:c r="T646" s="6">
        <x:v>46244</x:v>
      </x:c>
      <x:c r="U646" s="6">
        <x:v>46246</x:v>
      </x:c>
      <x:c r="V646" s="0"/>
      <x:c r="W646" s="0"/>
      <x:c r="X646" t="str" s="2">
        <x:v>4693154319</x:v>
      </x:c>
      <x:c r="Y646" t="str" s="2">
        <x:v>tovareduardo823@gmail.com</x:v>
      </x:c>
      <x:c r="Z646" s="6">
        <x:v>46251.64048672454</x:v>
      </x:c>
      <x:c r="AA646" t="str" s="2">
        <x:v>Brandie Sartor</x:v>
      </x:c>
      <x:c r="AB646" s="6">
        <x:v>46244.552416782404</x:v>
      </x:c>
      <x:c r="AC646" t="n" s="2">
        <x:v>39048</x:v>
      </x:c>
      <x:c r="AD646" t="str" s="2">
        <x:v>Singlewide</x:v>
      </x:c>
      <x:c r="AE646" s="0"/>
      <x:c r="AF646" s="0"/>
      <x:c r="AG646" s="7">
        <x:v>7500</x:v>
      </x:c>
      <x:c r="AH646" s="0"/>
      <x:c r="AI646" t="str" s="2">
        <x:v>558</x:v>
      </x:c>
      <x:c r="AJ646" s="0"/>
      <x:c r="AK646" s="0"/>
    </x:row>
    <x:row r="647">
      <x:c r="A647" t="str" s="2">
        <x:f>=HYPERLINK("https://rsms.futurehomex.com/lead/39049", "Eduardo Tovar Valenzuela")</x:f>
      </x:c>
      <x:c r="B647" t="n" s="2">
        <x:v>64</x:v>
      </x:c>
      <x:c r="C647" t="str" s="2">
        <x:v/>
      </x:c>
      <x:c r="D647" t="str" s="2">
        <x:f>=""</x:f>
      </x:c>
      <x:c r="E647" s="0"/>
      <x:c r="F647" t="str" s="2">
        <x:v>Facebook Messenger</x:v>
      </x:c>
      <x:c r="G647" t="str" s="2">
        <x:v>Heritage Housing of Greenville</x:v>
      </x:c>
      <x:c r="H647" t="str" s="2">
        <x:v>Ana Garcia</x:v>
      </x:c>
      <x:c r="I647" s="0"/>
      <x:c r="J647" t="str" s="2">
        <x:v>Ana Garcia</x:v>
      </x:c>
      <x:c r="K647" t="n" s="2">
        <x:v>38</x:v>
      </x:c>
      <x:c r="L647" t="str" s="2">
        <x:v>3.2</x:v>
      </x:c>
      <x:c r="M647" t="str" s="2">
        <x:v>Dead</x:v>
      </x:c>
      <x:c r="N647" t="str" s="2">
        <x:v>Application</x:v>
      </x:c>
      <x:c r="O647" s="6">
        <x:v>46326</x:v>
      </x:c>
      <x:c r="P647" s="6">
        <x:v>46244</x:v>
      </x:c>
      <x:c r="Q647" s="6">
        <x:v>46297.648700081016</x:v>
      </x:c>
      <x:c r="R647" s="0"/>
      <x:c r="S647" s="6">
        <x:v>46240</x:v>
      </x:c>
      <x:c r="T647" s="6">
        <x:v>46244</x:v>
      </x:c>
      <x:c r="U647" s="6">
        <x:v>46244</x:v>
      </x:c>
      <x:c r="V647" s="6">
        <x:v>46246</x:v>
      </x:c>
      <x:c r="W647" s="0"/>
      <x:c r="X647" t="str" s="2">
        <x:v>4693154319</x:v>
      </x:c>
      <x:c r="Y647" t="str" s="2">
        <x:v>tovareduardo823@gmail.com</x:v>
      </x:c>
      <x:c r="Z647" s="6">
        <x:v>46297.64836987269</x:v>
      </x:c>
      <x:c r="AA647" t="str" s="2">
        <x:v>Dane Lara</x:v>
      </x:c>
      <x:c r="AB647" s="6">
        <x:v>46244.56675153935</x:v>
      </x:c>
      <x:c r="AC647" t="n" s="2">
        <x:v>39049</x:v>
      </x:c>
      <x:c r="AD647" t="str" s="2">
        <x:v>Singlewide</x:v>
      </x:c>
      <x:c r="AE647" t="str" s="2">
        <x:v>Legacy Housing Corporation</x:v>
      </x:c>
      <x:c r="AF647" s="0"/>
      <x:c r="AG647" s="7">
        <x:v>8000</x:v>
      </x:c>
      <x:c r="AH647" s="0"/>
      <x:c r="AI647" s="0"/>
      <x:c r="AJ647" s="0"/>
      <x:c r="AK647" s="0"/>
    </x:row>
    <x:row r="648">
      <x:c r="A648" t="str" s="2">
        <x:f>=HYPERLINK("https://rsms.futurehomex.com/lead/39050", "Heidi Ogea")</x:f>
      </x:c>
      <x:c r="B648" t="n" s="2">
        <x:v>64</x:v>
      </x:c>
      <x:c r="C648" t="str" s="2">
        <x:v>0/3</x:v>
      </x:c>
      <x:c r="D648" t="str" s="2">
        <x:f>=""</x:f>
      </x:c>
      <x:c r="E648" s="0"/>
      <x:c r="F648" t="str" s="2">
        <x:v>Walk-in</x:v>
      </x:c>
      <x:c r="G648" t="str" s="2">
        <x:v>Heritage Housing of Jennings</x:v>
      </x:c>
      <x:c r="H648" t="str" s="2">
        <x:v>Mervin Leslie Smith</x:v>
      </x:c>
      <x:c r="I648" t="str" s="2">
        <x:v>Karol Romero</x:v>
      </x:c>
      <x:c r="J648" s="0"/>
      <x:c r="K648" t="n" s="2">
        <x:v>5</x:v>
      </x:c>
      <x:c r="L648" t="str" s="2">
        <x:v>1.1</x:v>
      </x:c>
      <x:c r="M648" t="str" s="2">
        <x:v>Inactive</x:v>
      </x:c>
      <x:c r="N648" t="str" s="2">
        <x:v>Prospect</x:v>
      </x:c>
      <x:c r="O648" s="0"/>
      <x:c r="P648" s="6">
        <x:v>46244</x:v>
      </x:c>
      <x:c r="Q648" s="6">
        <x:v>46244.59955517361</x:v>
      </x:c>
      <x:c r="R648" s="0"/>
      <x:c r="S648" s="0"/>
      <x:c r="T648" s="0"/>
      <x:c r="U648" s="0"/>
      <x:c r="V648" s="0"/>
      <x:c r="W648" s="0"/>
      <x:c r="X648" t="str" s="2">
        <x:v>3373682106</x:v>
      </x:c>
      <x:c r="Y648" t="str" s="2">
        <x:v>heidiogea@gmail.com</x:v>
      </x:c>
      <x:c r="Z648" s="6">
        <x:v>46266.814116863425</x:v>
      </x:c>
      <x:c r="AA648" t="str" s="2">
        <x:v>Mervin Leslie Smith</x:v>
      </x:c>
      <x:c r="AB648" s="6">
        <x:v>46244.59955752315</x:v>
      </x:c>
      <x:c r="AC648" t="n" s="2">
        <x:v>39050</x:v>
      </x:c>
      <x:c r="AD648" s="0"/>
      <x:c r="AE648" s="0"/>
      <x:c r="AF648" s="0"/>
      <x:c r="AG648" s="0"/>
      <x:c r="AH648" s="0"/>
      <x:c r="AI648" s="0"/>
      <x:c r="AJ648" s="0"/>
      <x:c r="AK648" s="0"/>
    </x:row>
    <x:row r="649">
      <x:c r="A649" t="str" s="2">
        <x:f>=HYPERLINK("https://rsms.futurehomex.com/lead/39051", "Tim Byrd")</x:f>
      </x:c>
      <x:c r="B649" t="n" s="2">
        <x:v>64</x:v>
      </x:c>
      <x:c r="C649" t="str" s="2">
        <x:v/>
      </x:c>
      <x:c r="D649" t="str" s="2">
        <x:f>=""</x:f>
      </x:c>
      <x:c r="E649" s="0"/>
      <x:c r="F649" t="str" s="2">
        <x:v>Walk-in</x:v>
      </x:c>
      <x:c r="G649" t="str" s="2">
        <x:v>Heritage Housing of Asheboro</x:v>
      </x:c>
      <x:c r="H649" t="str" s="2">
        <x:v>Maria Lopez</x:v>
      </x:c>
      <x:c r="I649" s="0"/>
      <x:c r="J649" t="str" s="2">
        <x:v>Maria Lopez</x:v>
      </x:c>
      <x:c r="K649" t="n" s="2">
        <x:v>21</x:v>
      </x:c>
      <x:c r="L649" t="str" s="2">
        <x:v>2.1</x:v>
      </x:c>
      <x:c r="M649" t="str" s="2">
        <x:v>Tentative</x:v>
      </x:c>
      <x:c r="N649" t="str" s="2">
        <x:v>Qualified</x:v>
      </x:c>
      <x:c r="O649" s="0"/>
      <x:c r="P649" s="6">
        <x:v>46244</x:v>
      </x:c>
      <x:c r="Q649" s="6">
        <x:v>46249.64169568287</x:v>
      </x:c>
      <x:c r="R649" s="0"/>
      <x:c r="S649" s="6">
        <x:v>46243</x:v>
      </x:c>
      <x:c r="T649" s="0"/>
      <x:c r="U649" s="0"/>
      <x:c r="V649" s="0"/>
      <x:c r="W649" s="0"/>
      <x:c r="X649" t="str" s="2">
        <x:v>9106503585</x:v>
      </x:c>
      <x:c r="Y649" t="str" s="2">
        <x:v>roadcase8@yahoo.com</x:v>
      </x:c>
      <x:c r="Z649" s="6">
        <x:v>46249.64168480324</x:v>
      </x:c>
      <x:c r="AA649" t="str" s="2">
        <x:v>Jeremy Jacques</x:v>
      </x:c>
      <x:c r="AB649" s="6">
        <x:v>46244.6366746875</x:v>
      </x:c>
      <x:c r="AC649" t="n" s="2">
        <x:v>39051</x:v>
      </x:c>
      <x:c r="AD649" s="0"/>
      <x:c r="AE649" s="0"/>
      <x:c r="AF649" s="0"/>
      <x:c r="AG649" s="0"/>
      <x:c r="AH649" s="0"/>
      <x:c r="AI649" s="0"/>
      <x:c r="AJ649" s="0"/>
      <x:c r="AK649" s="0"/>
    </x:row>
    <x:row r="650">
      <x:c r="A650" t="str" s="2">
        <x:f>=HYPERLINK("https://rsms.futurehomex.com/lead/39052", "Tiffany Huff")</x:f>
      </x:c>
      <x:c r="B650" t="n" s="2">
        <x:v>64</x:v>
      </x:c>
      <x:c r="C650" t="str" s="2">
        <x:v/>
      </x:c>
      <x:c r="D650" t="str" s="2">
        <x:f>=""</x:f>
      </x:c>
      <x:c r="E650" s="0"/>
      <x:c r="F650" t="str" s="2">
        <x:v>Website</x:v>
      </x:c>
      <x:c r="G650" t="str" s="2">
        <x:v>Heritage Housing of Augusta</x:v>
      </x:c>
      <x:c r="H650" t="str" s="2">
        <x:v>Faye Lively</x:v>
      </x:c>
      <x:c r="I650" t="str" s="2">
        <x:v>Karol Romero</x:v>
      </x:c>
      <x:c r="J650" s="0"/>
      <x:c r="K650" t="n" s="2">
        <x:v>38</x:v>
      </x:c>
      <x:c r="L650" t="str" s="2">
        <x:v>3.2</x:v>
      </x:c>
      <x:c r="M650" t="str" s="2">
        <x:v>Tentative</x:v>
      </x:c>
      <x:c r="N650" t="str" s="2">
        <x:v>Application</x:v>
      </x:c>
      <x:c r="O650" s="0"/>
      <x:c r="P650" s="6">
        <x:v>46244</x:v>
      </x:c>
      <x:c r="Q650" s="6">
        <x:v>46244.661311261574</x:v>
      </x:c>
      <x:c r="R650" s="0"/>
      <x:c r="S650" s="0"/>
      <x:c r="T650" s="0"/>
      <x:c r="U650" s="0"/>
      <x:c r="V650" s="0"/>
      <x:c r="W650" s="0"/>
      <x:c r="X650" t="str" s="2">
        <x:v>7064144572</x:v>
      </x:c>
      <x:c r="Y650" t="str" s="2">
        <x:v>tiffanydhuff@yahoo.com</x:v>
      </x:c>
      <x:c r="Z650" s="6">
        <x:v>46244.66149467593</x:v>
      </x:c>
      <x:c r="AA650" t="str" s="2">
        <x:v>Brian Amato</x:v>
      </x:c>
      <x:c r="AB650" s="6">
        <x:v>46244.64703584491</x:v>
      </x:c>
      <x:c r="AC650" t="n" s="2">
        <x:v>39052</x:v>
      </x:c>
      <x:c r="AD650" s="0"/>
      <x:c r="AE650" s="0"/>
      <x:c r="AF650" s="0"/>
      <x:c r="AG650" s="7">
        <x:v>12000</x:v>
      </x:c>
      <x:c r="AH650" s="0"/>
      <x:c r="AI650" s="0"/>
      <x:c r="AJ650" s="0"/>
      <x:c r="AK650" s="0"/>
    </x:row>
    <x:row r="651">
      <x:c r="A651" t="str" s="2">
        <x:f>=HYPERLINK("https://rsms.futurehomex.com/lead/39053", "Laura Turner")</x:f>
      </x:c>
      <x:c r="B651" t="n" s="2">
        <x:v>64</x:v>
      </x:c>
      <x:c r="C651" t="str" s="2">
        <x:v>0/4</x:v>
      </x:c>
      <x:c r="D651" t="str" s="2">
        <x:f>=""</x:f>
      </x:c>
      <x:c r="E651" t="str" s="2">
        <x:v>Laura Turner</x:v>
      </x:c>
      <x:c r="F651" t="str" s="2">
        <x:v>Walk-in</x:v>
      </x:c>
      <x:c r="G651" t="str" s="2">
        <x:v>Heritage Housing Marble Falls</x:v>
      </x:c>
      <x:c r="H651" t="str" s="2">
        <x:v>Franchesca Parker</x:v>
      </x:c>
      <x:c r="I651" s="0"/>
      <x:c r="J651" s="0"/>
      <x:c r="K651" t="n" s="2">
        <x:v>38</x:v>
      </x:c>
      <x:c r="L651" t="str" s="2">
        <x:v>3.2</x:v>
      </x:c>
      <x:c r="M651" t="str" s="2">
        <x:v>Dead</x:v>
      </x:c>
      <x:c r="N651" t="str" s="2">
        <x:v>Application</x:v>
      </x:c>
      <x:c r="O651" s="0"/>
      <x:c r="P651" s="6">
        <x:v>46244</x:v>
      </x:c>
      <x:c r="Q651" s="6">
        <x:v>46254.69089899305</x:v>
      </x:c>
      <x:c r="R651" s="0"/>
      <x:c r="S651" s="6">
        <x:v>46242</x:v>
      </x:c>
      <x:c r="T651" s="6">
        <x:v>46245</x:v>
      </x:c>
      <x:c r="U651" s="0"/>
      <x:c r="V651" s="0"/>
      <x:c r="W651" s="0"/>
      <x:c r="X651" t="str" s="2">
        <x:v>8306139824</x:v>
      </x:c>
      <x:c r="Y651" t="str" s="2">
        <x:v>Shiva.vessel@gmail.com</x:v>
      </x:c>
      <x:c r="Z651" s="6">
        <x:v>46255.76225431713</x:v>
      </x:c>
      <x:c r="AA651" t="str" s="2">
        <x:v>Jessica Kohanek</x:v>
      </x:c>
      <x:c r="AB651" s="6">
        <x:v>46244.66301952546</x:v>
      </x:c>
      <x:c r="AC651" t="n" s="2">
        <x:v>39053</x:v>
      </x:c>
      <x:c r="AD651" t="str" s="2">
        <x:v>Singlewide</x:v>
      </x:c>
      <x:c r="AE651" t="str" s="2">
        <x:v>21st Mortgage Corporation</x:v>
      </x:c>
      <x:c r="AF651" s="0"/>
      <x:c r="AG651" s="7">
        <x:v>10000</x:v>
      </x:c>
      <x:c r="AH651" s="0"/>
      <x:c r="AI651" t="str" s="2">
        <x:v>491</x:v>
      </x:c>
      <x:c r="AJ651" s="0"/>
      <x:c r="AK651" s="0"/>
    </x:row>
    <x:row r="652">
      <x:c r="A652" t="str" s="2">
        <x:f>=HYPERLINK("https://rsms.futurehomex.com/lead/39054", "Yuly Lovaina")</x:f>
      </x:c>
      <x:c r="B652" t="n" s="2">
        <x:v>64</x:v>
      </x:c>
      <x:c r="C652" t="str" s="2">
        <x:v>0/3</x:v>
      </x:c>
      <x:c r="D652" t="str" s="2">
        <x:f>=""</x:f>
      </x:c>
      <x:c r="E652" t="str" s="2">
        <x:v>Dunio Zaldivar</x:v>
      </x:c>
      <x:c r="F652" t="str" s="2">
        <x:v>Meta Marketplace</x:v>
      </x:c>
      <x:c r="G652" t="str" s="2">
        <x:v>Legacy Housing Corp. DBA Americasa</x:v>
      </x:c>
      <x:c r="H652" t="str" s="2">
        <x:v>Jose Parada</x:v>
      </x:c>
      <x:c r="I652" t="str" s="2">
        <x:v>Karol Romero</x:v>
      </x:c>
      <x:c r="J652" t="str" s="2">
        <x:v>Rodrigo Ramirez</x:v>
      </x:c>
      <x:c r="K652" t="n" s="2">
        <x:v>5</x:v>
      </x:c>
      <x:c r="L652" t="str" s="2">
        <x:v>1.1</x:v>
      </x:c>
      <x:c r="M652" t="str" s="2">
        <x:v>Inactive</x:v>
      </x:c>
      <x:c r="N652" t="str" s="2">
        <x:v>Prospect</x:v>
      </x:c>
      <x:c r="O652" s="0"/>
      <x:c r="P652" s="6">
        <x:v>46244</x:v>
      </x:c>
      <x:c r="Q652" s="6">
        <x:v>46244.91653229167</x:v>
      </x:c>
      <x:c r="R652" s="0"/>
      <x:c r="S652" s="6">
        <x:v>46244</x:v>
      </x:c>
      <x:c r="T652" s="0"/>
      <x:c r="U652" s="0"/>
      <x:c r="V652" s="0"/>
      <x:c r="W652" s="0"/>
      <x:c r="X652" t="str" s="2">
        <x:v>3466329884</x:v>
      </x:c>
      <x:c r="Y652" t="str" s="2">
        <x:v>yulylovaina@gmail.com</x:v>
      </x:c>
      <x:c r="Z652" s="6">
        <x:v>46300.55456686343</x:v>
      </x:c>
      <x:c r="AA652" t="str" s="2">
        <x:v>Jose Parada</x:v>
      </x:c>
      <x:c r="AB652" s="6">
        <x:v>46244.751809340276</x:v>
      </x:c>
      <x:c r="AC652" t="n" s="2">
        <x:v>39054</x:v>
      </x:c>
      <x:c r="AD652" s="0"/>
      <x:c r="AE652" s="0"/>
      <x:c r="AF652" s="0"/>
      <x:c r="AG652" s="0"/>
      <x:c r="AH652" s="0"/>
      <x:c r="AI652" s="0"/>
      <x:c r="AJ652" s="0"/>
      <x:c r="AK652" s="0"/>
    </x:row>
    <x:row r="653">
      <x:c r="A653" t="str" s="2">
        <x:f>=HYPERLINK("https://rsms.futurehomex.com/lead/39056", "Robert Burguess")</x:f>
      </x:c>
      <x:c r="B653" t="n" s="2">
        <x:v>64</x:v>
      </x:c>
      <x:c r="C653" t="str" s="2">
        <x:v>0/3</x:v>
      </x:c>
      <x:c r="D653" t="str" s="2">
        <x:f>=""</x:f>
      </x:c>
      <x:c r="E653" s="0"/>
      <x:c r="F653" t="str" s="2">
        <x:v>Facebook Messenger</x:v>
      </x:c>
      <x:c r="G653" t="str" s="2">
        <x:v>Heritage Housing of Oklahoma City</x:v>
      </x:c>
      <x:c r="H653" t="str" s="2">
        <x:v>Steve Castell</x:v>
      </x:c>
      <x:c r="I653" t="str" s="2">
        <x:v>Karol Romero</x:v>
      </x:c>
      <x:c r="J653" t="str" s="2">
        <x:v>Steve Castell</x:v>
      </x:c>
      <x:c r="K653" t="n" s="2">
        <x:v>5</x:v>
      </x:c>
      <x:c r="L653" t="str" s="2">
        <x:v>1.1</x:v>
      </x:c>
      <x:c r="M653" t="str" s="2">
        <x:v>Dead</x:v>
      </x:c>
      <x:c r="N653" t="str" s="2">
        <x:v>Deal Created</x:v>
      </x:c>
      <x:c r="O653" s="0"/>
      <x:c r="P653" s="6">
        <x:v>46244</x:v>
      </x:c>
      <x:c r="Q653" s="6">
        <x:v>46244.75702121528</x:v>
      </x:c>
      <x:c r="R653" t="str" s="2">
        <x:v>Alejandra Calderon</x:v>
      </x:c>
      <x:c r="S653" s="0"/>
      <x:c r="T653" s="0"/>
      <x:c r="U653" s="0"/>
      <x:c r="V653" s="0"/>
      <x:c r="W653" s="0"/>
      <x:c r="X653" t="str" s="2">
        <x:v>4059993090</x:v>
      </x:c>
      <x:c r="Y653" t="str" s="2">
        <x:v>4059993090</x:v>
      </x:c>
      <x:c r="Z653" s="6">
        <x:v>46296.96789209491</x:v>
      </x:c>
      <x:c r="AA653" t="str" s="2">
        <x:v>Alejandra Calderon</x:v>
      </x:c>
      <x:c r="AB653" s="6">
        <x:v>46296.96620899306</x:v>
      </x:c>
      <x:c r="AC653" t="n" s="2">
        <x:v>39056</x:v>
      </x:c>
      <x:c r="AD653" s="0"/>
      <x:c r="AE653" s="0"/>
      <x:c r="AF653" s="0"/>
      <x:c r="AG653" s="0"/>
      <x:c r="AH653" s="0"/>
      <x:c r="AI653" s="0"/>
      <x:c r="AJ653" s="0"/>
      <x:c r="AK653" s="0"/>
    </x:row>
    <x:row r="654">
      <x:c r="A654" t="str" s="2">
        <x:f>=HYPERLINK("https://rsms.futurehomex.com/lead/39057", "Tisha Kennedy")</x:f>
      </x:c>
      <x:c r="B654" t="n" s="2">
        <x:v>64</x:v>
      </x:c>
      <x:c r="C654" t="str" s="2">
        <x:v>1/1</x:v>
      </x:c>
      <x:c r="D654" t="str" s="2">
        <x:f>=""</x:f>
      </x:c>
      <x:c r="E654" s="0"/>
      <x:c r="F654" t="str" s="2">
        <x:v>Landing_BPM</x:v>
      </x:c>
      <x:c r="G654" t="str" s="2">
        <x:v>Heritage Housing of Oklahoma City</x:v>
      </x:c>
      <x:c r="H654" t="str" s="2">
        <x:v>Trey Rixleben</x:v>
      </x:c>
      <x:c r="I654" s="0"/>
      <x:c r="J654" t="str" s="2">
        <x:v>Trey Rixleben</x:v>
      </x:c>
      <x:c r="K654" t="n" s="2">
        <x:v>5</x:v>
      </x:c>
      <x:c r="L654" t="str" s="2">
        <x:v>1.1</x:v>
      </x:c>
      <x:c r="M654" t="str" s="2">
        <x:v>Tentative</x:v>
      </x:c>
      <x:c r="N654" t="str" s="2">
        <x:v>Prospect</x:v>
      </x:c>
      <x:c r="O654" s="0"/>
      <x:c r="P654" s="6">
        <x:v>46244</x:v>
      </x:c>
      <x:c r="Q654" s="6">
        <x:v>46281.939323645835</x:v>
      </x:c>
      <x:c r="R654" s="0"/>
      <x:c r="S654" s="0"/>
      <x:c r="T654" s="0"/>
      <x:c r="U654" s="0"/>
      <x:c r="V654" s="0"/>
      <x:c r="W654" s="0"/>
      <x:c r="X654" t="str" s="2">
        <x:v>9187189437</x:v>
      </x:c>
      <x:c r="Y654" t="str" s="2">
        <x:v>kennedytisha9@gmail.com</x:v>
      </x:c>
      <x:c r="Z654" s="6">
        <x:v>46281.939671643515</x:v>
      </x:c>
      <x:c r="AA654" t="str" s="2">
        <x:v>Trey Rixleben</x:v>
      </x:c>
      <x:c r="AB654" s="6">
        <x:v>46244.78506967593</x:v>
      </x:c>
      <x:c r="AC654" t="n" s="2">
        <x:v>39057</x:v>
      </x:c>
      <x:c r="AD654" s="0"/>
      <x:c r="AE654" s="0"/>
      <x:c r="AF654" s="0"/>
      <x:c r="AG654" s="0"/>
      <x:c r="AH654" s="0"/>
      <x:c r="AI654" s="0"/>
      <x:c r="AJ654" s="0"/>
      <x:c r="AK654" s="0"/>
    </x:row>
    <x:row r="655">
      <x:c r="A655" t="str" s="2">
        <x:f>=HYPERLINK("https://rsms.futurehomex.com/lead/39058", "Stafford Randolph")</x:f>
      </x:c>
      <x:c r="B655" t="n" s="2">
        <x:v>64</x:v>
      </x:c>
      <x:c r="C655" t="str" s="2">
        <x:v>0/1</x:v>
      </x:c>
      <x:c r="D655" t="str" s="2">
        <x:f>=""</x:f>
      </x:c>
      <x:c r="E655" s="0"/>
      <x:c r="F655" t="str" s="2">
        <x:v>Walk-in</x:v>
      </x:c>
      <x:c r="G655" t="str" s="2">
        <x:v>Heritage Housing of Augusta</x:v>
      </x:c>
      <x:c r="H655" t="str" s="2">
        <x:v>Jennifer Johnson</x:v>
      </x:c>
      <x:c r="I655" s="0"/>
      <x:c r="J655" s="0"/>
      <x:c r="K655" t="n" s="2">
        <x:v>5</x:v>
      </x:c>
      <x:c r="L655" t="str" s="2">
        <x:v>1.1</x:v>
      </x:c>
      <x:c r="M655" t="str" s="2">
        <x:v>Tentative</x:v>
      </x:c>
      <x:c r="N655" t="str" s="2">
        <x:v>Prospect</x:v>
      </x:c>
      <x:c r="O655" s="0"/>
      <x:c r="P655" s="6">
        <x:v>46244</x:v>
      </x:c>
      <x:c r="Q655" s="6">
        <x:v>46281.67583811343</x:v>
      </x:c>
      <x:c r="R655" s="0"/>
      <x:c r="S655" s="0"/>
      <x:c r="T655" s="0"/>
      <x:c r="U655" s="0"/>
      <x:c r="V655" s="0"/>
      <x:c r="W655" s="0"/>
      <x:c r="X655" t="str" s="2">
        <x:v>4048052398</x:v>
      </x:c>
      <x:c r="Y655" t="str" s="2">
        <x:v>a1.mechanical@yahoo.com</x:v>
      </x:c>
      <x:c r="Z655" s="6">
        <x:v>46296.8339159375</x:v>
      </x:c>
      <x:c r="AA655" t="str" s="2">
        <x:v>Jennifer Johnson</x:v>
      </x:c>
      <x:c r="AB655" s="6">
        <x:v>46244.788436030096</x:v>
      </x:c>
      <x:c r="AC655" t="n" s="2">
        <x:v>39058</x:v>
      </x:c>
      <x:c r="AD655" s="0"/>
      <x:c r="AE655" s="0"/>
      <x:c r="AF655" s="0"/>
      <x:c r="AG655" s="0"/>
      <x:c r="AH655" s="0"/>
      <x:c r="AI655" s="0"/>
      <x:c r="AJ655" s="0"/>
      <x:c r="AK655" s="0"/>
    </x:row>
    <x:row r="656">
      <x:c r="A656" t="str" s="2">
        <x:f>=HYPERLINK("https://rsms.futurehomex.com/lead/39059", "Jim Reeves")</x:f>
      </x:c>
      <x:c r="B656" t="n" s="2">
        <x:v>64</x:v>
      </x:c>
      <x:c r="C656" t="str" s="2">
        <x:v>0/1</x:v>
      </x:c>
      <x:c r="D656" t="str" s="2">
        <x:f>=""</x:f>
      </x:c>
      <x:c r="E656" t="str" s="2">
        <x:v>Charlene Reeves</x:v>
      </x:c>
      <x:c r="F656" t="str" s="2">
        <x:v>Financing Form</x:v>
      </x:c>
      <x:c r="G656" t="str" s="2">
        <x:v>Heritage Housing Gainesville</x:v>
      </x:c>
      <x:c r="H656" t="str" s="2">
        <x:v>Kelly Ford</x:v>
      </x:c>
      <x:c r="I656" s="0"/>
      <x:c r="J656" t="str" s="2">
        <x:v>Kelly Ford</x:v>
      </x:c>
      <x:c r="K656" t="n" s="2">
        <x:v>38</x:v>
      </x:c>
      <x:c r="L656" t="str" s="2">
        <x:v>3.2</x:v>
      </x:c>
      <x:c r="M656" t="str" s="2">
        <x:v>Denied</x:v>
      </x:c>
      <x:c r="N656" t="str" s="2">
        <x:v>Application</x:v>
      </x:c>
      <x:c r="O656" s="0"/>
      <x:c r="P656" s="6">
        <x:v>46244</x:v>
      </x:c>
      <x:c r="Q656" s="6">
        <x:v>46297.73075008102</x:v>
      </x:c>
      <x:c r="R656" s="0"/>
      <x:c r="S656" s="6">
        <x:v>46244</x:v>
      </x:c>
      <x:c r="T656" s="6">
        <x:v>46244</x:v>
      </x:c>
      <x:c r="U656" s="0"/>
      <x:c r="V656" s="0"/>
      <x:c r="W656" s="0"/>
      <x:c r="X656" t="str" s="2">
        <x:v>5807681492</x:v>
      </x:c>
      <x:c r="Y656" t="str" s="2">
        <x:v>crownomatica@gmail.com</x:v>
      </x:c>
      <x:c r="Z656" s="6">
        <x:v>46247.58867920139</x:v>
      </x:c>
      <x:c r="AA656" t="str" s="2">
        <x:v>Sarahi Vazquez</x:v>
      </x:c>
      <x:c r="AB656" s="6">
        <x:v>46244.790619988424</x:v>
      </x:c>
      <x:c r="AC656" t="n" s="2">
        <x:v>39059</x:v>
      </x:c>
      <x:c r="AD656" t="str" s="2">
        <x:v>Singlewide</x:v>
      </x:c>
      <x:c r="AE656" s="0"/>
      <x:c r="AF656" s="0"/>
      <x:c r="AG656" s="7">
        <x:v>12296.09</x:v>
      </x:c>
      <x:c r="AH656" s="0"/>
      <x:c r="AI656" t="str" s="2">
        <x:v>627</x:v>
      </x:c>
      <x:c r="AJ656" s="0"/>
      <x:c r="AK656" s="0"/>
    </x:row>
    <x:row r="657">
      <x:c r="A657" t="str" s="2">
        <x:f>=HYPERLINK("https://rsms.futurehomex.com/lead/39060", "Patrick Schuchart")</x:f>
      </x:c>
      <x:c r="B657" t="n" s="2">
        <x:v>64</x:v>
      </x:c>
      <x:c r="C657" t="str" s="2">
        <x:v/>
      </x:c>
      <x:c r="D657" t="str" s="2">
        <x:f>=""</x:f>
      </x:c>
      <x:c r="E657" s="0"/>
      <x:c r="F657" t="str" s="2">
        <x:v>Other</x:v>
      </x:c>
      <x:c r="G657" t="str" s="2">
        <x:v>Heritage Housing of Minden</x:v>
      </x:c>
      <x:c r="H657" t="str" s="2">
        <x:v>Kyla Brown</x:v>
      </x:c>
      <x:c r="I657" t="str" s="2">
        <x:v>Karol Romero</x:v>
      </x:c>
      <x:c r="J657" t="str" s="2">
        <x:v>Kyla Brown</x:v>
      </x:c>
      <x:c r="K657" t="n" s="2">
        <x:v>5</x:v>
      </x:c>
      <x:c r="L657" t="str" s="2">
        <x:v>1.1</x:v>
      </x:c>
      <x:c r="M657" t="str" s="2">
        <x:v>Dead</x:v>
      </x:c>
      <x:c r="N657" t="str" s="2">
        <x:v>Deal Created</x:v>
      </x:c>
      <x:c r="O657" s="0"/>
      <x:c r="P657" s="6">
        <x:v>46244</x:v>
      </x:c>
      <x:c r="Q657" s="6">
        <x:v>46244.80819247685</x:v>
      </x:c>
      <x:c r="R657" s="0"/>
      <x:c r="S657" s="6">
        <x:v>46244</x:v>
      </x:c>
      <x:c r="T657" s="0"/>
      <x:c r="U657" s="0"/>
      <x:c r="V657" s="0"/>
      <x:c r="W657" s="0"/>
      <x:c r="X657" t="str" s="2">
        <x:v>2148303625</x:v>
      </x:c>
      <x:c r="Y657" t="str" s="2">
        <x:v>patrick.kristee@gmail.com</x:v>
      </x:c>
      <x:c r="Z657" s="0"/>
      <x:c r="AA657" s="0"/>
      <x:c r="AB657" s="6">
        <x:v>46244.80422693287</x:v>
      </x:c>
      <x:c r="AC657" t="n" s="2">
        <x:v>39060</x:v>
      </x:c>
      <x:c r="AD657" s="0"/>
      <x:c r="AE657" s="0"/>
      <x:c r="AF657" s="0"/>
      <x:c r="AG657" s="0"/>
      <x:c r="AH657" s="0"/>
      <x:c r="AI657" s="0"/>
      <x:c r="AJ657" s="0"/>
      <x:c r="AK657" s="0"/>
    </x:row>
    <x:row r="658">
      <x:c r="A658" t="str" s="2">
        <x:f>=HYPERLINK("https://rsms.futurehomex.com/lead/39061", "Tomeka Wren")</x:f>
      </x:c>
      <x:c r="B658" t="n" s="2">
        <x:v>64</x:v>
      </x:c>
      <x:c r="C658" t="str" s="2">
        <x:v>0/1</x:v>
      </x:c>
      <x:c r="D658" t="str" s="2">
        <x:f>=""</x:f>
      </x:c>
      <x:c r="E658" s="0"/>
      <x:c r="F658" t="str" s="2">
        <x:v>Facebook Messenger</x:v>
      </x:c>
      <x:c r="G658" t="str" s="2">
        <x:v>Heritage Housing of Albany</x:v>
      </x:c>
      <x:c r="H658" t="str" s="2">
        <x:v>Alexander Bryant</x:v>
      </x:c>
      <x:c r="I658" t="str" s="2">
        <x:v>Karol Romero</x:v>
      </x:c>
      <x:c r="J658" t="str" s="2">
        <x:v>Alexander Bryant</x:v>
      </x:c>
      <x:c r="K658" t="n" s="2">
        <x:v>5</x:v>
      </x:c>
      <x:c r="L658" t="str" s="2">
        <x:v>1.1</x:v>
      </x:c>
      <x:c r="M658" t="str" s="2">
        <x:v>Tentative</x:v>
      </x:c>
      <x:c r="N658" t="str" s="2">
        <x:v>Deal Created</x:v>
      </x:c>
      <x:c r="O658" s="0"/>
      <x:c r="P658" s="6">
        <x:v>46244</x:v>
      </x:c>
      <x:c r="Q658" s="6">
        <x:v>46280.92151929398</x:v>
      </x:c>
      <x:c r="R658" s="0"/>
      <x:c r="S658" s="6">
        <x:v>46244</x:v>
      </x:c>
      <x:c r="T658" s="0"/>
      <x:c r="U658" s="0"/>
      <x:c r="V658" s="0"/>
      <x:c r="W658" s="0"/>
      <x:c r="X658" t="str" s="2">
        <x:v>2299475743</x:v>
      </x:c>
      <x:c r="Y658" t="str" s="2">
        <x:v>tomekawren@icloud.com</x:v>
      </x:c>
      <x:c r="Z658" s="6">
        <x:v>46253.69409834491</x:v>
      </x:c>
      <x:c r="AA658" t="str" s="2">
        <x:v>Alexander Bryant</x:v>
      </x:c>
      <x:c r="AB658" s="6">
        <x:v>46244.824128125</x:v>
      </x:c>
      <x:c r="AC658" t="n" s="2">
        <x:v>39061</x:v>
      </x:c>
      <x:c r="AD658" s="0"/>
      <x:c r="AE658" s="0"/>
      <x:c r="AF658" s="0"/>
      <x:c r="AG658" s="0"/>
      <x:c r="AH658" s="0"/>
      <x:c r="AI658" s="0"/>
      <x:c r="AJ658" s="0"/>
      <x:c r="AK658" s="0"/>
    </x:row>
    <x:row r="659">
      <x:c r="A659" t="str" s="2">
        <x:f>=HYPERLINK("https://rsms.futurehomex.com/lead/39062", "John Patillo")</x:f>
      </x:c>
      <x:c r="B659" t="n" s="2">
        <x:v>64</x:v>
      </x:c>
      <x:c r="C659" t="str" s="2">
        <x:v>0/4</x:v>
      </x:c>
      <x:c r="D659" t="str" s="2">
        <x:f>=""</x:f>
      </x:c>
      <x:c r="E659" s="0"/>
      <x:c r="F659" t="str" s="2">
        <x:v>Facebook Messenger</x:v>
      </x:c>
      <x:c r="G659" t="str" s="2">
        <x:v>Heritage Housing of Canton</x:v>
      </x:c>
      <x:c r="H659" t="str" s="2">
        <x:v>Maira Garcia</x:v>
      </x:c>
      <x:c r="I659" s="0"/>
      <x:c r="J659" t="str" s="2">
        <x:v>Maira Garcia</x:v>
      </x:c>
      <x:c r="K659" t="n" s="2">
        <x:v>100</x:v>
      </x:c>
      <x:c r="L659" t="str" s="2">
        <x:v>6.2</x:v>
      </x:c>
      <x:c r="M659" t="str" s="2">
        <x:v>Closed</x:v>
      </x:c>
      <x:c r="N659" t="str" s="2">
        <x:v>Delivered</x:v>
      </x:c>
      <x:c r="O659" s="6">
        <x:v>46273</x:v>
      </x:c>
      <x:c r="P659" s="6">
        <x:v>46244</x:v>
      </x:c>
      <x:c r="Q659" s="6">
        <x:v>46293.97682376157</x:v>
      </x:c>
      <x:c r="R659" s="0"/>
      <x:c r="S659" s="0"/>
      <x:c r="T659" s="0"/>
      <x:c r="U659" s="6">
        <x:v>46248</x:v>
      </x:c>
      <x:c r="V659" s="6">
        <x:v>46248</x:v>
      </x:c>
      <x:c r="W659" s="6">
        <x:v>46293</x:v>
      </x:c>
      <x:c r="X659" t="str" s="2">
        <x:v>8032909707</x:v>
      </x:c>
      <x:c r="Y659" t="str" s="2">
        <x:v>john.patillo@yahoo.com</x:v>
      </x:c>
      <x:c r="Z659" s="6">
        <x:v>46274.88043383102</x:v>
      </x:c>
      <x:c r="AA659" t="str" s="2">
        <x:v>Kristin Breedlove</x:v>
      </x:c>
      <x:c r="AB659" s="6">
        <x:v>46244.86166200232</x:v>
      </x:c>
      <x:c r="AC659" t="n" s="2">
        <x:v>39062</x:v>
      </x:c>
      <x:c r="AD659" t="str" s="2">
        <x:v>Singlewide</x:v>
      </x:c>
      <x:c r="AE659" t="str" s="2">
        <x:v>Legacy Housing Corporation</x:v>
      </x:c>
      <x:c r="AF659" s="7">
        <x:v>11900</x:v>
      </x:c>
      <x:c r="AG659" s="7">
        <x:v>11900</x:v>
      </x:c>
      <x:c r="AH659" s="7">
        <x:v>11900</x:v>
      </x:c>
      <x:c r="AI659" t="str" s="2">
        <x:v>704</x:v>
      </x:c>
      <x:c r="AJ659" s="0"/>
      <x:c r="AK659" s="0"/>
    </x:row>
    <x:row r="660">
      <x:c r="A660" t="str" s="2">
        <x:f>=HYPERLINK("https://rsms.futurehomex.com/lead/39064", "Marcus S Prudhomme")</x:f>
      </x:c>
      <x:c r="B660" t="n" s="2">
        <x:v>64</x:v>
      </x:c>
      <x:c r="C660" t="str" s="2">
        <x:v>1/5</x:v>
      </x:c>
      <x:c r="D660" t="str" s="2">
        <x:f>="REFUND"</x:f>
      </x:c>
      <x:c r="E660" s="0"/>
      <x:c r="F660" t="str" s="2">
        <x:v>Walk-in</x:v>
      </x:c>
      <x:c r="G660" t="str" s="2">
        <x:v>Heritage Housing of Jennings</x:v>
      </x:c>
      <x:c r="H660" t="str" s="2">
        <x:v>Clint O'Neal</x:v>
      </x:c>
      <x:c r="I660" s="0"/>
      <x:c r="J660" s="0"/>
      <x:c r="K660" t="n" s="2">
        <x:v>38</x:v>
      </x:c>
      <x:c r="L660" t="str" s="2">
        <x:v>3.2</x:v>
      </x:c>
      <x:c r="M660" t="str" s="2">
        <x:v>Inactive</x:v>
      </x:c>
      <x:c r="N660" t="str" s="2">
        <x:v>Application</x:v>
      </x:c>
      <x:c r="O660" s="0"/>
      <x:c r="P660" s="6">
        <x:v>46244</x:v>
      </x:c>
      <x:c r="Q660" s="6">
        <x:v>46247.032348229164</x:v>
      </x:c>
      <x:c r="R660" s="0"/>
      <x:c r="S660" s="6">
        <x:v>46244</x:v>
      </x:c>
      <x:c r="T660" s="0"/>
      <x:c r="U660" s="0"/>
      <x:c r="V660" s="0"/>
      <x:c r="W660" s="0"/>
      <x:c r="X660" t="str" s="2">
        <x:v>3373705200</x:v>
      </x:c>
      <x:c r="Y660" t="str" s="2">
        <x:v>cobra_r302@hotmail.com</x:v>
      </x:c>
      <x:c r="Z660" s="6">
        <x:v>46253.749977430554</x:v>
      </x:c>
      <x:c r="AA660" t="str" s="2">
        <x:v>Clint O'Neal</x:v>
      </x:c>
      <x:c r="AB660" s="6">
        <x:v>46244.87914991898</x:v>
      </x:c>
      <x:c r="AC660" t="n" s="2">
        <x:v>39064</x:v>
      </x:c>
      <x:c r="AD660" t="str" s="2">
        <x:v>Doublewide</x:v>
      </x:c>
      <x:c r="AE660" t="str" s="2">
        <x:v>Legacy Housing Corporation</x:v>
      </x:c>
      <x:c r="AF660" s="7">
        <x:v>10805</x:v>
      </x:c>
      <x:c r="AG660" s="7">
        <x:v>10805</x:v>
      </x:c>
      <x:c r="AH660" s="7">
        <x:v>500</x:v>
      </x:c>
      <x:c r="AI660" t="str" s="2">
        <x:v>690</x:v>
      </x:c>
      <x:c r="AJ660" s="0"/>
      <x:c r="AK660" s="0"/>
    </x:row>
    <x:row r="661">
      <x:c r="A661" t="str" s="2">
        <x:f>=HYPERLINK("https://rsms.futurehomex.com/lead/39065", "Joni McAbee")</x:f>
      </x:c>
      <x:c r="B661" t="n" s="2">
        <x:v>64</x:v>
      </x:c>
      <x:c r="C661" t="str" s="2">
        <x:v>0/3</x:v>
      </x:c>
      <x:c r="D661" t="str" s="2">
        <x:f>=""</x:f>
      </x:c>
      <x:c r="E661" s="0"/>
      <x:c r="F661" t="str" s="2">
        <x:v>Facebook Messenger</x:v>
      </x:c>
      <x:c r="G661" t="str" s="2">
        <x:v>Heritage Housing of Oklahoma City</x:v>
      </x:c>
      <x:c r="H661" t="str" s="2">
        <x:v>Steve Castell</x:v>
      </x:c>
      <x:c r="I661" s="0"/>
      <x:c r="J661" s="0"/>
      <x:c r="K661" t="n" s="2">
        <x:v>5</x:v>
      </x:c>
      <x:c r="L661" t="str" s="2">
        <x:v>1.1</x:v>
      </x:c>
      <x:c r="M661" t="str" s="2">
        <x:v>Inactive</x:v>
      </x:c>
      <x:c r="N661" t="str" s="2">
        <x:v>Prospect</x:v>
      </x:c>
      <x:c r="O661" s="0"/>
      <x:c r="P661" s="6">
        <x:v>46244</x:v>
      </x:c>
      <x:c r="Q661" s="6">
        <x:v>46245.66274818287</x:v>
      </x:c>
      <x:c r="R661" s="0"/>
      <x:c r="S661" s="6">
        <x:v>46245</x:v>
      </x:c>
      <x:c r="T661" s="0"/>
      <x:c r="U661" s="0"/>
      <x:c r="V661" s="0"/>
      <x:c r="W661" s="0"/>
      <x:c r="X661" t="str" s="2">
        <x:v>4793053481</x:v>
      </x:c>
      <x:c r="Y661" t="str" s="2">
        <x:v>johallhank90@gmail.com</x:v>
      </x:c>
      <x:c r="Z661" s="6">
        <x:v>46300.99035995371</x:v>
      </x:c>
      <x:c r="AA661" t="str" s="2">
        <x:v>Steve Castell</x:v>
      </x:c>
      <x:c r="AB661" s="6">
        <x:v>46244.8998022338</x:v>
      </x:c>
      <x:c r="AC661" t="n" s="2">
        <x:v>39065</x:v>
      </x:c>
      <x:c r="AD661" s="0"/>
      <x:c r="AE661" s="0"/>
      <x:c r="AF661" s="0"/>
      <x:c r="AG661" s="0"/>
      <x:c r="AH661" s="0"/>
      <x:c r="AI661" t="str" s="2">
        <x:v>567</x:v>
      </x:c>
      <x:c r="AJ661" s="0"/>
      <x:c r="AK661" s="0"/>
    </x:row>
    <x:row r="662">
      <x:c r="A662" t="str" s="2">
        <x:f>=HYPERLINK("https://rsms.futurehomex.com/lead/39066", "Latanya Lincor")</x:f>
      </x:c>
      <x:c r="B662" t="n" s="2">
        <x:v>64</x:v>
      </x:c>
      <x:c r="C662" t="str" s="2">
        <x:v>0/1</x:v>
      </x:c>
      <x:c r="D662" t="str" s="2">
        <x:f>=""</x:f>
      </x:c>
      <x:c r="E662" s="0"/>
      <x:c r="F662" t="str" s="2">
        <x:v>Office Hot Calls</x:v>
      </x:c>
      <x:c r="G662" t="str" s="2">
        <x:v>Heritage Housing of Oklahoma City</x:v>
      </x:c>
      <x:c r="H662" t="str" s="2">
        <x:v>Alejandra Calderon</x:v>
      </x:c>
      <x:c r="I662" s="0"/>
      <x:c r="J662" s="0"/>
      <x:c r="K662" t="n" s="2">
        <x:v>5</x:v>
      </x:c>
      <x:c r="L662" t="str" s="2">
        <x:v>1.1</x:v>
      </x:c>
      <x:c r="M662" t="str" s="2">
        <x:v>Dead</x:v>
      </x:c>
      <x:c r="N662" t="str" s="2">
        <x:v>Deal Created</x:v>
      </x:c>
      <x:c r="O662" s="0"/>
      <x:c r="P662" s="6">
        <x:v>46244</x:v>
      </x:c>
      <x:c r="Q662" s="6">
        <x:v>46244.90514938658</x:v>
      </x:c>
      <x:c r="R662" s="0"/>
      <x:c r="S662" s="0"/>
      <x:c r="T662" s="0"/>
      <x:c r="U662" s="0"/>
      <x:c r="V662" s="0"/>
      <x:c r="W662" s="0"/>
      <x:c r="X662" t="str" s="2">
        <x:v>4057198536</x:v>
      </x:c>
      <x:c r="Y662" t="str" s="2">
        <x:v>l4dylink3r@gmail.com</x:v>
      </x:c>
      <x:c r="Z662" s="6">
        <x:v>46274.85930667824</x:v>
      </x:c>
      <x:c r="AA662" t="str" s="2">
        <x:v>Alejandra Calderon</x:v>
      </x:c>
      <x:c r="AB662" s="6">
        <x:v>46244.905150659724</x:v>
      </x:c>
      <x:c r="AC662" t="n" s="2">
        <x:v>39066</x:v>
      </x:c>
      <x:c r="AD662" s="0"/>
      <x:c r="AE662" s="0"/>
      <x:c r="AF662" s="0"/>
      <x:c r="AG662" s="0"/>
      <x:c r="AH662" s="0"/>
      <x:c r="AI662" s="0"/>
      <x:c r="AJ662" s="0"/>
      <x:c r="AK662" s="0"/>
    </x:row>
    <x:row r="663">
      <x:c r="A663" t="str" s="2">
        <x:f>=HYPERLINK("https://rsms.futurehomex.com/lead/39067", "Jacob HARRINGTON")</x:f>
      </x:c>
      <x:c r="B663" t="n" s="2">
        <x:v>64</x:v>
      </x:c>
      <x:c r="C663" t="str" s="2">
        <x:v>0/1</x:v>
      </x:c>
      <x:c r="D663" t="str" s="2">
        <x:f>=""</x:f>
      </x:c>
      <x:c r="E663" s="0"/>
      <x:c r="F663" t="str" s="2">
        <x:v>Walk-in</x:v>
      </x:c>
      <x:c r="G663" t="str" s="2">
        <x:v>Heritage Housing of Jennings</x:v>
      </x:c>
      <x:c r="H663" t="str" s="2">
        <x:v>Mervin Leslie Smith</x:v>
      </x:c>
      <x:c r="I663" s="0"/>
      <x:c r="J663" s="0"/>
      <x:c r="K663" t="n" s="2">
        <x:v>5</x:v>
      </x:c>
      <x:c r="L663" t="str" s="2">
        <x:v>1.1</x:v>
      </x:c>
      <x:c r="M663" t="str" s="2">
        <x:v>Inactive</x:v>
      </x:c>
      <x:c r="N663" t="str" s="2">
        <x:v>Prospect</x:v>
      </x:c>
      <x:c r="O663" s="0"/>
      <x:c r="P663" s="6">
        <x:v>46244</x:v>
      </x:c>
      <x:c r="Q663" s="6">
        <x:v>46244.92736782407</x:v>
      </x:c>
      <x:c r="R663" s="0"/>
      <x:c r="S663" s="0"/>
      <x:c r="T663" s="0"/>
      <x:c r="U663" s="0"/>
      <x:c r="V663" s="0"/>
      <x:c r="W663" s="0"/>
      <x:c r="X663" t="str" s="2">
        <x:v>3379360541</x:v>
      </x:c>
      <x:c r="Y663" t="str" s="2">
        <x:v>jacobharrington673@gmail.com</x:v>
      </x:c>
      <x:c r="Z663" s="6">
        <x:v>46246.781001076386</x:v>
      </x:c>
      <x:c r="AA663" t="str" s="2">
        <x:v>Mervin Leslie Smith</x:v>
      </x:c>
      <x:c r="AB663" s="6">
        <x:v>46244.92736832176</x:v>
      </x:c>
      <x:c r="AC663" t="n" s="2">
        <x:v>39067</x:v>
      </x:c>
      <x:c r="AD663" s="0"/>
      <x:c r="AE663" s="0"/>
      <x:c r="AF663" s="0"/>
      <x:c r="AG663" s="0"/>
      <x:c r="AH663" s="0"/>
      <x:c r="AI663" s="0"/>
      <x:c r="AJ663" s="0"/>
      <x:c r="AK663" s="0"/>
    </x:row>
    <x:row r="664">
      <x:c r="A664" t="str" s="2">
        <x:f>=HYPERLINK("https://rsms.futurehomex.com/lead/39068", "Adam &amp; Kathy Brougham")</x:f>
      </x:c>
      <x:c r="B664" t="n" s="2">
        <x:v>64</x:v>
      </x:c>
      <x:c r="C664" t="str" s="2">
        <x:v>1/2</x:v>
      </x:c>
      <x:c r="D664" t="str" s="2">
        <x:f>=""</x:f>
      </x:c>
      <x:c r="E664" s="0"/>
      <x:c r="F664" t="str" s="2">
        <x:v>Facebook Messenger</x:v>
      </x:c>
      <x:c r="G664" t="str" s="2">
        <x:v>Heritage Housing of Oklahoma City</x:v>
      </x:c>
      <x:c r="H664" t="str" s="2">
        <x:v>Steve Castell</x:v>
      </x:c>
      <x:c r="I664" s="0"/>
      <x:c r="J664" t="str" s="2">
        <x:v>Steve Castell</x:v>
      </x:c>
      <x:c r="K664" t="n" s="2">
        <x:v>5</x:v>
      </x:c>
      <x:c r="L664" t="str" s="2">
        <x:v>1.1</x:v>
      </x:c>
      <x:c r="M664" t="str" s="2">
        <x:v>Tentative</x:v>
      </x:c>
      <x:c r="N664" t="str" s="2">
        <x:v>Deal Created</x:v>
      </x:c>
      <x:c r="O664" s="0"/>
      <x:c r="P664" s="6">
        <x:v>46244</x:v>
      </x:c>
      <x:c r="Q664" s="6">
        <x:v>46244.92900413195</x:v>
      </x:c>
      <x:c r="R664" s="0"/>
      <x:c r="S664" s="6">
        <x:v>46245</x:v>
      </x:c>
      <x:c r="T664" s="0"/>
      <x:c r="U664" s="0"/>
      <x:c r="V664" s="0"/>
      <x:c r="W664" s="0"/>
      <x:c r="X664" t="str" s="2">
        <x:v>4055352331</x:v>
      </x:c>
      <x:c r="Y664" t="str" s="2">
        <x:v>interlockg@gmail.com</x:v>
      </x:c>
      <x:c r="Z664" s="6">
        <x:v>46247.98501582176</x:v>
      </x:c>
      <x:c r="AA664" t="str" s="2">
        <x:v>Steve Castell</x:v>
      </x:c>
      <x:c r="AB664" s="6">
        <x:v>46244.9290053588</x:v>
      </x:c>
      <x:c r="AC664" t="n" s="2">
        <x:v>39068</x:v>
      </x:c>
      <x:c r="AD664" s="0"/>
      <x:c r="AE664" s="0"/>
      <x:c r="AF664" s="0"/>
      <x:c r="AG664" s="0"/>
      <x:c r="AH664" s="0"/>
      <x:c r="AI664" s="0"/>
      <x:c r="AJ664" s="0"/>
      <x:c r="AK664" s="0"/>
    </x:row>
    <x:row r="665">
      <x:c r="A665" t="str" s="2">
        <x:f>=HYPERLINK("https://rsms.futurehomex.com/lead/39069", "Dianne Rodriguez")</x:f>
      </x:c>
      <x:c r="B665" t="n" s="2">
        <x:v>64</x:v>
      </x:c>
      <x:c r="C665" t="str" s="2">
        <x:v/>
      </x:c>
      <x:c r="D665" t="str" s="2">
        <x:f>=""</x:f>
      </x:c>
      <x:c r="E665" s="0"/>
      <x:c r="F665" t="str" s="2">
        <x:v>Walk-in</x:v>
      </x:c>
      <x:c r="G665" t="str" s="2">
        <x:v>Heritage Housing of Asheboro</x:v>
      </x:c>
      <x:c r="H665" t="str" s="2">
        <x:v>Maria Lopez</x:v>
      </x:c>
      <x:c r="I665" s="0"/>
      <x:c r="J665" t="str" s="2">
        <x:v>Maria Lopez</x:v>
      </x:c>
      <x:c r="K665" t="n" s="2">
        <x:v>21</x:v>
      </x:c>
      <x:c r="L665" t="str" s="2">
        <x:v>2.1</x:v>
      </x:c>
      <x:c r="M665" t="str" s="2">
        <x:v>Tentative</x:v>
      </x:c>
      <x:c r="N665" t="str" s="2">
        <x:v>Qualified</x:v>
      </x:c>
      <x:c r="O665" s="0"/>
      <x:c r="P665" s="6">
        <x:v>46244</x:v>
      </x:c>
      <x:c r="Q665" s="6">
        <x:v>46249.64219471065</x:v>
      </x:c>
      <x:c r="R665" s="0"/>
      <x:c r="S665" s="6">
        <x:v>46244</x:v>
      </x:c>
      <x:c r="T665" s="0"/>
      <x:c r="U665" s="0"/>
      <x:c r="V665" s="0"/>
      <x:c r="W665" s="0"/>
      <x:c r="X665" t="str" s="2">
        <x:v>3366536309</x:v>
      </x:c>
      <x:c r="Y665" t="str" s="2">
        <x:v>drodri377@gmail.com</x:v>
      </x:c>
      <x:c r="Z665" s="6">
        <x:v>46249.64218449074</x:v>
      </x:c>
      <x:c r="AA665" t="str" s="2">
        <x:v>Jeremy Jacques</x:v>
      </x:c>
      <x:c r="AB665" s="6">
        <x:v>46244.93636388889</x:v>
      </x:c>
      <x:c r="AC665" t="n" s="2">
        <x:v>39069</x:v>
      </x:c>
      <x:c r="AD665" s="0"/>
      <x:c r="AE665" s="0"/>
      <x:c r="AF665" s="0"/>
      <x:c r="AG665" s="0"/>
      <x:c r="AH665" s="0"/>
      <x:c r="AI665" s="0"/>
      <x:c r="AJ665" s="0"/>
      <x:c r="AK665" s="0"/>
    </x:row>
    <x:row r="666">
      <x:c r="A666" t="str" s="2">
        <x:f>=HYPERLINK("https://rsms.futurehomex.com/lead/39070", "Myles Willingham")</x:f>
      </x:c>
      <x:c r="B666" t="n" s="2">
        <x:v>64</x:v>
      </x:c>
      <x:c r="C666" t="str" s="2">
        <x:v>0/1</x:v>
      </x:c>
      <x:c r="D666" t="str" s="2">
        <x:f>=""</x:f>
      </x:c>
      <x:c r="E666" s="0"/>
      <x:c r="F666" t="str" s="2">
        <x:v>Meta Marketplace</x:v>
      </x:c>
      <x:c r="G666" t="str" s="2">
        <x:v>Heritage Housing of Oklahoma City</x:v>
      </x:c>
      <x:c r="H666" t="str" s="2">
        <x:v>Alejandra Calderon</x:v>
      </x:c>
      <x:c r="I666" t="str" s="2">
        <x:v>Karol Romero</x:v>
      </x:c>
      <x:c r="J666" s="0"/>
      <x:c r="K666" t="n" s="2">
        <x:v>5</x:v>
      </x:c>
      <x:c r="L666" t="str" s="2">
        <x:v>1.1</x:v>
      </x:c>
      <x:c r="M666" t="str" s="2">
        <x:v>Dead</x:v>
      </x:c>
      <x:c r="N666" t="str" s="2">
        <x:v>Deal Created</x:v>
      </x:c>
      <x:c r="O666" s="0"/>
      <x:c r="P666" s="6">
        <x:v>46244</x:v>
      </x:c>
      <x:c r="Q666" s="6">
        <x:v>46244.94022511574</x:v>
      </x:c>
      <x:c r="R666" s="0"/>
      <x:c r="S666" s="0"/>
      <x:c r="T666" s="0"/>
      <x:c r="U666" s="0"/>
      <x:c r="V666" s="0"/>
      <x:c r="W666" s="0"/>
      <x:c r="X666" t="str" s="2">
        <x:v>4052149419</x:v>
      </x:c>
      <x:c r="Y666" t="str" s="2">
        <x:v>myleserror87@gmail.com</x:v>
      </x:c>
      <x:c r="Z666" s="6">
        <x:v>46251.73955806713</x:v>
      </x:c>
      <x:c r="AA666" t="str" s="2">
        <x:v>Valerie Ramirez</x:v>
      </x:c>
      <x:c r="AB666" s="6">
        <x:v>46244.94022638889</x:v>
      </x:c>
      <x:c r="AC666" t="n" s="2">
        <x:v>39070</x:v>
      </x:c>
      <x:c r="AD666" s="0"/>
      <x:c r="AE666" s="0"/>
      <x:c r="AF666" s="0"/>
      <x:c r="AG666" s="0"/>
      <x:c r="AH666" s="0"/>
      <x:c r="AI666" s="0"/>
      <x:c r="AJ666" s="0"/>
      <x:c r="AK666" s="0"/>
    </x:row>
    <x:row r="667">
      <x:c r="A667" t="str" s="2">
        <x:f>=HYPERLINK("https://rsms.futurehomex.com/lead/39071", "Harry Duggins")</x:f>
      </x:c>
      <x:c r="B667" t="n" s="2">
        <x:v>64</x:v>
      </x:c>
      <x:c r="C667" t="str" s="2">
        <x:v>2/4</x:v>
      </x:c>
      <x:c r="D667" t="str" s="2">
        <x:f>=""</x:f>
      </x:c>
      <x:c r="E667" s="0"/>
      <x:c r="F667" t="str" s="2">
        <x:v>Facebook Messenger</x:v>
      </x:c>
      <x:c r="G667" t="str" s="2">
        <x:v>Heritage Housing of Oklahoma City</x:v>
      </x:c>
      <x:c r="H667" t="str" s="2">
        <x:v>Alejandra Calderon</x:v>
      </x:c>
      <x:c r="I667" t="str" s="2">
        <x:v>Karol Romero</x:v>
      </x:c>
      <x:c r="J667" t="str" s="2">
        <x:v>Steve Castell</x:v>
      </x:c>
      <x:c r="K667" t="n" s="2">
        <x:v>5</x:v>
      </x:c>
      <x:c r="L667" t="str" s="2">
        <x:v>1.1</x:v>
      </x:c>
      <x:c r="M667" t="str" s="2">
        <x:v>Tentative</x:v>
      </x:c>
      <x:c r="N667" t="str" s="2">
        <x:v>Deal Created</x:v>
      </x:c>
      <x:c r="O667" s="0"/>
      <x:c r="P667" s="6">
        <x:v>46244</x:v>
      </x:c>
      <x:c r="Q667" s="6">
        <x:v>46244.94477202546</x:v>
      </x:c>
      <x:c r="R667" s="0"/>
      <x:c r="S667" s="0"/>
      <x:c r="T667" s="0"/>
      <x:c r="U667" s="0"/>
      <x:c r="V667" s="0"/>
      <x:c r="W667" s="0"/>
      <x:c r="X667" t="str" s="2">
        <x:v>4056142665</x:v>
      </x:c>
      <x:c r="Y667" t="str" s="2">
        <x:v>4056142665</x:v>
      </x:c>
      <x:c r="Z667" s="6">
        <x:v>46262.773973414354</x:v>
      </x:c>
      <x:c r="AA667" t="str" s="2">
        <x:v>Alejandra Calderon</x:v>
      </x:c>
      <x:c r="AB667" s="6">
        <x:v>46244.94477322917</x:v>
      </x:c>
      <x:c r="AC667" t="n" s="2">
        <x:v>39071</x:v>
      </x:c>
      <x:c r="AD667" s="0"/>
      <x:c r="AE667" s="0"/>
      <x:c r="AF667" s="0"/>
      <x:c r="AG667" s="0"/>
      <x:c r="AH667" s="0"/>
      <x:c r="AI667" s="0"/>
      <x:c r="AJ667" s="0"/>
      <x:c r="AK667" s="0"/>
    </x:row>
    <x:row r="668">
      <x:c r="A668" t="str" s="2">
        <x:f>=HYPERLINK("https://rsms.futurehomex.com/lead/39072", "Cristi Burns")</x:f>
      </x:c>
      <x:c r="B668" t="n" s="2">
        <x:v>64</x:v>
      </x:c>
      <x:c r="C668" t="str" s="2">
        <x:v>1/7</x:v>
      </x:c>
      <x:c r="D668" t="str" s="2">
        <x:f>=""</x:f>
      </x:c>
      <x:c r="E668" s="0"/>
      <x:c r="F668" t="str" s="2">
        <x:v>Facebook Messenger</x:v>
      </x:c>
      <x:c r="G668" t="str" s="2">
        <x:v>Heritage Housing of Oklahoma City</x:v>
      </x:c>
      <x:c r="H668" t="str" s="2">
        <x:v>Alejandra Calderon</x:v>
      </x:c>
      <x:c r="I668" t="str" s="2">
        <x:v>Karol Romero</x:v>
      </x:c>
      <x:c r="J668" s="0"/>
      <x:c r="K668" t="n" s="2">
        <x:v>5</x:v>
      </x:c>
      <x:c r="L668" t="str" s="2">
        <x:v>1.1</x:v>
      </x:c>
      <x:c r="M668" t="str" s="2">
        <x:v>Tentative</x:v>
      </x:c>
      <x:c r="N668" t="str" s="2">
        <x:v>Deal Created</x:v>
      </x:c>
      <x:c r="O668" s="0"/>
      <x:c r="P668" s="6">
        <x:v>46244</x:v>
      </x:c>
      <x:c r="Q668" s="6">
        <x:v>46244.952734375</x:v>
      </x:c>
      <x:c r="R668" s="0"/>
      <x:c r="S668" s="0"/>
      <x:c r="T668" s="0"/>
      <x:c r="U668" s="0"/>
      <x:c r="V668" s="0"/>
      <x:c r="W668" s="0"/>
      <x:c r="X668" t="str" s="2">
        <x:v>4058814263</x:v>
      </x:c>
      <x:c r="Y668" t="str" s="2">
        <x:v>caburns43@gmail.com</x:v>
      </x:c>
      <x:c r="Z668" s="6">
        <x:v>46297.63520454861</x:v>
      </x:c>
      <x:c r="AA668" t="str" s="2">
        <x:v>Alejandra Calderon</x:v>
      </x:c>
      <x:c r="AB668" s="6">
        <x:v>46244.95273561343</x:v>
      </x:c>
      <x:c r="AC668" t="n" s="2">
        <x:v>39072</x:v>
      </x:c>
      <x:c r="AD668" s="0"/>
      <x:c r="AE668" s="0"/>
      <x:c r="AF668" s="0"/>
      <x:c r="AG668" s="0"/>
      <x:c r="AH668" s="0"/>
      <x:c r="AI668" s="0"/>
      <x:c r="AJ668" s="0"/>
      <x:c r="AK668" s="0"/>
    </x:row>
    <x:row r="669">
      <x:c r="A669" t="str" s="2">
        <x:f>=HYPERLINK("https://rsms.futurehomex.com/lead/39073", "Cedric Briscoe")</x:f>
      </x:c>
      <x:c r="B669" t="n" s="2">
        <x:v>64</x:v>
      </x:c>
      <x:c r="C669" t="str" s="2">
        <x:v>0/2</x:v>
      </x:c>
      <x:c r="D669" t="str" s="2">
        <x:f>=""</x:f>
      </x:c>
      <x:c r="E669" s="0"/>
      <x:c r="F669" t="str" s="2">
        <x:v>Meta Ads - Forms</x:v>
      </x:c>
      <x:c r="G669" t="str" s="2">
        <x:v>Heritage Housing Marble Falls</x:v>
      </x:c>
      <x:c r="H669" t="str" s="2">
        <x:v>Stephen Sanders</x:v>
      </x:c>
      <x:c r="I669" s="0"/>
      <x:c r="J669" s="0"/>
      <x:c r="K669" t="n" s="2">
        <x:v>5</x:v>
      </x:c>
      <x:c r="L669" t="str" s="2">
        <x:v>1.1</x:v>
      </x:c>
      <x:c r="M669" t="str" s="2">
        <x:v>Tentative</x:v>
      </x:c>
      <x:c r="N669" t="str" s="2">
        <x:v>Prospect</x:v>
      </x:c>
      <x:c r="O669" s="0"/>
      <x:c r="P669" s="6">
        <x:v>46244</x:v>
      </x:c>
      <x:c r="Q669" s="6">
        <x:v>46288.64073144676</x:v>
      </x:c>
      <x:c r="R669" s="0"/>
      <x:c r="S669" s="0"/>
      <x:c r="T669" s="0"/>
      <x:c r="U669" s="0"/>
      <x:c r="V669" s="0"/>
      <x:c r="W669" s="0"/>
      <x:c r="X669" t="str" s="2">
        <x:v>9793470334</x:v>
      </x:c>
      <x:c r="Y669" t="str" s="2">
        <x:v>teetsag@yahoo.com</x:v>
      </x:c>
      <x:c r="Z669" s="6">
        <x:v>46288.680284953705</x:v>
      </x:c>
      <x:c r="AA669" t="str" s="2">
        <x:v>Stephen Sanders</x:v>
      </x:c>
      <x:c r="AB669" s="6">
        <x:v>46244.953347222225</x:v>
      </x:c>
      <x:c r="AC669" t="n" s="2">
        <x:v>39073</x:v>
      </x:c>
      <x:c r="AD669" s="0"/>
      <x:c r="AE669" s="0"/>
      <x:c r="AF669" s="0"/>
      <x:c r="AG669" s="0"/>
      <x:c r="AH669" s="0"/>
      <x:c r="AI669" s="0"/>
      <x:c r="AJ669" s="0"/>
      <x:c r="AK669" s="0"/>
    </x:row>
    <x:row r="670">
      <x:c r="A670" t="str" s="2">
        <x:f>=HYPERLINK("https://rsms.futurehomex.com/lead/39074", "Norma Garcia")</x:f>
      </x:c>
      <x:c r="B670" t="n" s="2">
        <x:v>64</x:v>
      </x:c>
      <x:c r="C670" t="str" s="2">
        <x:v/>
      </x:c>
      <x:c r="D670" t="str" s="2">
        <x:f>=""</x:f>
      </x:c>
      <x:c r="E670" s="0"/>
      <x:c r="F670" t="str" s="2">
        <x:v>Meta Ads - Messenger</x:v>
      </x:c>
      <x:c r="G670" t="str" s="2">
        <x:v>Heritage Housing Mt Pleasant</x:v>
      </x:c>
      <x:c r="H670" t="str" s="2">
        <x:v>Sandra Saldana</x:v>
      </x:c>
      <x:c r="I670" s="0"/>
      <x:c r="J670" t="str" s="2">
        <x:v>Sandra Saldana</x:v>
      </x:c>
      <x:c r="K670" t="n" s="2">
        <x:v>5</x:v>
      </x:c>
      <x:c r="L670" t="str" s="2">
        <x:v>1.1</x:v>
      </x:c>
      <x:c r="M670" t="str" s="2">
        <x:v>Tentative</x:v>
      </x:c>
      <x:c r="N670" t="str" s="2">
        <x:v>Deal Created</x:v>
      </x:c>
      <x:c r="O670" s="0"/>
      <x:c r="P670" s="6">
        <x:v>46244</x:v>
      </x:c>
      <x:c r="Q670" s="6">
        <x:v>46244.963297222224</x:v>
      </x:c>
      <x:c r="R670" s="0"/>
      <x:c r="S670" s="0"/>
      <x:c r="T670" s="0"/>
      <x:c r="U670" s="0"/>
      <x:c r="V670" s="0"/>
      <x:c r="W670" s="0"/>
      <x:c r="X670" t="str" s="2">
        <x:v>9033872879</x:v>
      </x:c>
      <x:c r="Y670" t="str" s="2">
        <x:v>9033872879</x:v>
      </x:c>
      <x:c r="Z670" s="6">
        <x:v>46244.984200729166</x:v>
      </x:c>
      <x:c r="AA670" t="str" s="2">
        <x:v>Sandra Saldana</x:v>
      </x:c>
      <x:c r="AB670" s="6">
        <x:v>46244.96329857639</x:v>
      </x:c>
      <x:c r="AC670" t="n" s="2">
        <x:v>39074</x:v>
      </x:c>
      <x:c r="AD670" s="0"/>
      <x:c r="AE670" s="0"/>
      <x:c r="AF670" s="0"/>
      <x:c r="AG670" s="0"/>
      <x:c r="AH670" s="0"/>
      <x:c r="AI670" s="0"/>
      <x:c r="AJ670" s="0"/>
      <x:c r="AK670" s="0"/>
    </x:row>
    <x:row r="671">
      <x:c r="A671" t="str" s="2">
        <x:f>=HYPERLINK("https://rsms.futurehomex.com/lead/39076", "ESAU NAVARRO")</x:f>
      </x:c>
      <x:c r="B671" t="n" s="2">
        <x:v>63</x:v>
      </x:c>
      <x:c r="C671" t="str" s="2">
        <x:v>0/1</x:v>
      </x:c>
      <x:c r="D671" t="str" s="2">
        <x:f>=""</x:f>
      </x:c>
      <x:c r="E671" s="0"/>
      <x:c r="F671" t="str" s="2">
        <x:v>Facebook Messenger</x:v>
      </x:c>
      <x:c r="G671" t="str" s="2">
        <x:v>Heritage Housing of Canton</x:v>
      </x:c>
      <x:c r="H671" t="str" s="2">
        <x:v>Jacob Hatten</x:v>
      </x:c>
      <x:c r="I671" s="0"/>
      <x:c r="J671" t="str" s="2">
        <x:v>Jacob Hatten</x:v>
      </x:c>
      <x:c r="K671" t="n" s="2">
        <x:v>38</x:v>
      </x:c>
      <x:c r="L671" t="str" s="2">
        <x:v>3.2</x:v>
      </x:c>
      <x:c r="M671" t="str" s="2">
        <x:v>Denied</x:v>
      </x:c>
      <x:c r="N671" t="str" s="2">
        <x:v>Application</x:v>
      </x:c>
      <x:c r="O671" s="0"/>
      <x:c r="P671" s="6">
        <x:v>46245</x:v>
      </x:c>
      <x:c r="Q671" s="6">
        <x:v>46252.612586840274</x:v>
      </x:c>
      <x:c r="R671" s="0"/>
      <x:c r="S671" s="0"/>
      <x:c r="T671" s="0"/>
      <x:c r="U671" s="0"/>
      <x:c r="V671" s="0"/>
      <x:c r="W671" s="0"/>
      <x:c r="X671" t="str" s="2">
        <x:v>2148748126</x:v>
      </x:c>
      <x:c r="Y671" t="str" s="2">
        <x:v>ESAUNAVARRO75@GMAIL.COM</x:v>
      </x:c>
      <x:c r="Z671" s="6">
        <x:v>46253.64655509259</x:v>
      </x:c>
      <x:c r="AA671" t="str" s="2">
        <x:v>Jacob Hatten</x:v>
      </x:c>
      <x:c r="AB671" s="6">
        <x:v>46245.56751006944</x:v>
      </x:c>
      <x:c r="AC671" t="n" s="2">
        <x:v>39076</x:v>
      </x:c>
      <x:c r="AD671" t="str" s="2">
        <x:v>Doublewide</x:v>
      </x:c>
      <x:c r="AE671" t="str" s="2">
        <x:v>Legacy Housing Corporation</x:v>
      </x:c>
      <x:c r="AF671" s="7">
        <x:v>15000</x:v>
      </x:c>
      <x:c r="AG671" s="7">
        <x:v>15000</x:v>
      </x:c>
      <x:c r="AH671" s="7">
        <x:v>1500</x:v>
      </x:c>
      <x:c r="AI671" t="str" s="2">
        <x:v>0</x:v>
      </x:c>
      <x:c r="AJ671" s="0"/>
      <x:c r="AK671" s="0"/>
    </x:row>
    <x:row r="672">
      <x:c r="A672" t="str" s="2">
        <x:f>=HYPERLINK("https://rsms.futurehomex.com/lead/39077", "Eric Whatley")</x:f>
      </x:c>
      <x:c r="B672" t="n" s="2">
        <x:v>63</x:v>
      </x:c>
      <x:c r="C672" t="str" s="2">
        <x:v/>
      </x:c>
      <x:c r="D672" t="str" s="2">
        <x:f>=""</x:f>
      </x:c>
      <x:c r="E672" s="0"/>
      <x:c r="F672" t="str" s="2">
        <x:v>Landing_BPM</x:v>
      </x:c>
      <x:c r="G672" t="str" s="2">
        <x:v>Heritage Housing Gainesville</x:v>
      </x:c>
      <x:c r="H672" t="str" s="2">
        <x:v>Chris Michniacki</x:v>
      </x:c>
      <x:c r="I672" s="0"/>
      <x:c r="J672" t="str" s="2">
        <x:v>Chris Michniacki</x:v>
      </x:c>
      <x:c r="K672" t="n" s="2">
        <x:v>5</x:v>
      </x:c>
      <x:c r="L672" t="str" s="2">
        <x:v>1.1</x:v>
      </x:c>
      <x:c r="M672" t="str" s="2">
        <x:v>Dead</x:v>
      </x:c>
      <x:c r="N672" t="str" s="2">
        <x:v>Prospect</x:v>
      </x:c>
      <x:c r="O672" s="0"/>
      <x:c r="P672" s="6">
        <x:v>46245</x:v>
      </x:c>
      <x:c r="Q672" s="6">
        <x:v>46245.58938012731</x:v>
      </x:c>
      <x:c r="R672" s="0"/>
      <x:c r="S672" s="6">
        <x:v>46245</x:v>
      </x:c>
      <x:c r="T672" s="0"/>
      <x:c r="U672" s="0"/>
      <x:c r="V672" s="0"/>
      <x:c r="W672" s="0"/>
      <x:c r="X672" t="str" s="2">
        <x:v>9406425789</x:v>
      </x:c>
      <x:c r="Y672" t="str" s="2">
        <x:v>ericswhatley@gmail.com</x:v>
      </x:c>
      <x:c r="Z672" s="6">
        <x:v>46245.65120917824</x:v>
      </x:c>
      <x:c r="AA672" t="str" s="2">
        <x:v>John Schwichtenberg</x:v>
      </x:c>
      <x:c r="AB672" s="6">
        <x:v>46245.58938090278</x:v>
      </x:c>
      <x:c r="AC672" t="n" s="2">
        <x:v>39077</x:v>
      </x:c>
      <x:c r="AD672" s="0"/>
      <x:c r="AE672" s="0"/>
      <x:c r="AF672" s="0"/>
      <x:c r="AG672" s="0"/>
      <x:c r="AH672" s="0"/>
      <x:c r="AI672" s="0"/>
      <x:c r="AJ672" s="0"/>
      <x:c r="AK672" s="0"/>
    </x:row>
    <x:row r="673">
      <x:c r="A673" t="str" s="2">
        <x:f>=HYPERLINK("https://rsms.futurehomex.com/lead/39078", "Charles Pitchford")</x:f>
      </x:c>
      <x:c r="B673" t="n" s="2">
        <x:v>63</x:v>
      </x:c>
      <x:c r="C673" t="str" s="2">
        <x:v>0/2</x:v>
      </x:c>
      <x:c r="D673" t="str" s="2">
        <x:f>=""</x:f>
      </x:c>
      <x:c r="E673" s="0"/>
      <x:c r="F673" t="str" s="2">
        <x:v>Walk-in</x:v>
      </x:c>
      <x:c r="G673" t="str" s="2">
        <x:v>Heritage Housing of Augusta</x:v>
      </x:c>
      <x:c r="H673" t="str" s="2">
        <x:v>Alex Jones</x:v>
      </x:c>
      <x:c r="I673" t="str" s="2">
        <x:v>Karol Romero</x:v>
      </x:c>
      <x:c r="J673" t="str" s="2">
        <x:v>Alex Jones</x:v>
      </x:c>
      <x:c r="K673" t="n" s="2">
        <x:v>38</x:v>
      </x:c>
      <x:c r="L673" t="str" s="2">
        <x:v>3.2</x:v>
      </x:c>
      <x:c r="M673" t="str" s="2">
        <x:v>Dead</x:v>
      </x:c>
      <x:c r="N673" t="str" s="2">
        <x:v>Application</x:v>
      </x:c>
      <x:c r="O673" s="0"/>
      <x:c r="P673" s="6">
        <x:v>46245</x:v>
      </x:c>
      <x:c r="Q673" s="6">
        <x:v>46261.633126423614</x:v>
      </x:c>
      <x:c r="R673" s="0"/>
      <x:c r="S673" s="6">
        <x:v>46244</x:v>
      </x:c>
      <x:c r="T673" s="0"/>
      <x:c r="U673" s="0"/>
      <x:c r="V673" s="0"/>
      <x:c r="W673" s="0"/>
      <x:c r="X673" t="str" s="2">
        <x:v>7066998480</x:v>
      </x:c>
      <x:c r="Y673" t="str" s="2">
        <x:v>charlespitchford1@icloud.com</x:v>
      </x:c>
      <x:c r="Z673" s="6">
        <x:v>46258.88140170139</x:v>
      </x:c>
      <x:c r="AA673" t="str" s="2">
        <x:v>Alex Jones</x:v>
      </x:c>
      <x:c r="AB673" s="6">
        <x:v>46245.597388622686</x:v>
      </x:c>
      <x:c r="AC673" t="n" s="2">
        <x:v>39078</x:v>
      </x:c>
      <x:c r="AD673" t="str" s="2">
        <x:v>Doublewide</x:v>
      </x:c>
      <x:c r="AE673" s="0"/>
      <x:c r="AF673" s="0"/>
      <x:c r="AG673" s="0"/>
      <x:c r="AH673" s="0"/>
      <x:c r="AI673" s="0"/>
      <x:c r="AJ673" s="0"/>
      <x:c r="AK673" s="0"/>
    </x:row>
    <x:row r="674">
      <x:c r="A674" t="str" s="2">
        <x:f>=HYPERLINK("https://rsms.futurehomex.com/lead/39079", "Steve &amp; Brenda Broughton")</x:f>
      </x:c>
      <x:c r="B674" t="n" s="2">
        <x:v>63</x:v>
      </x:c>
      <x:c r="C674" t="str" s="2">
        <x:v>0/2</x:v>
      </x:c>
      <x:c r="D674" t="str" s="2">
        <x:f>=""</x:f>
      </x:c>
      <x:c r="E674" s="0"/>
      <x:c r="F674" t="str" s="2">
        <x:v>Facebook Messenger</x:v>
      </x:c>
      <x:c r="G674" t="str" s="2">
        <x:v>Heritage Housing of Oklahoma City</x:v>
      </x:c>
      <x:c r="H674" t="str" s="2">
        <x:v>Steve Castell</x:v>
      </x:c>
      <x:c r="I674" s="0"/>
      <x:c r="J674" t="str" s="2">
        <x:v>Steve Castell</x:v>
      </x:c>
      <x:c r="K674" t="n" s="2">
        <x:v>5</x:v>
      </x:c>
      <x:c r="L674" t="str" s="2">
        <x:v>1.1</x:v>
      </x:c>
      <x:c r="M674" t="str" s="2">
        <x:v>Dead</x:v>
      </x:c>
      <x:c r="N674" t="str" s="2">
        <x:v>Deal Created</x:v>
      </x:c>
      <x:c r="O674" s="0"/>
      <x:c r="P674" s="6">
        <x:v>46245</x:v>
      </x:c>
      <x:c r="Q674" s="6">
        <x:v>46245.75171311342</x:v>
      </x:c>
      <x:c r="R674" s="0"/>
      <x:c r="S674" s="0"/>
      <x:c r="T674" s="0"/>
      <x:c r="U674" s="0"/>
      <x:c r="V674" s="0"/>
      <x:c r="W674" s="0"/>
      <x:c r="X674" t="str" s="2">
        <x:v>9188550390</x:v>
      </x:c>
      <x:c r="Y674" t="str" s="2">
        <x:v>bsbroughton2017@gmail.com</x:v>
      </x:c>
      <x:c r="Z674" s="6">
        <x:v>46262.96578510417</x:v>
      </x:c>
      <x:c r="AA674" t="str" s="2">
        <x:v>Steve Castell</x:v>
      </x:c>
      <x:c r="AB674" s="6">
        <x:v>46245.59740810185</x:v>
      </x:c>
      <x:c r="AC674" t="n" s="2">
        <x:v>39079</x:v>
      </x:c>
      <x:c r="AD674" s="0"/>
      <x:c r="AE674" s="0"/>
      <x:c r="AF674" s="0"/>
      <x:c r="AG674" s="0"/>
      <x:c r="AH674" s="0"/>
      <x:c r="AI674" s="0"/>
      <x:c r="AJ674" s="0"/>
      <x:c r="AK674" s="0"/>
    </x:row>
    <x:row r="675">
      <x:c r="A675" t="str" s="2">
        <x:f>=HYPERLINK("https://rsms.futurehomex.com/lead/39080", "TORI HEBERT")</x:f>
      </x:c>
      <x:c r="B675" t="n" s="2">
        <x:v>63</x:v>
      </x:c>
      <x:c r="C675" t="str" s="2">
        <x:v>1/1</x:v>
      </x:c>
      <x:c r="D675" t="str" s="2">
        <x:f>=""</x:f>
      </x:c>
      <x:c r="E675" s="0"/>
      <x:c r="F675" t="str" s="2">
        <x:v>Landing_BPM</x:v>
      </x:c>
      <x:c r="G675" t="str" s="2">
        <x:v>Heritage Housing of Jennings</x:v>
      </x:c>
      <x:c r="H675" t="str" s="2">
        <x:v>Mervin Leslie Smith</x:v>
      </x:c>
      <x:c r="I675" s="0"/>
      <x:c r="J675" t="str" s="2">
        <x:v>Mervin Leslie Smith</x:v>
      </x:c>
      <x:c r="K675" t="n" s="2">
        <x:v>5</x:v>
      </x:c>
      <x:c r="L675" t="str" s="2">
        <x:v>1.1</x:v>
      </x:c>
      <x:c r="M675" t="str" s="2">
        <x:v>Inactive</x:v>
      </x:c>
      <x:c r="N675" t="str" s="2">
        <x:v>Prospect</x:v>
      </x:c>
      <x:c r="O675" s="0"/>
      <x:c r="P675" s="6">
        <x:v>46245</x:v>
      </x:c>
      <x:c r="Q675" s="6">
        <x:v>46245.623630752314</x:v>
      </x:c>
      <x:c r="R675" s="0"/>
      <x:c r="S675" s="0"/>
      <x:c r="T675" s="0"/>
      <x:c r="U675" s="0"/>
      <x:c r="V675" s="0"/>
      <x:c r="W675" s="0"/>
      <x:c r="X675" t="str" s="2">
        <x:v>3372478089</x:v>
      </x:c>
      <x:c r="Y675" t="str" s="2">
        <x:v>rainbowtorilynn@gmail.com</x:v>
      </x:c>
      <x:c r="Z675" s="6">
        <x:v>46249.756425659725</x:v>
      </x:c>
      <x:c r="AA675" t="str" s="2">
        <x:v>Mervin Leslie Smith</x:v>
      </x:c>
      <x:c r="AB675" s="6">
        <x:v>46245.62363109954</x:v>
      </x:c>
      <x:c r="AC675" t="n" s="2">
        <x:v>39080</x:v>
      </x:c>
      <x:c r="AD675" s="0"/>
      <x:c r="AE675" s="0"/>
      <x:c r="AF675" s="0"/>
      <x:c r="AG675" s="0"/>
      <x:c r="AH675" s="0"/>
      <x:c r="AI675" s="0"/>
      <x:c r="AJ675" s="0"/>
      <x:c r="AK675" s="0"/>
    </x:row>
    <x:row r="676">
      <x:c r="A676" t="str" s="2">
        <x:f>=HYPERLINK("https://rsms.futurehomex.com/lead/39081", "Nena Kesner")</x:f>
      </x:c>
      <x:c r="B676" t="n" s="2">
        <x:v>63</x:v>
      </x:c>
      <x:c r="C676" t="str" s="2">
        <x:v>1/2</x:v>
      </x:c>
      <x:c r="D676" t="str" s="2">
        <x:f>=""</x:f>
      </x:c>
      <x:c r="E676" s="0"/>
      <x:c r="F676" t="str" s="2">
        <x:v>Financing Form</x:v>
      </x:c>
      <x:c r="G676" t="str" s="2">
        <x:v>Heritage Housing of Oklahoma City</x:v>
      </x:c>
      <x:c r="H676" t="str" s="2">
        <x:v>Alejandra Calderon</x:v>
      </x:c>
      <x:c r="I676" s="0"/>
      <x:c r="J676" t="str" s="2">
        <x:v>Steve Castell</x:v>
      </x:c>
      <x:c r="K676" t="n" s="2">
        <x:v>5</x:v>
      </x:c>
      <x:c r="L676" t="str" s="2">
        <x:v>1.1</x:v>
      </x:c>
      <x:c r="M676" t="str" s="2">
        <x:v>Tentative</x:v>
      </x:c>
      <x:c r="N676" t="str" s="2">
        <x:v>Prospect</x:v>
      </x:c>
      <x:c r="O676" s="0"/>
      <x:c r="P676" s="6">
        <x:v>46245</x:v>
      </x:c>
      <x:c r="Q676" s="6">
        <x:v>46245.73207839121</x:v>
      </x:c>
      <x:c r="R676" t="str" s="2">
        <x:v>Eva Misheva</x:v>
      </x:c>
      <x:c r="S676" s="6">
        <x:v>46249</x:v>
      </x:c>
      <x:c r="T676" s="0"/>
      <x:c r="U676" s="0"/>
      <x:c r="V676" s="0"/>
      <x:c r="W676" s="0"/>
      <x:c r="X676" t="str" s="2">
        <x:v>4053945043</x:v>
      </x:c>
      <x:c r="Y676" t="str" s="2">
        <x:v>nenakesner@gmail.com</x:v>
      </x:c>
      <x:c r="Z676" s="6">
        <x:v>46285.85643221065</x:v>
      </x:c>
      <x:c r="AA676" t="str" s="2">
        <x:v>Eva Misheva</x:v>
      </x:c>
      <x:c r="AB676" s="6">
        <x:v>46245.73207881944</x:v>
      </x:c>
      <x:c r="AC676" t="n" s="2">
        <x:v>39081</x:v>
      </x:c>
      <x:c r="AD676" s="0"/>
      <x:c r="AE676" s="0"/>
      <x:c r="AF676" s="0"/>
      <x:c r="AG676" s="0"/>
      <x:c r="AH676" s="0"/>
      <x:c r="AI676" s="0"/>
      <x:c r="AJ676" s="0"/>
      <x:c r="AK676" s="0"/>
    </x:row>
    <x:row r="677">
      <x:c r="A677" t="str" s="2">
        <x:f>=HYPERLINK("https://rsms.futurehomex.com/lead/39082", "Pablo Morello")</x:f>
      </x:c>
      <x:c r="B677" t="n" s="2">
        <x:v>63</x:v>
      </x:c>
      <x:c r="C677" t="str" s="2">
        <x:v>1/1</x:v>
      </x:c>
      <x:c r="D677" t="str" s="2">
        <x:f>=""</x:f>
      </x:c>
      <x:c r="E677" s="0"/>
      <x:c r="F677" t="str" s="2">
        <x:v>Walk-in</x:v>
      </x:c>
      <x:c r="G677" t="str" s="2">
        <x:v>Heritage Housing of Oklahoma City</x:v>
      </x:c>
      <x:c r="H677" t="str" s="2">
        <x:v>Alejandra Calderon</x:v>
      </x:c>
      <x:c r="I677" s="0"/>
      <x:c r="J677" s="0"/>
      <x:c r="K677" t="n" s="2">
        <x:v>5</x:v>
      </x:c>
      <x:c r="L677" t="str" s="2">
        <x:v>1.1</x:v>
      </x:c>
      <x:c r="M677" t="str" s="2">
        <x:v>Inactive</x:v>
      </x:c>
      <x:c r="N677" t="str" s="2">
        <x:v>Deal Created</x:v>
      </x:c>
      <x:c r="O677" s="0"/>
      <x:c r="P677" s="6">
        <x:v>46245</x:v>
      </x:c>
      <x:c r="Q677" s="6">
        <x:v>46245.73749487269</x:v>
      </x:c>
      <x:c r="R677" s="0"/>
      <x:c r="S677" s="6">
        <x:v>46245</x:v>
      </x:c>
      <x:c r="T677" s="0"/>
      <x:c r="U677" s="0"/>
      <x:c r="V677" s="0"/>
      <x:c r="W677" s="0"/>
      <x:c r="X677" t="str" s="2">
        <x:v>4055122796</x:v>
      </x:c>
      <x:c r="Y677" t="str" s="2">
        <x:v>4055122796</x:v>
      </x:c>
      <x:c r="Z677" s="6">
        <x:v>46259.61524633102</x:v>
      </x:c>
      <x:c r="AA677" t="str" s="2">
        <x:v>Alejandra Calderon</x:v>
      </x:c>
      <x:c r="AB677" s="6">
        <x:v>46245.737496608795</x:v>
      </x:c>
      <x:c r="AC677" t="n" s="2">
        <x:v>39082</x:v>
      </x:c>
      <x:c r="AD677" s="0"/>
      <x:c r="AE677" s="0"/>
      <x:c r="AF677" s="0"/>
      <x:c r="AG677" s="0"/>
      <x:c r="AH677" s="0"/>
      <x:c r="AI677" s="0"/>
      <x:c r="AJ677" s="0"/>
      <x:c r="AK677" s="0"/>
    </x:row>
    <x:row r="678">
      <x:c r="A678" t="str" s="2">
        <x:f>=HYPERLINK("https://rsms.futurehomex.com/lead/39083", "Jeannie Cooper")</x:f>
      </x:c>
      <x:c r="B678" t="n" s="2">
        <x:v>63</x:v>
      </x:c>
      <x:c r="C678" t="str" s="2">
        <x:v>0/2</x:v>
      </x:c>
      <x:c r="D678" t="str" s="2">
        <x:f>=""</x:f>
      </x:c>
      <x:c r="E678" s="0"/>
      <x:c r="F678" t="str" s="2">
        <x:v>Meta Ads - Messenger</x:v>
      </x:c>
      <x:c r="G678" t="str" s="2">
        <x:v>Heritage Housing of Oklahoma City</x:v>
      </x:c>
      <x:c r="H678" t="str" s="2">
        <x:v>Alejandra Calderon</x:v>
      </x:c>
      <x:c r="I678" s="0"/>
      <x:c r="J678" t="str" s="2">
        <x:v>Steve Castell</x:v>
      </x:c>
      <x:c r="K678" t="n" s="2">
        <x:v>5</x:v>
      </x:c>
      <x:c r="L678" t="str" s="2">
        <x:v>1.1</x:v>
      </x:c>
      <x:c r="M678" t="str" s="2">
        <x:v>Tentative</x:v>
      </x:c>
      <x:c r="N678" t="str" s="2">
        <x:v>Deal Created</x:v>
      </x:c>
      <x:c r="O678" s="0"/>
      <x:c r="P678" s="6">
        <x:v>46245</x:v>
      </x:c>
      <x:c r="Q678" s="6">
        <x:v>46245.76056396991</x:v>
      </x:c>
      <x:c r="R678" t="str" s="2">
        <x:v>Trey Rixleben</x:v>
      </x:c>
      <x:c r="S678" s="6">
        <x:v>46245</x:v>
      </x:c>
      <x:c r="T678" s="0"/>
      <x:c r="U678" s="0"/>
      <x:c r="V678" s="0"/>
      <x:c r="W678" s="0"/>
      <x:c r="X678" t="str" s="2">
        <x:v>9703336339</x:v>
      </x:c>
      <x:c r="Y678" t="str" s="2">
        <x:v>9703336339</x:v>
      </x:c>
      <x:c r="Z678" s="6">
        <x:v>46303.95876446759</x:v>
      </x:c>
      <x:c r="AA678" t="str" s="2">
        <x:v>Alejandra Calderon</x:v>
      </x:c>
      <x:c r="AB678" s="6">
        <x:v>46245.76056512731</x:v>
      </x:c>
      <x:c r="AC678" t="n" s="2">
        <x:v>39083</x:v>
      </x:c>
      <x:c r="AD678" s="0"/>
      <x:c r="AE678" s="0"/>
      <x:c r="AF678" s="0"/>
      <x:c r="AG678" s="0"/>
      <x:c r="AH678" s="0"/>
      <x:c r="AI678" s="0"/>
      <x:c r="AJ678" s="0"/>
      <x:c r="AK678" s="0"/>
    </x:row>
    <x:row r="679">
      <x:c r="A679" t="str" s="2">
        <x:f>=HYPERLINK("https://rsms.futurehomex.com/lead/39084", "Deborah Ryan")</x:f>
      </x:c>
      <x:c r="B679" t="n" s="2">
        <x:v>63</x:v>
      </x:c>
      <x:c r="C679" t="str" s="2">
        <x:v/>
      </x:c>
      <x:c r="D679" t="str" s="2">
        <x:f>=""</x:f>
      </x:c>
      <x:c r="E679" s="0"/>
      <x:c r="F679" t="str" s="2">
        <x:v>Website</x:v>
      </x:c>
      <x:c r="G679" t="str" s="2">
        <x:v>Heritage Housing Marble Falls</x:v>
      </x:c>
      <x:c r="H679" t="str" s="2">
        <x:v>Garrett Riedesel</x:v>
      </x:c>
      <x:c r="I679" s="0"/>
      <x:c r="J679" t="str" s="2">
        <x:v>Garrett Riedesel</x:v>
      </x:c>
      <x:c r="K679" t="n" s="2">
        <x:v>5</x:v>
      </x:c>
      <x:c r="L679" t="str" s="2">
        <x:v>1.1</x:v>
      </x:c>
      <x:c r="M679" t="str" s="2">
        <x:v>Tentative</x:v>
      </x:c>
      <x:c r="N679" t="str" s="2">
        <x:v>Deal Created</x:v>
      </x:c>
      <x:c r="O679" s="0"/>
      <x:c r="P679" s="6">
        <x:v>46245</x:v>
      </x:c>
      <x:c r="Q679" s="6">
        <x:v>46245.79364991898</x:v>
      </x:c>
      <x:c r="R679" s="0"/>
      <x:c r="S679" s="0"/>
      <x:c r="T679" s="0"/>
      <x:c r="U679" s="0"/>
      <x:c r="V679" s="0"/>
      <x:c r="W679" s="0"/>
      <x:c r="X679" t="str" s="2">
        <x:v>5124614308</x:v>
      </x:c>
      <x:c r="Y679" t="str" s="2">
        <x:v>5124614308</x:v>
      </x:c>
      <x:c r="Z679" s="0"/>
      <x:c r="AA679" s="0"/>
      <x:c r="AB679" s="6">
        <x:v>46245.79365177084</x:v>
      </x:c>
      <x:c r="AC679" t="n" s="2">
        <x:v>39084</x:v>
      </x:c>
      <x:c r="AD679" s="0"/>
      <x:c r="AE679" s="0"/>
      <x:c r="AF679" s="0"/>
      <x:c r="AG679" s="0"/>
      <x:c r="AH679" s="0"/>
      <x:c r="AI679" s="0"/>
      <x:c r="AJ679" s="0"/>
      <x:c r="AK679" s="0"/>
    </x:row>
    <x:row r="680">
      <x:c r="A680" t="str" s="2">
        <x:f>=HYPERLINK("https://rsms.futurehomex.com/lead/39085", "Ashley Whitlow")</x:f>
      </x:c>
      <x:c r="B680" t="n" s="2">
        <x:v>63</x:v>
      </x:c>
      <x:c r="C680" t="str" s="2">
        <x:v/>
      </x:c>
      <x:c r="D680" t="str" s="2">
        <x:f>=""</x:f>
      </x:c>
      <x:c r="E680" s="0"/>
      <x:c r="F680" t="str" s="2">
        <x:v>Walk-in</x:v>
      </x:c>
      <x:c r="G680" t="str" s="2">
        <x:v>Heritage Housing of Asheboro</x:v>
      </x:c>
      <x:c r="H680" t="str" s="2">
        <x:v>Maria Lopez</x:v>
      </x:c>
      <x:c r="I680" t="str" s="2">
        <x:v>Karol Romero</x:v>
      </x:c>
      <x:c r="J680" t="str" s="2">
        <x:v>Jeremy Jacques</x:v>
      </x:c>
      <x:c r="K680" t="n" s="2">
        <x:v>21</x:v>
      </x:c>
      <x:c r="L680" t="str" s="2">
        <x:v>2.1</x:v>
      </x:c>
      <x:c r="M680" t="str" s="2">
        <x:v>Tentative</x:v>
      </x:c>
      <x:c r="N680" t="str" s="2">
        <x:v>Qualified</x:v>
      </x:c>
      <x:c r="O680" s="0"/>
      <x:c r="P680" s="6">
        <x:v>46245</x:v>
      </x:c>
      <x:c r="Q680" s="6">
        <x:v>46249.64126751157</x:v>
      </x:c>
      <x:c r="R680" s="0"/>
      <x:c r="S680" s="6">
        <x:v>46245</x:v>
      </x:c>
      <x:c r="T680" s="0"/>
      <x:c r="U680" s="0"/>
      <x:c r="V680" s="0"/>
      <x:c r="W680" s="0"/>
      <x:c r="X680" t="str" s="2">
        <x:v>7432016294</x:v>
      </x:c>
      <x:c r="Y680" t="str" s="2">
        <x:v>ashleywhitlow892@gmail.com</x:v>
      </x:c>
      <x:c r="Z680" s="6">
        <x:v>46249.641256863426</x:v>
      </x:c>
      <x:c r="AA680" t="str" s="2">
        <x:v>Jeremy Jacques</x:v>
      </x:c>
      <x:c r="AB680" s="6">
        <x:v>46245.803804745374</x:v>
      </x:c>
      <x:c r="AC680" t="n" s="2">
        <x:v>39085</x:v>
      </x:c>
      <x:c r="AD680" s="0"/>
      <x:c r="AE680" s="0"/>
      <x:c r="AF680" s="0"/>
      <x:c r="AG680" s="0"/>
      <x:c r="AH680" s="0"/>
      <x:c r="AI680" s="0"/>
      <x:c r="AJ680" s="0"/>
      <x:c r="AK680" s="0"/>
    </x:row>
    <x:row r="681">
      <x:c r="A681" t="str" s="2">
        <x:f>=HYPERLINK("https://rsms.futurehomex.com/lead/39086", "Mollee Cook")</x:f>
      </x:c>
      <x:c r="B681" t="n" s="2">
        <x:v>63</x:v>
      </x:c>
      <x:c r="C681" t="str" s="2">
        <x:v/>
      </x:c>
      <x:c r="D681" t="str" s="2">
        <x:f>=""</x:f>
      </x:c>
      <x:c r="E681" s="0"/>
      <x:c r="F681" t="str" s="2">
        <x:v>Website</x:v>
      </x:c>
      <x:c r="G681" t="str" s="2">
        <x:v>Heritage Housing Mt Pleasant</x:v>
      </x:c>
      <x:c r="H681" t="str" s="2">
        <x:v>Sandra Saldana</x:v>
      </x:c>
      <x:c r="I681" s="0"/>
      <x:c r="J681" s="0"/>
      <x:c r="K681" t="n" s="2">
        <x:v>5</x:v>
      </x:c>
      <x:c r="L681" t="str" s="2">
        <x:v>1.1</x:v>
      </x:c>
      <x:c r="M681" t="str" s="2">
        <x:v>Dead</x:v>
      </x:c>
      <x:c r="N681" t="str" s="2">
        <x:v>Prospect</x:v>
      </x:c>
      <x:c r="O681" s="0"/>
      <x:c r="P681" s="6">
        <x:v>46245</x:v>
      </x:c>
      <x:c r="Q681" s="6">
        <x:v>46245.84195795139</x:v>
      </x:c>
      <x:c r="R681" s="0"/>
      <x:c r="S681" s="0"/>
      <x:c r="T681" s="0"/>
      <x:c r="U681" s="0"/>
      <x:c r="V681" s="0"/>
      <x:c r="W681" s="0"/>
      <x:c r="X681" t="str" s="2">
        <x:v>9039752821</x:v>
      </x:c>
      <x:c r="Y681" t="str" s="2">
        <x:v>Cook.mollee@gmail.com</x:v>
      </x:c>
      <x:c r="Z681" s="6">
        <x:v>46246.662922256946</x:v>
      </x:c>
      <x:c r="AA681" t="str" s="2">
        <x:v>Sandra Saldana</x:v>
      </x:c>
      <x:c r="AB681" s="6">
        <x:v>46245.84195902778</x:v>
      </x:c>
      <x:c r="AC681" t="n" s="2">
        <x:v>39086</x:v>
      </x:c>
      <x:c r="AD681" s="0"/>
      <x:c r="AE681" s="0"/>
      <x:c r="AF681" s="0"/>
      <x:c r="AG681" s="0"/>
      <x:c r="AH681" s="0"/>
      <x:c r="AI681" s="0"/>
      <x:c r="AJ681" s="0"/>
      <x:c r="AK681" s="0"/>
    </x:row>
    <x:row r="682">
      <x:c r="A682" t="str" s="2">
        <x:f>=HYPERLINK("https://rsms.futurehomex.com/lead/39087", "Juan Francisco Mendoza Melgar")</x:f>
      </x:c>
      <x:c r="B682" t="n" s="2">
        <x:v>63</x:v>
      </x:c>
      <x:c r="C682" t="str" s="2">
        <x:v>0/6</x:v>
      </x:c>
      <x:c r="D682" t="str" s="2">
        <x:f>=""</x:f>
      </x:c>
      <x:c r="E682" s="0"/>
      <x:c r="F682" t="str" s="2">
        <x:v>Meta Marketplace</x:v>
      </x:c>
      <x:c r="G682" t="str" s="2">
        <x:v>Legacy Housing Corp. DBA Americasa</x:v>
      </x:c>
      <x:c r="H682" t="str" s="2">
        <x:v>Angelica Mendoza </x:v>
      </x:c>
      <x:c r="I682" t="str" s="2">
        <x:v>Karol Romero</x:v>
      </x:c>
      <x:c r="J682" s="0"/>
      <x:c r="K682" t="n" s="2">
        <x:v>5</x:v>
      </x:c>
      <x:c r="L682" t="str" s="2">
        <x:v>1.1</x:v>
      </x:c>
      <x:c r="M682" t="str" s="2">
        <x:v>Active</x:v>
      </x:c>
      <x:c r="N682" t="str" s="2">
        <x:v>Prospect</x:v>
      </x:c>
      <x:c r="O682" s="0"/>
      <x:c r="P682" s="6">
        <x:v>46245</x:v>
      </x:c>
      <x:c r="Q682" s="6">
        <x:v>46255.89028622685</x:v>
      </x:c>
      <x:c r="R682" s="0"/>
      <x:c r="S682" s="0"/>
      <x:c r="T682" s="0"/>
      <x:c r="U682" s="0"/>
      <x:c r="V682" s="0"/>
      <x:c r="W682" s="0"/>
      <x:c r="X682" t="str" s="2">
        <x:v>3462511111</x:v>
      </x:c>
      <x:c r="Y682" t="str" s="2">
        <x:v>levismendoza532@gmail.com</x:v>
      </x:c>
      <x:c r="Z682" s="6">
        <x:v>46298.87835694444</x:v>
      </x:c>
      <x:c r="AA682" t="str" s="2">
        <x:v>Angelica Mendoza </x:v>
      </x:c>
      <x:c r="AB682" s="6">
        <x:v>46245.872266701386</x:v>
      </x:c>
      <x:c r="AC682" t="n" s="2">
        <x:v>39087</x:v>
      </x:c>
      <x:c r="AD682" s="0"/>
      <x:c r="AE682" s="0"/>
      <x:c r="AF682" s="0"/>
      <x:c r="AG682" s="0"/>
      <x:c r="AH682" s="0"/>
      <x:c r="AI682" s="0"/>
      <x:c r="AJ682" s="0"/>
      <x:c r="AK682" s="0"/>
    </x:row>
    <x:row r="683">
      <x:c r="A683" t="str" s="2">
        <x:f>=HYPERLINK("https://rsms.futurehomex.com/lead/39088", "John Burdg")</x:f>
      </x:c>
      <x:c r="B683" t="n" s="2">
        <x:v>63</x:v>
      </x:c>
      <x:c r="C683" t="str" s="2">
        <x:v>0/5</x:v>
      </x:c>
      <x:c r="D683" t="str" s="2">
        <x:f>=""</x:f>
      </x:c>
      <x:c r="E683" t="str" s="2">
        <x:v>Lori Burdg</x:v>
      </x:c>
      <x:c r="F683" t="str" s="2">
        <x:v>LandingPage</x:v>
      </x:c>
      <x:c r="G683" t="str" s="2">
        <x:v>Heritage Housing of Oklahoma City</x:v>
      </x:c>
      <x:c r="H683" t="str" s="2">
        <x:v>Eva Misheva</x:v>
      </x:c>
      <x:c r="I683" s="0"/>
      <x:c r="J683" s="0"/>
      <x:c r="K683" t="n" s="2">
        <x:v>9</x:v>
      </x:c>
      <x:c r="L683" t="str" s="2">
        <x:v>1.2</x:v>
      </x:c>
      <x:c r="M683" t="str" s="2">
        <x:v>Inactive</x:v>
      </x:c>
      <x:c r="N683" t="str" s="2">
        <x:v>Prospect</x:v>
      </x:c>
      <x:c r="O683" s="0"/>
      <x:c r="P683" s="6">
        <x:v>46245</x:v>
      </x:c>
      <x:c r="Q683" s="6">
        <x:v>46250.80984221065</x:v>
      </x:c>
      <x:c r="R683" s="0"/>
      <x:c r="S683" s="6">
        <x:v>46250</x:v>
      </x:c>
      <x:c r="T683" s="0"/>
      <x:c r="U683" s="0"/>
      <x:c r="V683" s="0"/>
      <x:c r="W683" s="0"/>
      <x:c r="X683" t="str" s="2">
        <x:v>5803072578</x:v>
      </x:c>
      <x:c r="Y683" t="str" s="2">
        <x:v>bigjohn071480@gmail.com</x:v>
      </x:c>
      <x:c r="Z683" s="6">
        <x:v>46260.01901403935</x:v>
      </x:c>
      <x:c r="AA683" t="str" s="2">
        <x:v>Steve Castell</x:v>
      </x:c>
      <x:c r="AB683" s="6">
        <x:v>46260.01867592592</x:v>
      </x:c>
      <x:c r="AC683" t="n" s="2">
        <x:v>39088</x:v>
      </x:c>
      <x:c r="AD683" s="0"/>
      <x:c r="AE683" s="0"/>
      <x:c r="AF683" s="0"/>
      <x:c r="AG683" s="7">
        <x:v>0</x:v>
      </x:c>
      <x:c r="AH683" s="0"/>
      <x:c r="AI683" s="0"/>
      <x:c r="AJ683" s="0"/>
      <x:c r="AK683" s="0"/>
    </x:row>
    <x:row r="684">
      <x:c r="A684" t="str" s="2">
        <x:f>=HYPERLINK("https://rsms.futurehomex.com/lead/39091", "Libia Rosales")</x:f>
      </x:c>
      <x:c r="B684" t="n" s="2">
        <x:v>63</x:v>
      </x:c>
      <x:c r="C684" t="str" s="2">
        <x:v/>
      </x:c>
      <x:c r="D684" t="str" s="2">
        <x:f>=""</x:f>
      </x:c>
      <x:c r="E684" s="0"/>
      <x:c r="F684" t="str" s="2">
        <x:v>Website</x:v>
      </x:c>
      <x:c r="G684" t="str" s="2">
        <x:v>Legacy Housing Corp. DBA Americasa</x:v>
      </x:c>
      <x:c r="H684" t="str" s="2">
        <x:v>Joey Marquez</x:v>
      </x:c>
      <x:c r="I684" t="str" s="2">
        <x:v>Karol Romero</x:v>
      </x:c>
      <x:c r="J684" t="str" s="2">
        <x:v>Rodrigo Ramirez</x:v>
      </x:c>
      <x:c r="K684" t="n" s="2">
        <x:v>5</x:v>
      </x:c>
      <x:c r="L684" t="str" s="2">
        <x:v>1.1</x:v>
      </x:c>
      <x:c r="M684" t="str" s="2">
        <x:v>Tentative</x:v>
      </x:c>
      <x:c r="N684" t="str" s="2">
        <x:v>Deal Created</x:v>
      </x:c>
      <x:c r="O684" s="0"/>
      <x:c r="P684" s="6">
        <x:v>46245</x:v>
      </x:c>
      <x:c r="Q684" s="6">
        <x:v>46258.9166034375</x:v>
      </x:c>
      <x:c r="R684" s="0"/>
      <x:c r="S684" s="0"/>
      <x:c r="T684" s="0"/>
      <x:c r="U684" s="0"/>
      <x:c r="V684" s="0"/>
      <x:c r="W684" s="0"/>
      <x:c r="X684" t="str" s="2">
        <x:v>2818503763</x:v>
      </x:c>
      <x:c r="Y684" t="str" s="2">
        <x:v>2818503763</x:v>
      </x:c>
      <x:c r="Z684" s="6">
        <x:v>46245.921303854164</x:v>
      </x:c>
      <x:c r="AA684" t="str" s="2">
        <x:v>Rodrigo Ramirez</x:v>
      </x:c>
      <x:c r="AB684" s="6">
        <x:v>46245.92057515046</x:v>
      </x:c>
      <x:c r="AC684" t="n" s="2">
        <x:v>39091</x:v>
      </x:c>
      <x:c r="AD684" s="0"/>
      <x:c r="AE684" s="0"/>
      <x:c r="AF684" s="0"/>
      <x:c r="AG684" s="0"/>
      <x:c r="AH684" s="0"/>
      <x:c r="AI684" s="0"/>
      <x:c r="AJ684" s="0"/>
      <x:c r="AK684" s="0"/>
    </x:row>
    <x:row r="685">
      <x:c r="A685" t="str" s="2">
        <x:f>=HYPERLINK("https://rsms.futurehomex.com/lead/39092", "Lisa Walker")</x:f>
      </x:c>
      <x:c r="B685" t="n" s="2">
        <x:v>63</x:v>
      </x:c>
      <x:c r="C685" t="str" s="2">
        <x:v>0/2</x:v>
      </x:c>
      <x:c r="D685" t="str" s="2">
        <x:f>=""</x:f>
      </x:c>
      <x:c r="E685" s="0"/>
      <x:c r="F685" t="str" s="2">
        <x:v>Walk-in</x:v>
      </x:c>
      <x:c r="G685" t="str" s="2">
        <x:v>Heritage Housing of Minden</x:v>
      </x:c>
      <x:c r="H685" t="str" s="2">
        <x:v>Patrick Schuchart</x:v>
      </x:c>
      <x:c r="I685" t="str" s="2">
        <x:v>Karol Romero</x:v>
      </x:c>
      <x:c r="J685" t="str" s="2">
        <x:v>Patrick Schuchart</x:v>
      </x:c>
      <x:c r="K685" t="n" s="2">
        <x:v>5</x:v>
      </x:c>
      <x:c r="L685" t="str" s="2">
        <x:v>1.1</x:v>
      </x:c>
      <x:c r="M685" t="str" s="2">
        <x:v>Tentative</x:v>
      </x:c>
      <x:c r="N685" t="str" s="2">
        <x:v>Deal Created</x:v>
      </x:c>
      <x:c r="O685" s="0"/>
      <x:c r="P685" s="6">
        <x:v>46245</x:v>
      </x:c>
      <x:c r="Q685" s="6">
        <x:v>46267.9156596875</x:v>
      </x:c>
      <x:c r="R685" s="0"/>
      <x:c r="S685" s="0"/>
      <x:c r="T685" s="0"/>
      <x:c r="U685" s="0"/>
      <x:c r="V685" s="0"/>
      <x:c r="W685" s="0"/>
      <x:c r="X685" t="str" s="2">
        <x:v>3184220871</x:v>
      </x:c>
      <x:c r="Y685" t="str" s="2">
        <x:v>lisa.d.walker065@gmail.com</x:v>
      </x:c>
      <x:c r="Z685" s="6">
        <x:v>46302.60601940972</x:v>
      </x:c>
      <x:c r="AA685" t="str" s="2">
        <x:v>Kyla Brown</x:v>
      </x:c>
      <x:c r="AB685" s="6">
        <x:v>46245.938752662034</x:v>
      </x:c>
      <x:c r="AC685" t="n" s="2">
        <x:v>39092</x:v>
      </x:c>
      <x:c r="AD685" s="0"/>
      <x:c r="AE685" s="0"/>
      <x:c r="AF685" s="0"/>
      <x:c r="AG685" s="0"/>
      <x:c r="AH685" s="0"/>
      <x:c r="AI685" s="0"/>
      <x:c r="AJ685" s="0"/>
      <x:c r="AK685" s="0"/>
    </x:row>
    <x:row r="686">
      <x:c r="A686" t="str" s="2">
        <x:f>=HYPERLINK("https://rsms.futurehomex.com/lead/39093", "Raul Cortez")</x:f>
      </x:c>
      <x:c r="B686" t="n" s="2">
        <x:v>63</x:v>
      </x:c>
      <x:c r="C686" t="str" s="2">
        <x:v>1/1</x:v>
      </x:c>
      <x:c r="D686" t="str" s="2">
        <x:f>=""</x:f>
      </x:c>
      <x:c r="E686" s="0"/>
      <x:c r="F686" t="str" s="2">
        <x:v>Landing_BPM</x:v>
      </x:c>
      <x:c r="G686" t="str" s="2">
        <x:v>Legacy Housing Corp. DBA Americasa</x:v>
      </x:c>
      <x:c r="H686" t="str" s="2">
        <x:v>Jose Parada</x:v>
      </x:c>
      <x:c r="I686" t="str" s="2">
        <x:v>Karol Romero</x:v>
      </x:c>
      <x:c r="J686" s="0"/>
      <x:c r="K686" t="n" s="2">
        <x:v>5</x:v>
      </x:c>
      <x:c r="L686" t="str" s="2">
        <x:v>1.1</x:v>
      </x:c>
      <x:c r="M686" t="str" s="2">
        <x:v>Inactive</x:v>
      </x:c>
      <x:c r="N686" t="str" s="2">
        <x:v>Prospect</x:v>
      </x:c>
      <x:c r="O686" s="0"/>
      <x:c r="P686" s="6">
        <x:v>46245</x:v>
      </x:c>
      <x:c r="Q686" s="6">
        <x:v>46245.94291315972</x:v>
      </x:c>
      <x:c r="R686" s="0"/>
      <x:c r="S686" s="6">
        <x:v>46247</x:v>
      </x:c>
      <x:c r="T686" s="0"/>
      <x:c r="U686" s="0"/>
      <x:c r="V686" s="0"/>
      <x:c r="W686" s="0"/>
      <x:c r="X686" t="str" s="2">
        <x:v>2812234758</x:v>
      </x:c>
      <x:c r="Y686" t="str" s="2">
        <x:v>raulcortez312tx@gmail.com</x:v>
      </x:c>
      <x:c r="Z686" s="6">
        <x:v>46247.6948309838</x:v>
      </x:c>
      <x:c r="AA686" t="str" s="2">
        <x:v>Rodrigo Ramirez</x:v>
      </x:c>
      <x:c r="AB686" s="6">
        <x:v>46245.942914039355</x:v>
      </x:c>
      <x:c r="AC686" t="n" s="2">
        <x:v>39093</x:v>
      </x:c>
      <x:c r="AD686" s="0"/>
      <x:c r="AE686" s="0"/>
      <x:c r="AF686" s="0"/>
      <x:c r="AG686" s="0"/>
      <x:c r="AH686" s="0"/>
      <x:c r="AI686" s="0"/>
      <x:c r="AJ686" s="0"/>
      <x:c r="AK686" s="0"/>
    </x:row>
    <x:row r="687">
      <x:c r="A687" t="str" s="2">
        <x:f>=HYPERLINK("https://rsms.futurehomex.com/lead/39094", "Alejandro Enriquez Garza")</x:f>
      </x:c>
      <x:c r="B687" t="n" s="2">
        <x:v>62</x:v>
      </x:c>
      <x:c r="C687" t="str" s="2">
        <x:v>0/2</x:v>
      </x:c>
      <x:c r="D687" t="str" s="2">
        <x:f>=""</x:f>
      </x:c>
      <x:c r="E687" t="str" s="2">
        <x:v>Ma Del Carmen Sifuentes Aguilar</x:v>
      </x:c>
      <x:c r="F687" t="str" s="2">
        <x:v>TikTok</x:v>
      </x:c>
      <x:c r="G687" t="str" s="2">
        <x:v>Heritage Housing of Greenville</x:v>
      </x:c>
      <x:c r="H687" t="str" s="2">
        <x:v>Oscar Osorio</x:v>
      </x:c>
      <x:c r="I687" s="0"/>
      <x:c r="J687" t="str" s="2">
        <x:v>Oscar Osorio</x:v>
      </x:c>
      <x:c r="K687" t="n" s="2">
        <x:v>59</x:v>
      </x:c>
      <x:c r="L687" t="str" s="2">
        <x:v>4.3</x:v>
      </x:c>
      <x:c r="M687" t="str" s="2">
        <x:v>Active</x:v>
      </x:c>
      <x:c r="N687" t="str" s="2">
        <x:v>Loan Approved</x:v>
      </x:c>
      <x:c r="O687" s="0"/>
      <x:c r="P687" s="6">
        <x:v>46246</x:v>
      </x:c>
      <x:c r="Q687" s="6">
        <x:v>46246.849091550925</x:v>
      </x:c>
      <x:c r="R687" s="0"/>
      <x:c r="S687" s="6">
        <x:v>46245</x:v>
      </x:c>
      <x:c r="T687" s="6">
        <x:v>46246</x:v>
      </x:c>
      <x:c r="U687" s="6">
        <x:v>46247</x:v>
      </x:c>
      <x:c r="V687" s="6">
        <x:v>46247</x:v>
      </x:c>
      <x:c r="W687" s="0"/>
      <x:c r="X687" t="str" s="2">
        <x:v>8177245700</x:v>
      </x:c>
      <x:c r="Y687" t="str" s="2">
        <x:v>alejandro.enriquez.lovicka@gmail.com</x:v>
      </x:c>
      <x:c r="Z687" s="6">
        <x:v>46251.64020706018</x:v>
      </x:c>
      <x:c r="AA687" t="str" s="2">
        <x:v>Brandie Sartor</x:v>
      </x:c>
      <x:c r="AB687" s="6">
        <x:v>46246.58107600694</x:v>
      </x:c>
      <x:c r="AC687" t="n" s="2">
        <x:v>39094</x:v>
      </x:c>
      <x:c r="AD687" t="str" s="2">
        <x:v>Singlewide</x:v>
      </x:c>
      <x:c r="AE687" t="str" s="2">
        <x:v>Legacy Housing Corporation</x:v>
      </x:c>
      <x:c r="AF687" s="7">
        <x:v>7510</x:v>
      </x:c>
      <x:c r="AG687" s="7">
        <x:v>8000</x:v>
      </x:c>
      <x:c r="AH687" s="0"/>
      <x:c r="AI687" t="str" s="2">
        <x:v>633</x:v>
      </x:c>
      <x:c r="AJ687" s="0"/>
      <x:c r="AK687" s="0"/>
    </x:row>
    <x:row r="688">
      <x:c r="A688" t="str" s="2">
        <x:f>=HYPERLINK("https://rsms.futurehomex.com/lead/39095", "Christine Shaddox")</x:f>
      </x:c>
      <x:c r="B688" t="n" s="2">
        <x:v>62</x:v>
      </x:c>
      <x:c r="C688" t="str" s="2">
        <x:v>0/1</x:v>
      </x:c>
      <x:c r="D688" t="str" s="2">
        <x:f>=""</x:f>
      </x:c>
      <x:c r="E688" s="0"/>
      <x:c r="F688" t="str" s="2">
        <x:v>Landing_BPM</x:v>
      </x:c>
      <x:c r="G688" t="str" s="2">
        <x:v>Heritage Housing of Tulsa</x:v>
      </x:c>
      <x:c r="H688" t="str" s="2">
        <x:v>Derek Searcy</x:v>
      </x:c>
      <x:c r="I688" s="0"/>
      <x:c r="J688" t="str" s="2">
        <x:v>Jenna Fransisco</x:v>
      </x:c>
      <x:c r="K688" t="n" s="2">
        <x:v>5</x:v>
      </x:c>
      <x:c r="L688" t="str" s="2">
        <x:v>1.1</x:v>
      </x:c>
      <x:c r="M688" t="str" s="2">
        <x:v>Inactive</x:v>
      </x:c>
      <x:c r="N688" t="str" s="2">
        <x:v>Prospect</x:v>
      </x:c>
      <x:c r="O688" s="0"/>
      <x:c r="P688" s="6">
        <x:v>46246</x:v>
      </x:c>
      <x:c r="Q688" s="6">
        <x:v>46246.6101272338</x:v>
      </x:c>
      <x:c r="R688" s="0"/>
      <x:c r="S688" s="0"/>
      <x:c r="T688" s="0"/>
      <x:c r="U688" s="0"/>
      <x:c r="V688" s="0"/>
      <x:c r="W688" s="0"/>
      <x:c r="X688" t="str" s="2">
        <x:v>9189470070</x:v>
      </x:c>
      <x:c r="Y688" t="str" s="2">
        <x:v>odeco2@yahoo.com</x:v>
      </x:c>
      <x:c r="Z688" s="6">
        <x:v>46251.882898842596</x:v>
      </x:c>
      <x:c r="AA688" t="str" s="2">
        <x:v>Brittany Cobb</x:v>
      </x:c>
      <x:c r="AB688" s="6">
        <x:v>46246.61012774306</x:v>
      </x:c>
      <x:c r="AC688" t="n" s="2">
        <x:v>39095</x:v>
      </x:c>
      <x:c r="AD688" s="0"/>
      <x:c r="AE688" s="0"/>
      <x:c r="AF688" s="0"/>
      <x:c r="AG688" s="0"/>
      <x:c r="AH688" s="0"/>
      <x:c r="AI688" s="0"/>
      <x:c r="AJ688" s="0"/>
      <x:c r="AK688" s="0"/>
    </x:row>
    <x:row r="689">
      <x:c r="A689" t="str" s="2">
        <x:f>=HYPERLINK("https://rsms.futurehomex.com/lead/39097", "Danny Mackey")</x:f>
      </x:c>
      <x:c r="B689" t="n" s="2">
        <x:v>62</x:v>
      </x:c>
      <x:c r="C689" t="str" s="2">
        <x:v>0/2</x:v>
      </x:c>
      <x:c r="D689" t="str" s="2">
        <x:f>=""</x:f>
      </x:c>
      <x:c r="E689" s="0"/>
      <x:c r="F689" t="str" s="2">
        <x:v>Walk-in</x:v>
      </x:c>
      <x:c r="G689" t="str" s="2">
        <x:v>Heritage Housing of Augusta</x:v>
      </x:c>
      <x:c r="H689" t="str" s="2">
        <x:v>Jennifer Johnson</x:v>
      </x:c>
      <x:c r="I689" t="str" s="2">
        <x:v>Karol Romero</x:v>
      </x:c>
      <x:c r="J689" t="str" s="2">
        <x:v>Jennifer Johnson</x:v>
      </x:c>
      <x:c r="K689" t="n" s="2">
        <x:v>53</x:v>
      </x:c>
      <x:c r="L689" t="str" s="2">
        <x:v>4.1</x:v>
      </x:c>
      <x:c r="M689" t="str" s="2">
        <x:v>Active</x:v>
      </x:c>
      <x:c r="N689" t="str" s="2">
        <x:v>Loan Approved</x:v>
      </x:c>
      <x:c r="O689" s="0"/>
      <x:c r="P689" s="6">
        <x:v>46246</x:v>
      </x:c>
      <x:c r="Q689" s="6">
        <x:v>46247.62233556713</x:v>
      </x:c>
      <x:c r="R689" s="0"/>
      <x:c r="S689" s="0"/>
      <x:c r="T689" s="0"/>
      <x:c r="U689" s="6">
        <x:v>46246</x:v>
      </x:c>
      <x:c r="V689" s="0"/>
      <x:c r="W689" s="0"/>
      <x:c r="X689" t="str" s="2">
        <x:v>8036341479</x:v>
      </x:c>
      <x:c r="Y689" t="str" s="2">
        <x:v>dbmackey45@gmail.com</x:v>
      </x:c>
      <x:c r="Z689" s="6">
        <x:v>46251.74509737269</x:v>
      </x:c>
      <x:c r="AA689" t="str" s="2">
        <x:v>Brian Amato</x:v>
      </x:c>
      <x:c r="AB689" s="6">
        <x:v>46295.61162496528</x:v>
      </x:c>
      <x:c r="AC689" t="n" s="2">
        <x:v>39097</x:v>
      </x:c>
      <x:c r="AD689" t="str" s="2">
        <x:v>Singlewide</x:v>
      </x:c>
      <x:c r="AE689" s="0"/>
      <x:c r="AF689" s="0"/>
      <x:c r="AG689" s="7">
        <x:v>6000</x:v>
      </x:c>
      <x:c r="AH689" s="0"/>
      <x:c r="AI689" s="0"/>
      <x:c r="AJ689" s="0"/>
      <x:c r="AK689" s="0"/>
    </x:row>
    <x:row r="690">
      <x:c r="A690" t="str" s="2">
        <x:f>=HYPERLINK("https://rsms.futurehomex.com/lead/39098", "La'Destiny Brown")</x:f>
      </x:c>
      <x:c r="B690" t="n" s="2">
        <x:v>62</x:v>
      </x:c>
      <x:c r="C690" t="str" s="2">
        <x:v/>
      </x:c>
      <x:c r="D690" t="str" s="2">
        <x:f>=""</x:f>
      </x:c>
      <x:c r="E690" s="0"/>
      <x:c r="F690" t="str" s="2">
        <x:v>Walk-in</x:v>
      </x:c>
      <x:c r="G690" t="str" s="2">
        <x:v>Heritage Housing of Asheboro</x:v>
      </x:c>
      <x:c r="H690" t="str" s="2">
        <x:v>Cory Martin</x:v>
      </x:c>
      <x:c r="I690" t="str" s="2">
        <x:v>Karol Romero</x:v>
      </x:c>
      <x:c r="J690" t="str" s="2">
        <x:v>Cory Martin</x:v>
      </x:c>
      <x:c r="K690" t="n" s="2">
        <x:v>21</x:v>
      </x:c>
      <x:c r="L690" t="str" s="2">
        <x:v>2.1</x:v>
      </x:c>
      <x:c r="M690" t="str" s="2">
        <x:v>Dead</x:v>
      </x:c>
      <x:c r="N690" t="str" s="2">
        <x:v>Qualified</x:v>
      </x:c>
      <x:c r="O690" s="0"/>
      <x:c r="P690" s="6">
        <x:v>46246</x:v>
      </x:c>
      <x:c r="Q690" s="6">
        <x:v>46249.640112002315</x:v>
      </x:c>
      <x:c r="R690" s="0"/>
      <x:c r="S690" s="6">
        <x:v>46246</x:v>
      </x:c>
      <x:c r="T690" s="0"/>
      <x:c r="U690" s="0"/>
      <x:c r="V690" s="0"/>
      <x:c r="W690" s="0"/>
      <x:c r="X690" t="str" s="2">
        <x:v>9103669446</x:v>
      </x:c>
      <x:c r="Y690" t="str" s="2">
        <x:v>ladestiny3@gmail.com</x:v>
      </x:c>
      <x:c r="Z690" s="6">
        <x:v>46249.64010130787</x:v>
      </x:c>
      <x:c r="AA690" t="str" s="2">
        <x:v>Jeremy Jacques</x:v>
      </x:c>
      <x:c r="AB690" s="6">
        <x:v>46246.64974664352</x:v>
      </x:c>
      <x:c r="AC690" t="n" s="2">
        <x:v>39098</x:v>
      </x:c>
      <x:c r="AD690" s="0"/>
      <x:c r="AE690" s="0"/>
      <x:c r="AF690" s="0"/>
      <x:c r="AG690" s="0"/>
      <x:c r="AH690" s="0"/>
      <x:c r="AI690" s="0"/>
      <x:c r="AJ690" s="0"/>
      <x:c r="AK690" s="0"/>
    </x:row>
    <x:row r="691">
      <x:c r="A691" t="str" s="2">
        <x:f>=HYPERLINK("https://rsms.futurehomex.com/lead/39099", "Marshall Adams")</x:f>
      </x:c>
      <x:c r="B691" t="n" s="2">
        <x:v>62</x:v>
      </x:c>
      <x:c r="C691" t="str" s="2">
        <x:v>0/1</x:v>
      </x:c>
      <x:c r="D691" t="str" s="2">
        <x:f>=""</x:f>
      </x:c>
      <x:c r="E691" s="0"/>
      <x:c r="F691" t="str" s="2">
        <x:v>Facebook Messenger</x:v>
      </x:c>
      <x:c r="G691" t="str" s="2">
        <x:v>Heritage Housing of Greenville</x:v>
      </x:c>
      <x:c r="H691" t="str" s="2">
        <x:v>Greg Christman</x:v>
      </x:c>
      <x:c r="I691" s="0"/>
      <x:c r="J691" s="0"/>
      <x:c r="K691" t="n" s="2">
        <x:v>5</x:v>
      </x:c>
      <x:c r="L691" t="str" s="2">
        <x:v>1.1</x:v>
      </x:c>
      <x:c r="M691" t="str" s="2">
        <x:v>Dead</x:v>
      </x:c>
      <x:c r="N691" t="str" s="2">
        <x:v>Prospect</x:v>
      </x:c>
      <x:c r="O691" s="0"/>
      <x:c r="P691" s="6">
        <x:v>46246</x:v>
      </x:c>
      <x:c r="Q691" s="6">
        <x:v>46246.665265891206</x:v>
      </x:c>
      <x:c r="R691" s="0"/>
      <x:c r="S691" s="0"/>
      <x:c r="T691" s="0"/>
      <x:c r="U691" s="0"/>
      <x:c r="V691" s="0"/>
      <x:c r="W691" s="0"/>
      <x:c r="X691" t="str" s="2">
        <x:v>9726709273</x:v>
      </x:c>
      <x:c r="Y691" t="str" s="2">
        <x:v>marshall_adams21@yahoo.com</x:v>
      </x:c>
      <x:c r="Z691" s="6">
        <x:v>46295.58321377315</x:v>
      </x:c>
      <x:c r="AA691" t="str" s="2">
        <x:v>Greg Christman</x:v>
      </x:c>
      <x:c r="AB691" s="6">
        <x:v>46246.66526747685</x:v>
      </x:c>
      <x:c r="AC691" t="n" s="2">
        <x:v>39099</x:v>
      </x:c>
      <x:c r="AD691" s="0"/>
      <x:c r="AE691" s="0"/>
      <x:c r="AF691" s="0"/>
      <x:c r="AG691" s="0"/>
      <x:c r="AH691" s="0"/>
      <x:c r="AI691" s="0"/>
      <x:c r="AJ691" s="0"/>
      <x:c r="AK691" s="0"/>
    </x:row>
    <x:row r="692">
      <x:c r="A692" t="str" s="2">
        <x:f>=HYPERLINK("https://rsms.futurehomex.com/lead/39101", "Peggy Bedingfield")</x:f>
      </x:c>
      <x:c r="B692" t="n" s="2">
        <x:v>62</x:v>
      </x:c>
      <x:c r="C692" t="str" s="2">
        <x:v/>
      </x:c>
      <x:c r="D692" t="str" s="2">
        <x:f>=""</x:f>
      </x:c>
      <x:c r="E692" s="0"/>
      <x:c r="F692" t="str" s="2">
        <x:v>Facebook Messenger</x:v>
      </x:c>
      <x:c r="G692" t="str" s="2">
        <x:v>Heritage Housing of Greenville</x:v>
      </x:c>
      <x:c r="H692" t="str" s="2">
        <x:v>Greg Christman</x:v>
      </x:c>
      <x:c r="I692" s="0"/>
      <x:c r="J692" s="0"/>
      <x:c r="K692" t="n" s="2">
        <x:v>5</x:v>
      </x:c>
      <x:c r="L692" t="str" s="2">
        <x:v>1.1</x:v>
      </x:c>
      <x:c r="M692" t="str" s="2">
        <x:v>Inactive</x:v>
      </x:c>
      <x:c r="N692" t="str" s="2">
        <x:v>Prospect</x:v>
      </x:c>
      <x:c r="O692" s="0"/>
      <x:c r="P692" s="6">
        <x:v>46246</x:v>
      </x:c>
      <x:c r="Q692" s="6">
        <x:v>46246.67933931713</x:v>
      </x:c>
      <x:c r="R692" s="0"/>
      <x:c r="S692" s="0"/>
      <x:c r="T692" s="0"/>
      <x:c r="U692" s="0"/>
      <x:c r="V692" s="0"/>
      <x:c r="W692" s="0"/>
      <x:c r="X692" t="str" s="2">
        <x:v>9034139381</x:v>
      </x:c>
      <x:c r="Y692" t="str" s="2">
        <x:v>lonknl@cumbytel.com</x:v>
      </x:c>
      <x:c r="Z692" s="6">
        <x:v>46246.67971971065</x:v>
      </x:c>
      <x:c r="AA692" t="str" s="2">
        <x:v>Brandie Sartor</x:v>
      </x:c>
      <x:c r="AB692" s="6">
        <x:v>46246.6793409375</x:v>
      </x:c>
      <x:c r="AC692" t="n" s="2">
        <x:v>39101</x:v>
      </x:c>
      <x:c r="AD692" s="0"/>
      <x:c r="AE692" s="0"/>
      <x:c r="AF692" s="0"/>
      <x:c r="AG692" s="0"/>
      <x:c r="AH692" s="0"/>
      <x:c r="AI692" s="0"/>
      <x:c r="AJ692" s="0"/>
      <x:c r="AK692" s="0"/>
    </x:row>
    <x:row r="693">
      <x:c r="A693" t="str" s="2">
        <x:f>=HYPERLINK("https://rsms.futurehomex.com/lead/39102", "Pablo Ocampo")</x:f>
      </x:c>
      <x:c r="B693" t="n" s="2">
        <x:v>62</x:v>
      </x:c>
      <x:c r="C693" t="str" s="2">
        <x:v>1/1</x:v>
      </x:c>
      <x:c r="D693" t="str" s="2">
        <x:f>=""</x:f>
      </x:c>
      <x:c r="E693" s="0"/>
      <x:c r="F693" t="str" s="2">
        <x:v>Walk-in</x:v>
      </x:c>
      <x:c r="G693" t="str" s="2">
        <x:v>Heritage Housing of Oklahoma City</x:v>
      </x:c>
      <x:c r="H693" t="str" s="2">
        <x:v>Alejandra Calderon</x:v>
      </x:c>
      <x:c r="I693" t="str" s="2">
        <x:v>Karol Romero</x:v>
      </x:c>
      <x:c r="J693" s="0"/>
      <x:c r="K693" t="n" s="2">
        <x:v>5</x:v>
      </x:c>
      <x:c r="L693" t="str" s="2">
        <x:v>1.1</x:v>
      </x:c>
      <x:c r="M693" t="str" s="2">
        <x:v>Tentative</x:v>
      </x:c>
      <x:c r="N693" t="str" s="2">
        <x:v>Prospect</x:v>
      </x:c>
      <x:c r="O693" s="0"/>
      <x:c r="P693" s="6">
        <x:v>46246</x:v>
      </x:c>
      <x:c r="Q693" s="6">
        <x:v>46246.69435605324</x:v>
      </x:c>
      <x:c r="R693" s="0"/>
      <x:c r="S693" s="0"/>
      <x:c r="T693" s="0"/>
      <x:c r="U693" s="0"/>
      <x:c r="V693" s="0"/>
      <x:c r="W693" s="0"/>
      <x:c r="X693" t="str" s="2">
        <x:v>9724158149</x:v>
      </x:c>
      <x:c r="Y693" t="str" s="2">
        <x:v>9724158149</x:v>
      </x:c>
      <x:c r="Z693" s="6">
        <x:v>46246.70214667824</x:v>
      </x:c>
      <x:c r="AA693" t="str" s="2">
        <x:v>Valerie Ramirez</x:v>
      </x:c>
      <x:c r="AB693" s="6">
        <x:v>46246.69437546296</x:v>
      </x:c>
      <x:c r="AC693" t="n" s="2">
        <x:v>39102</x:v>
      </x:c>
      <x:c r="AD693" s="0"/>
      <x:c r="AE693" s="0"/>
      <x:c r="AF693" s="0"/>
      <x:c r="AG693" s="0"/>
      <x:c r="AH693" s="0"/>
      <x:c r="AI693" s="0"/>
      <x:c r="AJ693" s="0"/>
      <x:c r="AK693" s="0"/>
    </x:row>
    <x:row r="694">
      <x:c r="A694" t="str" s="2">
        <x:f>=HYPERLINK("https://rsms.futurehomex.com/lead/39104", "Jamie Moriarity")</x:f>
      </x:c>
      <x:c r="B694" t="n" s="2">
        <x:v>62</x:v>
      </x:c>
      <x:c r="C694" t="str" s="2">
        <x:v>1/1</x:v>
      </x:c>
      <x:c r="D694" t="str" s="2">
        <x:f>=""</x:f>
      </x:c>
      <x:c r="E694" s="0"/>
      <x:c r="F694" t="str" s="2">
        <x:v>Walk-in</x:v>
      </x:c>
      <x:c r="G694" t="str" s="2">
        <x:v>Heritage Housing of Oklahoma City</x:v>
      </x:c>
      <x:c r="H694" t="str" s="2">
        <x:v>Trey Rixleben</x:v>
      </x:c>
      <x:c r="I694" t="str" s="2">
        <x:v>Karol Romero</x:v>
      </x:c>
      <x:c r="J694" t="str" s="2">
        <x:v>Trey Rixleben</x:v>
      </x:c>
      <x:c r="K694" t="n" s="2">
        <x:v>5</x:v>
      </x:c>
      <x:c r="L694" t="str" s="2">
        <x:v>1.1</x:v>
      </x:c>
      <x:c r="M694" t="str" s="2">
        <x:v>Tentative</x:v>
      </x:c>
      <x:c r="N694" t="str" s="2">
        <x:v>Deal Created</x:v>
      </x:c>
      <x:c r="O694" s="0"/>
      <x:c r="P694" s="6">
        <x:v>46246</x:v>
      </x:c>
      <x:c r="Q694" s="6">
        <x:v>46296.81451079861</x:v>
      </x:c>
      <x:c r="R694" s="0"/>
      <x:c r="S694" s="0"/>
      <x:c r="T694" s="0"/>
      <x:c r="U694" s="0"/>
      <x:c r="V694" s="0"/>
      <x:c r="W694" s="0"/>
      <x:c r="X694" t="str" s="2">
        <x:v>4059748213</x:v>
      </x:c>
      <x:c r="Y694" t="str" s="2">
        <x:v>jamiemoriarity19@gmail.com</x:v>
      </x:c>
      <x:c r="Z694" s="6">
        <x:v>46296.81528865741</x:v>
      </x:c>
      <x:c r="AA694" t="str" s="2">
        <x:v>Trey Rixleben</x:v>
      </x:c>
      <x:c r="AB694" s="6">
        <x:v>46246.714919791666</x:v>
      </x:c>
      <x:c r="AC694" t="n" s="2">
        <x:v>39104</x:v>
      </x:c>
      <x:c r="AD694" s="0"/>
      <x:c r="AE694" s="0"/>
      <x:c r="AF694" s="0"/>
      <x:c r="AG694" s="0"/>
      <x:c r="AH694" s="0"/>
      <x:c r="AI694" s="0"/>
      <x:c r="AJ694" s="0"/>
      <x:c r="AK694" s="0"/>
    </x:row>
    <x:row r="695">
      <x:c r="A695" t="str" s="2">
        <x:f>=HYPERLINK("https://rsms.futurehomex.com/lead/39105", "Paul Parrott")</x:f>
      </x:c>
      <x:c r="B695" t="n" s="2">
        <x:v>62</x:v>
      </x:c>
      <x:c r="C695" t="str" s="2">
        <x:v>0/1</x:v>
      </x:c>
      <x:c r="D695" t="str" s="2">
        <x:f>=""</x:f>
      </x:c>
      <x:c r="E695" s="0"/>
      <x:c r="F695" t="str" s="2">
        <x:v>Facebook Messenger</x:v>
      </x:c>
      <x:c r="G695" t="str" s="2">
        <x:v>Heritage Housing of Oklahoma City</x:v>
      </x:c>
      <x:c r="H695" t="str" s="2">
        <x:v>Trey Rixleben</x:v>
      </x:c>
      <x:c r="I695" s="0"/>
      <x:c r="J695" s="0"/>
      <x:c r="K695" t="n" s="2">
        <x:v>5</x:v>
      </x:c>
      <x:c r="L695" t="str" s="2">
        <x:v>1.1</x:v>
      </x:c>
      <x:c r="M695" t="str" s="2">
        <x:v>Dead</x:v>
      </x:c>
      <x:c r="N695" t="str" s="2">
        <x:v>Deal Created</x:v>
      </x:c>
      <x:c r="O695" s="0"/>
      <x:c r="P695" s="6">
        <x:v>46246</x:v>
      </x:c>
      <x:c r="Q695" s="6">
        <x:v>46246.781522337966</x:v>
      </x:c>
      <x:c r="R695" s="0"/>
      <x:c r="S695" s="0"/>
      <x:c r="T695" s="0"/>
      <x:c r="U695" s="0"/>
      <x:c r="V695" s="0"/>
      <x:c r="W695" s="0"/>
      <x:c r="X695" t="str" s="2">
        <x:v>9188168186</x:v>
      </x:c>
      <x:c r="Y695" t="str" s="2">
        <x:v>pcparrott@outlook.com</x:v>
      </x:c>
      <x:c r="Z695" s="6">
        <x:v>46254.87368989583</x:v>
      </x:c>
      <x:c r="AA695" t="str" s="2">
        <x:v>Trey Rixleben</x:v>
      </x:c>
      <x:c r="AB695" s="6">
        <x:v>46246.78152427083</x:v>
      </x:c>
      <x:c r="AC695" t="n" s="2">
        <x:v>39105</x:v>
      </x:c>
      <x:c r="AD695" s="0"/>
      <x:c r="AE695" s="0"/>
      <x:c r="AF695" s="0"/>
      <x:c r="AG695" s="0"/>
      <x:c r="AH695" s="0"/>
      <x:c r="AI695" s="0"/>
      <x:c r="AJ695" s="0"/>
      <x:c r="AK695" s="0"/>
    </x:row>
    <x:row r="696">
      <x:c r="A696" t="str" s="2">
        <x:f>=HYPERLINK("https://rsms.futurehomex.com/lead/39106", "Willard Williams")</x:f>
      </x:c>
      <x:c r="B696" t="n" s="2">
        <x:v>62</x:v>
      </x:c>
      <x:c r="C696" t="str" s="2">
        <x:v>0/5</x:v>
      </x:c>
      <x:c r="D696" t="str" s="2">
        <x:f>=""</x:f>
      </x:c>
      <x:c r="E696" s="0"/>
      <x:c r="F696" t="str" s="2">
        <x:v>Meta Ads - Forms</x:v>
      </x:c>
      <x:c r="G696" t="str" s="2">
        <x:v>Heritage Housing of Jennings</x:v>
      </x:c>
      <x:c r="H696" t="str" s="2">
        <x:v>Clint O'Neal</x:v>
      </x:c>
      <x:c r="I696" s="0"/>
      <x:c r="J696" t="str" s="2">
        <x:v>Clint O'Neal</x:v>
      </x:c>
      <x:c r="K696" t="n" s="2">
        <x:v>5</x:v>
      </x:c>
      <x:c r="L696" t="str" s="2">
        <x:v>1.1</x:v>
      </x:c>
      <x:c r="M696" t="str" s="2">
        <x:v>Tentative</x:v>
      </x:c>
      <x:c r="N696" t="str" s="2">
        <x:v>Deal Created</x:v>
      </x:c>
      <x:c r="O696" s="0"/>
      <x:c r="P696" s="6">
        <x:v>46246</x:v>
      </x:c>
      <x:c r="Q696" s="6">
        <x:v>46246.78290239583</x:v>
      </x:c>
      <x:c r="R696" s="0"/>
      <x:c r="S696" s="0"/>
      <x:c r="T696" s="0"/>
      <x:c r="U696" s="0"/>
      <x:c r="V696" s="0"/>
      <x:c r="W696" s="0"/>
      <x:c r="X696" t="str" s="2">
        <x:v>5046137329</x:v>
      </x:c>
      <x:c r="Y696" t="str" s="2">
        <x:v>willorhookw319@gmail.com</x:v>
      </x:c>
      <x:c r="Z696" s="6">
        <x:v>46279.772937650465</x:v>
      </x:c>
      <x:c r="AA696" t="str" s="2">
        <x:v>Clint O'Neal</x:v>
      </x:c>
      <x:c r="AB696" s="6">
        <x:v>46246.78290324074</x:v>
      </x:c>
      <x:c r="AC696" t="n" s="2">
        <x:v>39106</x:v>
      </x:c>
      <x:c r="AD696" s="0"/>
      <x:c r="AE696" s="0"/>
      <x:c r="AF696" s="0"/>
      <x:c r="AG696" s="0"/>
      <x:c r="AH696" s="0"/>
      <x:c r="AI696" s="0"/>
      <x:c r="AJ696" s="0"/>
      <x:c r="AK696" s="0"/>
    </x:row>
    <x:row r="697">
      <x:c r="A697" t="str" s="2">
        <x:f>=HYPERLINK("https://rsms.futurehomex.com/lead/39107", "Daniela Rubio")</x:f>
      </x:c>
      <x:c r="B697" t="n" s="2">
        <x:v>62</x:v>
      </x:c>
      <x:c r="C697" t="str" s="2">
        <x:v/>
      </x:c>
      <x:c r="D697" t="str" s="2">
        <x:f>=""</x:f>
      </x:c>
      <x:c r="E697" s="0"/>
      <x:c r="F697" t="str" s="2">
        <x:v>Other</x:v>
      </x:c>
      <x:c r="G697" t="str" s="2">
        <x:v>Heritage Housing Mt Pleasant</x:v>
      </x:c>
      <x:c r="H697" t="str" s="2">
        <x:v>Sandra Saldana</x:v>
      </x:c>
      <x:c r="I697" s="0"/>
      <x:c r="J697" t="str" s="2">
        <x:v>Sandra Saldana</x:v>
      </x:c>
      <x:c r="K697" t="n" s="2">
        <x:v>5</x:v>
      </x:c>
      <x:c r="L697" t="str" s="2">
        <x:v>1.1</x:v>
      </x:c>
      <x:c r="M697" t="str" s="2">
        <x:v>Tentative</x:v>
      </x:c>
      <x:c r="N697" t="str" s="2">
        <x:v>Deal Created</x:v>
      </x:c>
      <x:c r="O697" s="0"/>
      <x:c r="P697" s="6">
        <x:v>46246</x:v>
      </x:c>
      <x:c r="Q697" s="6">
        <x:v>46246.81248260417</x:v>
      </x:c>
      <x:c r="R697" s="0"/>
      <x:c r="S697" s="0"/>
      <x:c r="T697" s="0"/>
      <x:c r="U697" s="0"/>
      <x:c r="V697" s="0"/>
      <x:c r="W697" s="0"/>
      <x:c r="X697" t="str" s="2">
        <x:v>9037675552</x:v>
      </x:c>
      <x:c r="Y697" t="str" s="2">
        <x:v>9037675552</x:v>
      </x:c>
      <x:c r="Z697" s="6">
        <x:v>46247.64072939815</x:v>
      </x:c>
      <x:c r="AA697" t="str" s="2">
        <x:v>Sandra Saldana</x:v>
      </x:c>
      <x:c r="AB697" s="6">
        <x:v>46246.812484027774</x:v>
      </x:c>
      <x:c r="AC697" t="n" s="2">
        <x:v>39107</x:v>
      </x:c>
      <x:c r="AD697" s="0"/>
      <x:c r="AE697" s="0"/>
      <x:c r="AF697" s="0"/>
      <x:c r="AG697" s="0"/>
      <x:c r="AH697" s="0"/>
      <x:c r="AI697" s="0"/>
      <x:c r="AJ697" s="0"/>
      <x:c r="AK697" s="0"/>
    </x:row>
    <x:row r="698">
      <x:c r="A698" t="str" s="2">
        <x:f>=HYPERLINK("https://rsms.futurehomex.com/lead/39108", "Patrice Kelley")</x:f>
      </x:c>
      <x:c r="B698" t="n" s="2">
        <x:v>62</x:v>
      </x:c>
      <x:c r="C698" t="str" s="2">
        <x:v/>
      </x:c>
      <x:c r="D698" t="str" s="2">
        <x:f>=""</x:f>
      </x:c>
      <x:c r="E698" s="0"/>
      <x:c r="F698" t="str" s="2">
        <x:v>Walk-in</x:v>
      </x:c>
      <x:c r="G698" t="str" s="2">
        <x:v>Heritage Housing of Augusta</x:v>
      </x:c>
      <x:c r="H698" t="str" s="2">
        <x:v>Jennifer Johnson</x:v>
      </x:c>
      <x:c r="I698" t="str" s="2">
        <x:v>Karol Romero</x:v>
      </x:c>
      <x:c r="J698" t="str" s="2">
        <x:v>Jennifer Johnson</x:v>
      </x:c>
      <x:c r="K698" t="n" s="2">
        <x:v>21</x:v>
      </x:c>
      <x:c r="L698" t="str" s="2">
        <x:v>2.1</x:v>
      </x:c>
      <x:c r="M698" t="str" s="2">
        <x:v>Tentative</x:v>
      </x:c>
      <x:c r="N698" t="str" s="2">
        <x:v>Qualified</x:v>
      </x:c>
      <x:c r="O698" s="0"/>
      <x:c r="P698" s="6">
        <x:v>46246</x:v>
      </x:c>
      <x:c r="Q698" s="6">
        <x:v>46281.638325659726</x:v>
      </x:c>
      <x:c r="R698" s="0"/>
      <x:c r="S698" s="0"/>
      <x:c r="T698" s="0"/>
      <x:c r="U698" s="0"/>
      <x:c r="V698" s="0"/>
      <x:c r="W698" s="0"/>
      <x:c r="X698" t="str" s="2">
        <x:v>7068340510</x:v>
      </x:c>
      <x:c r="Y698" t="str" s="2">
        <x:v>patricekelley88@gmail.com</x:v>
      </x:c>
      <x:c r="Z698" s="6">
        <x:v>46281.674647141204</x:v>
      </x:c>
      <x:c r="AA698" t="str" s="2">
        <x:v>Alex Jones</x:v>
      </x:c>
      <x:c r="AB698" s="6">
        <x:v>46246.82651493056</x:v>
      </x:c>
      <x:c r="AC698" t="n" s="2">
        <x:v>39108</x:v>
      </x:c>
      <x:c r="AD698" s="0"/>
      <x:c r="AE698" s="0"/>
      <x:c r="AF698" s="0"/>
      <x:c r="AG698" s="7">
        <x:v>10000</x:v>
      </x:c>
      <x:c r="AH698" s="0"/>
      <x:c r="AI698" s="0"/>
      <x:c r="AJ698" s="0"/>
      <x:c r="AK698" s="0"/>
    </x:row>
    <x:row r="699">
      <x:c r="A699" t="str" s="2">
        <x:f>=HYPERLINK("https://rsms.futurehomex.com/lead/39109", "Ricky Perez")</x:f>
      </x:c>
      <x:c r="B699" t="n" s="2">
        <x:v>62</x:v>
      </x:c>
      <x:c r="C699" t="str" s="2">
        <x:v/>
      </x:c>
      <x:c r="D699" t="str" s="2">
        <x:f>=""</x:f>
      </x:c>
      <x:c r="E699" t="str" s="2">
        <x:v>Reyna Monreal</x:v>
      </x:c>
      <x:c r="F699" t="str" s="2">
        <x:v>Meta Marketplace</x:v>
      </x:c>
      <x:c r="G699" t="str" s="2">
        <x:v>Heritage Housing Gainesville</x:v>
      </x:c>
      <x:c r="H699" t="str" s="2">
        <x:v>Kelly Ford</x:v>
      </x:c>
      <x:c r="I699" s="0"/>
      <x:c r="J699" s="0"/>
      <x:c r="K699" t="n" s="2">
        <x:v>9</x:v>
      </x:c>
      <x:c r="L699" t="str" s="2">
        <x:v>1.2</x:v>
      </x:c>
      <x:c r="M699" t="str" s="2">
        <x:v>Tentative</x:v>
      </x:c>
      <x:c r="N699" t="str" s="2">
        <x:v>Deal Created</x:v>
      </x:c>
      <x:c r="O699" s="0"/>
      <x:c r="P699" s="6">
        <x:v>46246</x:v>
      </x:c>
      <x:c r="Q699" s="6">
        <x:v>46247.533178784724</x:v>
      </x:c>
      <x:c r="R699" s="0"/>
      <x:c r="S699" s="0"/>
      <x:c r="T699" s="0"/>
      <x:c r="U699" s="0"/>
      <x:c r="V699" s="0"/>
      <x:c r="W699" s="0"/>
      <x:c r="X699" t="str" s="2">
        <x:v>3464326053</x:v>
      </x:c>
      <x:c r="Y699" t="str" s="2">
        <x:v>rjrvball13@gmail.com</x:v>
      </x:c>
      <x:c r="Z699" s="0"/>
      <x:c r="AA699" s="0"/>
      <x:c r="AB699" s="6">
        <x:v>46246.837829780095</x:v>
      </x:c>
      <x:c r="AC699" t="n" s="2">
        <x:v>39109</x:v>
      </x:c>
      <x:c r="AD699" s="0"/>
      <x:c r="AE699" s="0"/>
      <x:c r="AF699" s="0"/>
      <x:c r="AG699" s="7">
        <x:v>12200</x:v>
      </x:c>
      <x:c r="AH699" s="0"/>
      <x:c r="AI699" s="0"/>
      <x:c r="AJ699" s="0"/>
      <x:c r="AK699" s="0"/>
    </x:row>
    <x:row r="700">
      <x:c r="A700" t="str" s="2">
        <x:f>=HYPERLINK("https://rsms.futurehomex.com/lead/39110", "Paul Parrott")</x:f>
      </x:c>
      <x:c r="B700" t="n" s="2">
        <x:v>62</x:v>
      </x:c>
      <x:c r="C700" t="str" s="2">
        <x:v/>
      </x:c>
      <x:c r="D700" t="str" s="2">
        <x:f>=""</x:f>
      </x:c>
      <x:c r="E700" s="0"/>
      <x:c r="F700" t="str" s="2">
        <x:v>Other</x:v>
      </x:c>
      <x:c r="G700" t="str" s="2">
        <x:v>Heritage Housing of Tulsa</x:v>
      </x:c>
      <x:c r="H700" t="str" s="2">
        <x:v>Derek Searcy</x:v>
      </x:c>
      <x:c r="I700" t="str" s="2">
        <x:v>Karol Romero</x:v>
      </x:c>
      <x:c r="J700" t="str" s="2">
        <x:v>Jenna Fransisco</x:v>
      </x:c>
      <x:c r="K700" t="n" s="2">
        <x:v>5</x:v>
      </x:c>
      <x:c r="L700" t="str" s="2">
        <x:v>1.1</x:v>
      </x:c>
      <x:c r="M700" t="str" s="2">
        <x:v>Inactive</x:v>
      </x:c>
      <x:c r="N700" t="str" s="2">
        <x:v>Deal Created</x:v>
      </x:c>
      <x:c r="O700" s="0"/>
      <x:c r="P700" s="6">
        <x:v>46246</x:v>
      </x:c>
      <x:c r="Q700" s="6">
        <x:v>46246.86864255787</x:v>
      </x:c>
      <x:c r="R700" s="0"/>
      <x:c r="S700" s="0"/>
      <x:c r="T700" s="0"/>
      <x:c r="U700" s="0"/>
      <x:c r="V700" s="0"/>
      <x:c r="W700" s="0"/>
      <x:c r="X700" t="str" s="2">
        <x:v>9188168168</x:v>
      </x:c>
      <x:c r="Y700" t="str" s="2">
        <x:v>9188168168</x:v>
      </x:c>
      <x:c r="Z700" s="6">
        <x:v>46251.689155555556</x:v>
      </x:c>
      <x:c r="AA700" t="str" s="2">
        <x:v>Brittany Cobb</x:v>
      </x:c>
      <x:c r="AB700" s="6">
        <x:v>46246.86864444445</x:v>
      </x:c>
      <x:c r="AC700" t="n" s="2">
        <x:v>39110</x:v>
      </x:c>
      <x:c r="AD700" s="0"/>
      <x:c r="AE700" s="0"/>
      <x:c r="AF700" s="0"/>
      <x:c r="AG700" s="0"/>
      <x:c r="AH700" s="0"/>
      <x:c r="AI700" s="0"/>
      <x:c r="AJ700" s="0"/>
      <x:c r="AK700" s="0"/>
    </x:row>
    <x:row r="701">
      <x:c r="A701" t="str" s="2">
        <x:f>=HYPERLINK("https://rsms.futurehomex.com/lead/39113", "David Reyes")</x:f>
      </x:c>
      <x:c r="B701" t="n" s="2">
        <x:v>62</x:v>
      </x:c>
      <x:c r="C701" t="str" s="2">
        <x:v/>
      </x:c>
      <x:c r="D701" t="str" s="2">
        <x:f>=""</x:f>
      </x:c>
      <x:c r="E701" s="0"/>
      <x:c r="F701" t="str" s="2">
        <x:v>Meta Marketplace</x:v>
      </x:c>
      <x:c r="G701" t="str" s="2">
        <x:v>Heritage Housing Mt Pleasant</x:v>
      </x:c>
      <x:c r="H701" t="str" s="2">
        <x:v>Elias Gallardo</x:v>
      </x:c>
      <x:c r="I701" s="0"/>
      <x:c r="J701" t="str" s="2">
        <x:v>Elias Gallardo</x:v>
      </x:c>
      <x:c r="K701" t="n" s="2">
        <x:v>5</x:v>
      </x:c>
      <x:c r="L701" t="str" s="2">
        <x:v>1.1</x:v>
      </x:c>
      <x:c r="M701" t="str" s="2">
        <x:v>Tentative</x:v>
      </x:c>
      <x:c r="N701" t="str" s="2">
        <x:v>Deal Created</x:v>
      </x:c>
      <x:c r="O701" s="0"/>
      <x:c r="P701" s="6">
        <x:v>46246</x:v>
      </x:c>
      <x:c r="Q701" s="6">
        <x:v>46246.924211921294</x:v>
      </x:c>
      <x:c r="R701" s="0"/>
      <x:c r="S701" s="0"/>
      <x:c r="T701" s="0"/>
      <x:c r="U701" s="0"/>
      <x:c r="V701" s="0"/>
      <x:c r="W701" s="0"/>
      <x:c r="X701" t="str" s="2">
        <x:v>5813122677</x:v>
      </x:c>
      <x:c r="Y701" t="str" s="2">
        <x:v>5813122677</x:v>
      </x:c>
      <x:c r="Z701" s="0"/>
      <x:c r="AA701" s="0"/>
      <x:c r="AB701" s="6">
        <x:v>46246.92421385417</x:v>
      </x:c>
      <x:c r="AC701" t="n" s="2">
        <x:v>39113</x:v>
      </x:c>
      <x:c r="AD701" s="0"/>
      <x:c r="AE701" s="0"/>
      <x:c r="AF701" s="0"/>
      <x:c r="AG701" s="0"/>
      <x:c r="AH701" s="0"/>
      <x:c r="AI701" s="0"/>
      <x:c r="AJ701" s="0"/>
      <x:c r="AK701" s="0"/>
    </x:row>
    <x:row r="702">
      <x:c r="A702" t="str" s="2">
        <x:f>=HYPERLINK("https://rsms.futurehomex.com/lead/39115", "Tulsa Dane Test")</x:f>
      </x:c>
      <x:c r="B702" t="n" s="2">
        <x:v>62</x:v>
      </x:c>
      <x:c r="C702" t="str" s="2">
        <x:v/>
      </x:c>
      <x:c r="D702" t="str" s="2">
        <x:f>=""</x:f>
      </x:c>
      <x:c r="E702" s="0"/>
      <x:c r="F702" t="str" s="2">
        <x:v>Walk-in</x:v>
      </x:c>
      <x:c r="G702" t="str" s="2">
        <x:v>Heritage Housing of Tulsa</x:v>
      </x:c>
      <x:c r="H702" t="str" s="2">
        <x:v>Madison Chapman</x:v>
      </x:c>
      <x:c r="I702" s="0"/>
      <x:c r="J702" s="0"/>
      <x:c r="K702" t="n" s="2">
        <x:v>5</x:v>
      </x:c>
      <x:c r="L702" t="str" s="2">
        <x:v>1.1</x:v>
      </x:c>
      <x:c r="M702" t="str" s="2">
        <x:v>Dead</x:v>
      </x:c>
      <x:c r="N702" t="str" s="2">
        <x:v>Prospect</x:v>
      </x:c>
      <x:c r="O702" s="0"/>
      <x:c r="P702" s="6">
        <x:v>46246</x:v>
      </x:c>
      <x:c r="Q702" s="6">
        <x:v>46246.9367408912</x:v>
      </x:c>
      <x:c r="R702" s="0"/>
      <x:c r="S702" s="0"/>
      <x:c r="T702" s="0"/>
      <x:c r="U702" s="0"/>
      <x:c r="V702" s="0"/>
      <x:c r="W702" s="0"/>
      <x:c r="X702" t="str" s="2">
        <x:v>8568568569</x:v>
      </x:c>
      <x:c r="Y702" t="str" s="2">
        <x:v>tulsadane@nomail.com</x:v>
      </x:c>
      <x:c r="Z702" s="0"/>
      <x:c r="AA702" s="0"/>
      <x:c r="AB702" s="6">
        <x:v>46246.93674158565</x:v>
      </x:c>
      <x:c r="AC702" t="n" s="2">
        <x:v>39115</x:v>
      </x:c>
      <x:c r="AD702" s="0"/>
      <x:c r="AE702" s="0"/>
      <x:c r="AF702" s="0"/>
      <x:c r="AG702" s="0"/>
      <x:c r="AH702" s="0"/>
      <x:c r="AI702" s="0"/>
      <x:c r="AJ702" s="0"/>
      <x:c r="AK702" s="0"/>
    </x:row>
    <x:row r="703">
      <x:c r="A703" t="str" s="2">
        <x:f>=HYPERLINK("https://rsms.futurehomex.com/lead/39116", "Aileen Mier")</x:f>
      </x:c>
      <x:c r="B703" t="n" s="2">
        <x:v>62</x:v>
      </x:c>
      <x:c r="C703" t="str" s="2">
        <x:v>1/2</x:v>
      </x:c>
      <x:c r="D703" t="str" s="2">
        <x:f>=""</x:f>
      </x:c>
      <x:c r="E703" s="0"/>
      <x:c r="F703" t="str" s="2">
        <x:v>Walk-in</x:v>
      </x:c>
      <x:c r="G703" t="str" s="2">
        <x:v>Heritage Housing of Oklahoma City</x:v>
      </x:c>
      <x:c r="H703" t="str" s="2">
        <x:v>Alejandra Calderon</x:v>
      </x:c>
      <x:c r="I703" t="str" s="2">
        <x:v>Karol Romero</x:v>
      </x:c>
      <x:c r="J703" s="0"/>
      <x:c r="K703" t="n" s="2">
        <x:v>5</x:v>
      </x:c>
      <x:c r="L703" t="str" s="2">
        <x:v>1.1</x:v>
      </x:c>
      <x:c r="M703" t="str" s="2">
        <x:v>Tentative</x:v>
      </x:c>
      <x:c r="N703" t="str" s="2">
        <x:v>Prospect</x:v>
      </x:c>
      <x:c r="O703" s="0"/>
      <x:c r="P703" s="6">
        <x:v>46246</x:v>
      </x:c>
      <x:c r="Q703" s="6">
        <x:v>46265.912562997684</x:v>
      </x:c>
      <x:c r="R703" s="0"/>
      <x:c r="S703" s="0"/>
      <x:c r="T703" s="0"/>
      <x:c r="U703" s="0"/>
      <x:c r="V703" s="0"/>
      <x:c r="W703" s="0"/>
      <x:c r="X703" t="str" s="2">
        <x:v>4058612942</x:v>
      </x:c>
      <x:c r="Y703" t="str" s="2">
        <x:v>miero4@icloud.com</x:v>
      </x:c>
      <x:c r="Z703" s="6">
        <x:v>46274.850057951386</x:v>
      </x:c>
      <x:c r="AA703" t="str" s="2">
        <x:v>Alejandra Calderon</x:v>
      </x:c>
      <x:c r="AB703" s="6">
        <x:v>46246.9389375</x:v>
      </x:c>
      <x:c r="AC703" t="n" s="2">
        <x:v>39116</x:v>
      </x:c>
      <x:c r="AD703" s="0"/>
      <x:c r="AE703" s="0"/>
      <x:c r="AF703" s="0"/>
      <x:c r="AG703" s="0"/>
      <x:c r="AH703" s="0"/>
      <x:c r="AI703" s="0"/>
      <x:c r="AJ703" s="0"/>
      <x:c r="AK703" s="0"/>
    </x:row>
    <x:row r="704">
      <x:c r="A704" t="str" s="2">
        <x:f>=HYPERLINK("https://rsms.futurehomex.com/lead/39118", "Kyle Harrison")</x:f>
      </x:c>
      <x:c r="B704" t="n" s="2">
        <x:v>61</x:v>
      </x:c>
      <x:c r="C704" t="str" s="2">
        <x:v/>
      </x:c>
      <x:c r="D704" t="str" s="2">
        <x:f>=""</x:f>
      </x:c>
      <x:c r="E704" s="0"/>
      <x:c r="F704" t="str" s="2">
        <x:v>Walk-in</x:v>
      </x:c>
      <x:c r="G704" t="str" s="2">
        <x:v>Heritage Housing Mt Pleasant</x:v>
      </x:c>
      <x:c r="H704" t="str" s="2">
        <x:v>Elias Gallardo</x:v>
      </x:c>
      <x:c r="I704" s="0"/>
      <x:c r="J704" t="str" s="2">
        <x:v>Elias Gallardo</x:v>
      </x:c>
      <x:c r="K704" t="n" s="2">
        <x:v>5</x:v>
      </x:c>
      <x:c r="L704" t="str" s="2">
        <x:v>1.1</x:v>
      </x:c>
      <x:c r="M704" t="str" s="2">
        <x:v>Tentative</x:v>
      </x:c>
      <x:c r="N704" t="str" s="2">
        <x:v>Deal Created</x:v>
      </x:c>
      <x:c r="O704" s="0"/>
      <x:c r="P704" s="6">
        <x:v>46247</x:v>
      </x:c>
      <x:c r="Q704" s="6">
        <x:v>46247.005485104164</x:v>
      </x:c>
      <x:c r="R704" s="0"/>
      <x:c r="S704" s="0"/>
      <x:c r="T704" s="0"/>
      <x:c r="U704" s="0"/>
      <x:c r="V704" s="0"/>
      <x:c r="W704" s="0"/>
      <x:c r="X704" t="str" s="2">
        <x:v>9034580425</x:v>
      </x:c>
      <x:c r="Y704" t="str" s="2">
        <x:v>9034580425</x:v>
      </x:c>
      <x:c r="Z704" s="6">
        <x:v>46247.006684988424</x:v>
      </x:c>
      <x:c r="AA704" t="str" s="2">
        <x:v>Elias Gallardo</x:v>
      </x:c>
      <x:c r="AB704" s="6">
        <x:v>46247.00548695602</x:v>
      </x:c>
      <x:c r="AC704" t="n" s="2">
        <x:v>39118</x:v>
      </x:c>
      <x:c r="AD704" s="0"/>
      <x:c r="AE704" s="0"/>
      <x:c r="AF704" s="0"/>
      <x:c r="AG704" s="0"/>
      <x:c r="AH704" s="0"/>
      <x:c r="AI704" s="0"/>
      <x:c r="AJ704" s="0"/>
      <x:c r="AK704" s="0"/>
    </x:row>
    <x:row r="705">
      <x:c r="A705" t="str" s="2">
        <x:f>=HYPERLINK("https://rsms.futurehomex.com/lead/39119", "Phillip Johnson")</x:f>
      </x:c>
      <x:c r="B705" t="n" s="2">
        <x:v>61</x:v>
      </x:c>
      <x:c r="C705" t="str" s="2">
        <x:v>1/1</x:v>
      </x:c>
      <x:c r="D705" t="str" s="2">
        <x:f>=""</x:f>
      </x:c>
      <x:c r="E705" t="str" s="2">
        <x:v>Deana Johnson</x:v>
      </x:c>
      <x:c r="F705" t="str" s="2">
        <x:v>Walk-in</x:v>
      </x:c>
      <x:c r="G705" t="str" s="2">
        <x:v>Heritage Housing of Oklahoma City</x:v>
      </x:c>
      <x:c r="H705" t="str" s="2">
        <x:v>Trey Rixleben</x:v>
      </x:c>
      <x:c r="I705" t="str" s="2">
        <x:v>Karol Romero</x:v>
      </x:c>
      <x:c r="J705" t="str" s="2">
        <x:v>Trey Rixleben</x:v>
      </x:c>
      <x:c r="K705" t="n" s="2">
        <x:v>5</x:v>
      </x:c>
      <x:c r="L705" t="str" s="2">
        <x:v>1.1</x:v>
      </x:c>
      <x:c r="M705" t="str" s="2">
        <x:v>Inactive</x:v>
      </x:c>
      <x:c r="N705" t="str" s="2">
        <x:v>Deal Created</x:v>
      </x:c>
      <x:c r="O705" s="0"/>
      <x:c r="P705" s="6">
        <x:v>46247</x:v>
      </x:c>
      <x:c r="Q705" s="6">
        <x:v>46283.98400320602</x:v>
      </x:c>
      <x:c r="R705" s="0"/>
      <x:c r="S705" s="0"/>
      <x:c r="T705" s="0"/>
      <x:c r="U705" s="0"/>
      <x:c r="V705" s="0"/>
      <x:c r="W705" s="0"/>
      <x:c r="X705" t="str" s="2">
        <x:v>4058317583</x:v>
      </x:c>
      <x:c r="Y705" t="str" s="2">
        <x:v>okienyankee@att.net</x:v>
      </x:c>
      <x:c r="Z705" s="6">
        <x:v>46283.98733596065</x:v>
      </x:c>
      <x:c r="AA705" t="str" s="2">
        <x:v>Trey Rixleben</x:v>
      </x:c>
      <x:c r="AB705" s="6">
        <x:v>46247.576258946756</x:v>
      </x:c>
      <x:c r="AC705" t="n" s="2">
        <x:v>39119</x:v>
      </x:c>
      <x:c r="AD705" s="0"/>
      <x:c r="AE705" s="0"/>
      <x:c r="AF705" s="0"/>
      <x:c r="AG705" s="0"/>
      <x:c r="AH705" s="0"/>
      <x:c r="AI705" s="0"/>
      <x:c r="AJ705" s="0"/>
      <x:c r="AK705" s="0"/>
    </x:row>
    <x:row r="706">
      <x:c r="A706" t="str" s="2">
        <x:f>=HYPERLINK("https://rsms.futurehomex.com/lead/39120", "Kim Jones")</x:f>
      </x:c>
      <x:c r="B706" t="n" s="2">
        <x:v>61</x:v>
      </x:c>
      <x:c r="C706" t="str" s="2">
        <x:v/>
      </x:c>
      <x:c r="D706" t="str" s="2">
        <x:f>=""</x:f>
      </x:c>
      <x:c r="E706" s="0"/>
      <x:c r="F706" t="str" s="2">
        <x:v>Other</x:v>
      </x:c>
      <x:c r="G706" t="str" s="2">
        <x:v>Heritage Housing of Augusta</x:v>
      </x:c>
      <x:c r="H706" t="str" s="2">
        <x:v>Faye Lively</x:v>
      </x:c>
      <x:c r="I706" t="str" s="2">
        <x:v>Karol Romero</x:v>
      </x:c>
      <x:c r="J706" t="str" s="2">
        <x:v>Faye Lively</x:v>
      </x:c>
      <x:c r="K706" t="n" s="2">
        <x:v>5</x:v>
      </x:c>
      <x:c r="L706" t="str" s="2">
        <x:v>1.1</x:v>
      </x:c>
      <x:c r="M706" t="str" s="2">
        <x:v>Dead</x:v>
      </x:c>
      <x:c r="N706" t="str" s="2">
        <x:v>Deal Created</x:v>
      </x:c>
      <x:c r="O706" s="0"/>
      <x:c r="P706" s="6">
        <x:v>46247</x:v>
      </x:c>
      <x:c r="Q706" s="6">
        <x:v>46247.61270651621</x:v>
      </x:c>
      <x:c r="R706" s="0"/>
      <x:c r="S706" s="0"/>
      <x:c r="T706" s="0"/>
      <x:c r="U706" s="0"/>
      <x:c r="V706" s="0"/>
      <x:c r="W706" s="0"/>
      <x:c r="X706" t="str" s="2">
        <x:v>7065646811</x:v>
      </x:c>
      <x:c r="Y706" t="str" s="2">
        <x:v>kon_guy_jones@gmail.com</x:v>
      </x:c>
      <x:c r="Z706" s="0"/>
      <x:c r="AA706" s="0"/>
      <x:c r="AB706" s="6">
        <x:v>46247.612708877314</x:v>
      </x:c>
      <x:c r="AC706" t="n" s="2">
        <x:v>39120</x:v>
      </x:c>
      <x:c r="AD706" s="0"/>
      <x:c r="AE706" s="0"/>
      <x:c r="AF706" s="0"/>
      <x:c r="AG706" s="0"/>
      <x:c r="AH706" s="0"/>
      <x:c r="AI706" s="0"/>
      <x:c r="AJ706" s="0"/>
      <x:c r="AK706" s="0"/>
    </x:row>
    <x:row r="707">
      <x:c r="A707" t="str" s="2">
        <x:f>=HYPERLINK("https://rsms.futurehomex.com/lead/39121", "Sheree Johnson")</x:f>
      </x:c>
      <x:c r="B707" t="n" s="2">
        <x:v>61</x:v>
      </x:c>
      <x:c r="C707" t="str" s="2">
        <x:v/>
      </x:c>
      <x:c r="D707" t="str" s="2">
        <x:f>=""</x:f>
      </x:c>
      <x:c r="E707" s="0"/>
      <x:c r="F707" t="str" s="2">
        <x:v>Walk-in</x:v>
      </x:c>
      <x:c r="G707" t="str" s="2">
        <x:v>Heritage Housing of Tulsa</x:v>
      </x:c>
      <x:c r="H707" t="str" s="2">
        <x:v>Derek Searcy</x:v>
      </x:c>
      <x:c r="I707" s="0"/>
      <x:c r="J707" s="0"/>
      <x:c r="K707" t="n" s="2">
        <x:v>5</x:v>
      </x:c>
      <x:c r="L707" t="str" s="2">
        <x:v>1.1</x:v>
      </x:c>
      <x:c r="M707" t="str" s="2">
        <x:v>Inactive</x:v>
      </x:c>
      <x:c r="N707" t="str" s="2">
        <x:v>Prospect</x:v>
      </x:c>
      <x:c r="O707" s="0"/>
      <x:c r="P707" s="6">
        <x:v>46247</x:v>
      </x:c>
      <x:c r="Q707" s="6">
        <x:v>46247.62189517361</x:v>
      </x:c>
      <x:c r="R707" s="0"/>
      <x:c r="S707" s="0"/>
      <x:c r="T707" s="0"/>
      <x:c r="U707" s="0"/>
      <x:c r="V707" s="0"/>
      <x:c r="W707" s="0"/>
      <x:c r="X707" t="str" s="2">
        <x:v>9182842067</x:v>
      </x:c>
      <x:c r="Y707" t="str" s="2">
        <x:v>whitesid@nsuok.edu</x:v>
      </x:c>
      <x:c r="Z707" s="0"/>
      <x:c r="AA707" s="0"/>
      <x:c r="AB707" s="6">
        <x:v>46247.62189606482</x:v>
      </x:c>
      <x:c r="AC707" t="n" s="2">
        <x:v>39121</x:v>
      </x:c>
      <x:c r="AD707" s="0"/>
      <x:c r="AE707" s="0"/>
      <x:c r="AF707" s="0"/>
      <x:c r="AG707" s="0"/>
      <x:c r="AH707" s="0"/>
      <x:c r="AI707" s="0"/>
      <x:c r="AJ707" s="0"/>
      <x:c r="AK707" s="0"/>
    </x:row>
    <x:row r="708">
      <x:c r="A708" t="str" s="2">
        <x:f>=HYPERLINK("https://rsms.futurehomex.com/lead/39122", "Christine Howie")</x:f>
      </x:c>
      <x:c r="B708" t="n" s="2">
        <x:v>61</x:v>
      </x:c>
      <x:c r="C708" t="str" s="2">
        <x:v>0/5</x:v>
      </x:c>
      <x:c r="D708" t="str" s="2">
        <x:f>="39122, REPO"</x:f>
      </x:c>
      <x:c r="E708" s="0"/>
      <x:c r="F708" t="str" s="2">
        <x:v>Landing_BPM</x:v>
      </x:c>
      <x:c r="G708" t="str" s="2">
        <x:v>Heritage Housing of Minden</x:v>
      </x:c>
      <x:c r="H708" t="str" s="2">
        <x:v>Patrick Schuchart</x:v>
      </x:c>
      <x:c r="I708" t="str" s="2">
        <x:v>Karol Romero</x:v>
      </x:c>
      <x:c r="J708" s="0"/>
      <x:c r="K708" t="n" s="2">
        <x:v>59</x:v>
      </x:c>
      <x:c r="L708" t="str" s="2">
        <x:v>4.3</x:v>
      </x:c>
      <x:c r="M708" t="str" s="2">
        <x:v>Dead</x:v>
      </x:c>
      <x:c r="N708" t="str" s="2">
        <x:v>Loan Approved</x:v>
      </x:c>
      <x:c r="O708" s="0"/>
      <x:c r="P708" s="6">
        <x:v>46247</x:v>
      </x:c>
      <x:c r="Q708" s="6">
        <x:v>46265.95151331019</x:v>
      </x:c>
      <x:c r="R708" s="0"/>
      <x:c r="S708" s="6">
        <x:v>46247</x:v>
      </x:c>
      <x:c r="T708" s="6">
        <x:v>46247</x:v>
      </x:c>
      <x:c r="U708" s="6">
        <x:v>46252</x:v>
      </x:c>
      <x:c r="V708" s="6">
        <x:v>46259</x:v>
      </x:c>
      <x:c r="W708" s="0"/>
      <x:c r="X708" t="str" s="2">
        <x:v>7605906178</x:v>
      </x:c>
      <x:c r="Y708" t="str" s="2">
        <x:v>Christine.howie@yahoo.com</x:v>
      </x:c>
      <x:c r="Z708" s="6">
        <x:v>46274.59720755787</x:v>
      </x:c>
      <x:c r="AA708" t="str" s="2">
        <x:v>Patrick Schuchart</x:v>
      </x:c>
      <x:c r="AB708" s="6">
        <x:v>46247.63243892361</x:v>
      </x:c>
      <x:c r="AC708" t="n" s="2">
        <x:v>39122</x:v>
      </x:c>
      <x:c r="AD708" t="str" s="2">
        <x:v>Singlewide</x:v>
      </x:c>
      <x:c r="AE708" t="str" s="2">
        <x:v>Legacy Housing Corporation</x:v>
      </x:c>
      <x:c r="AF708" s="7">
        <x:v>7000</x:v>
      </x:c>
      <x:c r="AG708" s="7">
        <x:v>7000</x:v>
      </x:c>
      <x:c r="AH708" s="0"/>
      <x:c r="AI708" t="str" s="2">
        <x:v>721</x:v>
      </x:c>
      <x:c r="AJ708" s="0"/>
      <x:c r="AK708" s="0"/>
    </x:row>
    <x:row r="709">
      <x:c r="A709" t="str" s="2">
        <x:f>=HYPERLINK("https://rsms.futurehomex.com/lead/39123", "Edward Williams")</x:f>
      </x:c>
      <x:c r="B709" t="n" s="2">
        <x:v>61</x:v>
      </x:c>
      <x:c r="C709" t="str" s="2">
        <x:v/>
      </x:c>
      <x:c r="D709" t="str" s="2">
        <x:f>=""</x:f>
      </x:c>
      <x:c r="E709" s="0"/>
      <x:c r="F709" t="str" s="2">
        <x:v>Other</x:v>
      </x:c>
      <x:c r="G709" t="str" s="2">
        <x:v>Heritage Housing of Augusta</x:v>
      </x:c>
      <x:c r="H709" t="str" s="2">
        <x:v>Faye Lively</x:v>
      </x:c>
      <x:c r="I709" t="str" s="2">
        <x:v>Karol Romero</x:v>
      </x:c>
      <x:c r="J709" t="str" s="2">
        <x:v>Faye Lively</x:v>
      </x:c>
      <x:c r="K709" t="n" s="2">
        <x:v>5</x:v>
      </x:c>
      <x:c r="L709" t="str" s="2">
        <x:v>1.1</x:v>
      </x:c>
      <x:c r="M709" t="str" s="2">
        <x:v>Tentative</x:v>
      </x:c>
      <x:c r="N709" t="str" s="2">
        <x:v>Deal Created</x:v>
      </x:c>
      <x:c r="O709" s="0"/>
      <x:c r="P709" s="6">
        <x:v>46247</x:v>
      </x:c>
      <x:c r="Q709" s="6">
        <x:v>46247.6366528588</x:v>
      </x:c>
      <x:c r="R709" s="0"/>
      <x:c r="S709" s="0"/>
      <x:c r="T709" s="0"/>
      <x:c r="U709" s="0"/>
      <x:c r="V709" s="0"/>
      <x:c r="W709" s="0"/>
      <x:c r="X709" t="str" s="2">
        <x:v>7045074563</x:v>
      </x:c>
      <x:c r="Y709" t="str" s="2">
        <x:v>enwilliams1582@gmail.com</x:v>
      </x:c>
      <x:c r="Z709" s="0"/>
      <x:c r="AA709" s="0"/>
      <x:c r="AB709" s="6">
        <x:v>46247.63665436343</x:v>
      </x:c>
      <x:c r="AC709" t="n" s="2">
        <x:v>39123</x:v>
      </x:c>
      <x:c r="AD709" s="0"/>
      <x:c r="AE709" s="0"/>
      <x:c r="AF709" s="0"/>
      <x:c r="AG709" s="0"/>
      <x:c r="AH709" s="0"/>
      <x:c r="AI709" s="0"/>
      <x:c r="AJ709" s="0"/>
      <x:c r="AK709" s="0"/>
    </x:row>
    <x:row r="710">
      <x:c r="A710" t="str" s="2">
        <x:f>=HYPERLINK("https://rsms.futurehomex.com/lead/39124", "Racheal Lott")</x:f>
      </x:c>
      <x:c r="B710" t="n" s="2">
        <x:v>61</x:v>
      </x:c>
      <x:c r="C710" t="str" s="2">
        <x:v/>
      </x:c>
      <x:c r="D710" t="str" s="2">
        <x:f>=""</x:f>
      </x:c>
      <x:c r="E710" s="0"/>
      <x:c r="F710" t="str" s="2">
        <x:v>Walk-in</x:v>
      </x:c>
      <x:c r="G710" t="str" s="2">
        <x:v>Heritage Housing of Augusta</x:v>
      </x:c>
      <x:c r="H710" t="str" s="2">
        <x:v>Faye Lively</x:v>
      </x:c>
      <x:c r="I710" t="str" s="2">
        <x:v>Karol Romero</x:v>
      </x:c>
      <x:c r="J710" t="str" s="2">
        <x:v>Faye Lively</x:v>
      </x:c>
      <x:c r="K710" t="n" s="2">
        <x:v>5</x:v>
      </x:c>
      <x:c r="L710" t="str" s="2">
        <x:v>1.1</x:v>
      </x:c>
      <x:c r="M710" t="str" s="2">
        <x:v>Dead</x:v>
      </x:c>
      <x:c r="N710" t="str" s="2">
        <x:v>Deal Created</x:v>
      </x:c>
      <x:c r="O710" s="0"/>
      <x:c r="P710" s="6">
        <x:v>46247</x:v>
      </x:c>
      <x:c r="Q710" s="6">
        <x:v>46247.64931461806</x:v>
      </x:c>
      <x:c r="R710" s="0"/>
      <x:c r="S710" s="0"/>
      <x:c r="T710" s="0"/>
      <x:c r="U710" s="0"/>
      <x:c r="V710" s="0"/>
      <x:c r="W710" s="0"/>
      <x:c r="X710" t="str" s="2">
        <x:v>8036453807</x:v>
      </x:c>
      <x:c r="Y710" t="str" s="2">
        <x:v>lottracheal62@gmail.com</x:v>
      </x:c>
      <x:c r="Z710" s="6">
        <x:v>46266.73871408565</x:v>
      </x:c>
      <x:c r="AA710" t="str" s="2">
        <x:v>Faye Lively</x:v>
      </x:c>
      <x:c r="AB710" s="6">
        <x:v>46247.64931612268</x:v>
      </x:c>
      <x:c r="AC710" t="n" s="2">
        <x:v>39124</x:v>
      </x:c>
      <x:c r="AD710" s="0"/>
      <x:c r="AE710" s="0"/>
      <x:c r="AF710" s="0"/>
      <x:c r="AG710" s="0"/>
      <x:c r="AH710" s="0"/>
      <x:c r="AI710" s="0"/>
      <x:c r="AJ710" s="0"/>
      <x:c r="AK710" s="0"/>
    </x:row>
    <x:row r="711">
      <x:c r="A711" t="str" s="2">
        <x:f>=HYPERLINK("https://rsms.futurehomex.com/lead/39125", "Rodney Snell Jr.")</x:f>
      </x:c>
      <x:c r="B711" t="n" s="2">
        <x:v>61</x:v>
      </x:c>
      <x:c r="C711" t="str" s="2">
        <x:v/>
      </x:c>
      <x:c r="D711" t="str" s="2">
        <x:f>=""</x:f>
      </x:c>
      <x:c r="E711" s="0"/>
      <x:c r="F711" t="str" s="2">
        <x:v>Financing Form</x:v>
      </x:c>
      <x:c r="G711" t="str" s="2">
        <x:v>Heritage Housing of Augusta</x:v>
      </x:c>
      <x:c r="H711" t="str" s="2">
        <x:v>Faye Lively</x:v>
      </x:c>
      <x:c r="I711" s="0"/>
      <x:c r="J711" t="str" s="2">
        <x:v>LeeAnne Newsome</x:v>
      </x:c>
      <x:c r="K711" t="n" s="2">
        <x:v>40</x:v>
      </x:c>
      <x:c r="L711" t="str" s="2">
        <x:v>3.3</x:v>
      </x:c>
      <x:c r="M711" t="str" s="2">
        <x:v>Active</x:v>
      </x:c>
      <x:c r="N711" t="str" s="2">
        <x:v>Application</x:v>
      </x:c>
      <x:c r="O711" s="6">
        <x:v>46387</x:v>
      </x:c>
      <x:c r="P711" s="6">
        <x:v>46247</x:v>
      </x:c>
      <x:c r="Q711" s="6">
        <x:v>46247.78672862268</x:v>
      </x:c>
      <x:c r="R711" s="0"/>
      <x:c r="S711" s="6">
        <x:v>46246</x:v>
      </x:c>
      <x:c r="T711" s="6">
        <x:v>46247</x:v>
      </x:c>
      <x:c r="U711" s="6">
        <x:v>46247</x:v>
      </x:c>
      <x:c r="V711" s="0"/>
      <x:c r="W711" s="0"/>
      <x:c r="X711" t="str" s="2">
        <x:v>7064103400</x:v>
      </x:c>
      <x:c r="Y711" t="str" s="2">
        <x:v>rodneyrsnelljr@gmail.com</x:v>
      </x:c>
      <x:c r="Z711" s="6">
        <x:v>46247.653656979164</x:v>
      </x:c>
      <x:c r="AA711" t="str" s="2">
        <x:v>LeeAnne Newsome</x:v>
      </x:c>
      <x:c r="AB711" s="6">
        <x:v>46247.652711539355</x:v>
      </x:c>
      <x:c r="AC711" t="n" s="2">
        <x:v>39125</x:v>
      </x:c>
      <x:c r="AD711" s="0"/>
      <x:c r="AE711" t="str" s="2">
        <x:v>21st Mortgage Corporation</x:v>
      </x:c>
      <x:c r="AF711" s="0"/>
      <x:c r="AG711" s="0"/>
      <x:c r="AH711" s="0"/>
      <x:c r="AI711" s="0"/>
      <x:c r="AJ711" s="0"/>
      <x:c r="AK711" s="0"/>
    </x:row>
    <x:row r="712">
      <x:c r="A712" t="str" s="2">
        <x:f>=HYPERLINK("https://rsms.futurehomex.com/lead/39126", "Regina Marleny Aguilar Mancia")</x:f>
      </x:c>
      <x:c r="B712" t="n" s="2">
        <x:v>61</x:v>
      </x:c>
      <x:c r="C712" t="str" s="2">
        <x:v/>
      </x:c>
      <x:c r="D712" t="str" s="2">
        <x:f>=""</x:f>
      </x:c>
      <x:c r="E712" s="0"/>
      <x:c r="F712" t="str" s="2">
        <x:v>TikTok</x:v>
      </x:c>
      <x:c r="G712" t="str" s="2">
        <x:v>Heritage Housing of Greenville</x:v>
      </x:c>
      <x:c r="H712" t="str" s="2">
        <x:v>Oscar Osorio</x:v>
      </x:c>
      <x:c r="I712" s="0"/>
      <x:c r="J712" t="str" s="2">
        <x:v>Oscar Osorio</x:v>
      </x:c>
      <x:c r="K712" t="n" s="2">
        <x:v>5</x:v>
      </x:c>
      <x:c r="L712" t="str" s="2">
        <x:v>1.1</x:v>
      </x:c>
      <x:c r="M712" t="str" s="2">
        <x:v>Active</x:v>
      </x:c>
      <x:c r="N712" t="str" s="2">
        <x:v>Prospect</x:v>
      </x:c>
      <x:c r="O712" s="0"/>
      <x:c r="P712" s="6">
        <x:v>46247</x:v>
      </x:c>
      <x:c r="Q712" s="6">
        <x:v>46247.66426820602</x:v>
      </x:c>
      <x:c r="R712" s="0"/>
      <x:c r="S712" s="6">
        <x:v>46247</x:v>
      </x:c>
      <x:c r="T712" s="6">
        <x:v>46247</x:v>
      </x:c>
      <x:c r="U712" s="6">
        <x:v>46247</x:v>
      </x:c>
      <x:c r="V712" s="0"/>
      <x:c r="W712" s="0"/>
      <x:c r="X712" t="str" s="2">
        <x:v>5102584714</x:v>
      </x:c>
      <x:c r="Y712" t="str" s="2">
        <x:v>Aguilar.regina@yahoo.com</x:v>
      </x:c>
      <x:c r="Z712" s="0"/>
      <x:c r="AA712" s="0"/>
      <x:c r="AB712" s="6">
        <x:v>46247.65837017361</x:v>
      </x:c>
      <x:c r="AC712" t="n" s="2">
        <x:v>39126</x:v>
      </x:c>
      <x:c r="AD712" s="0"/>
      <x:c r="AE712" s="0"/>
      <x:c r="AF712" s="0"/>
      <x:c r="AG712" s="7">
        <x:v>7500</x:v>
      </x:c>
      <x:c r="AH712" s="0"/>
      <x:c r="AI712" t="str" s="2">
        <x:v>565</x:v>
      </x:c>
      <x:c r="AJ712" s="0"/>
      <x:c r="AK712" s="0"/>
    </x:row>
    <x:row r="713">
      <x:c r="A713" t="str" s="2">
        <x:f>=HYPERLINK("https://rsms.futurehomex.com/lead/39127", "Travis Leighton")</x:f>
      </x:c>
      <x:c r="B713" t="n" s="2">
        <x:v>61</x:v>
      </x:c>
      <x:c r="C713" t="str" s="2">
        <x:v>0/1</x:v>
      </x:c>
      <x:c r="D713" t="str" s="2">
        <x:f>=""</x:f>
      </x:c>
      <x:c r="E713" s="0"/>
      <x:c r="F713" t="str" s="2">
        <x:v>Facebook Messenger</x:v>
      </x:c>
      <x:c r="G713" t="str" s="2">
        <x:v>Heritage Housing of Oklahoma City</x:v>
      </x:c>
      <x:c r="H713" t="str" s="2">
        <x:v>Steve Castell</x:v>
      </x:c>
      <x:c r="I713" s="0"/>
      <x:c r="J713" t="str" s="2">
        <x:v>Steve Castell</x:v>
      </x:c>
      <x:c r="K713" t="n" s="2">
        <x:v>5</x:v>
      </x:c>
      <x:c r="L713" t="str" s="2">
        <x:v>1.1</x:v>
      </x:c>
      <x:c r="M713" t="str" s="2">
        <x:v>Dead</x:v>
      </x:c>
      <x:c r="N713" t="str" s="2">
        <x:v>Deal Created</x:v>
      </x:c>
      <x:c r="O713" s="0"/>
      <x:c r="P713" s="6">
        <x:v>46247</x:v>
      </x:c>
      <x:c r="Q713" s="6">
        <x:v>46247.66156021991</x:v>
      </x:c>
      <x:c r="R713" s="0"/>
      <x:c r="S713" s="0"/>
      <x:c r="T713" s="0"/>
      <x:c r="U713" s="0"/>
      <x:c r="V713" s="0"/>
      <x:c r="W713" s="0"/>
      <x:c r="X713" t="str" s="2">
        <x:v>5806303472</x:v>
      </x:c>
      <x:c r="Y713" t="str" s="2">
        <x:v>5806303472</x:v>
      </x:c>
      <x:c r="Z713" s="6">
        <x:v>46247.66308842593</x:v>
      </x:c>
      <x:c r="AA713" t="str" s="2">
        <x:v>Steve Castell</x:v>
      </x:c>
      <x:c r="AB713" s="6">
        <x:v>46247.66156184028</x:v>
      </x:c>
      <x:c r="AC713" t="n" s="2">
        <x:v>39127</x:v>
      </x:c>
      <x:c r="AD713" s="0"/>
      <x:c r="AE713" s="0"/>
      <x:c r="AF713" s="0"/>
      <x:c r="AG713" s="0"/>
      <x:c r="AH713" s="0"/>
      <x:c r="AI713" s="0"/>
      <x:c r="AJ713" s="0"/>
      <x:c r="AK713" s="0"/>
    </x:row>
    <x:row r="714">
      <x:c r="A714" t="str" s="2">
        <x:f>=HYPERLINK("https://rsms.futurehomex.com/lead/39128", "Michael &amp; Ashlee Weimer")</x:f>
      </x:c>
      <x:c r="B714" t="n" s="2">
        <x:v>61</x:v>
      </x:c>
      <x:c r="C714" t="str" s="2">
        <x:v>1/1</x:v>
      </x:c>
      <x:c r="D714" t="str" s="2">
        <x:f>=""</x:f>
      </x:c>
      <x:c r="E714" s="0"/>
      <x:c r="F714" t="str" s="2">
        <x:v>Facebook Messenger</x:v>
      </x:c>
      <x:c r="G714" t="str" s="2">
        <x:v>Heritage Housing of Oklahoma City</x:v>
      </x:c>
      <x:c r="H714" t="str" s="2">
        <x:v>Steve Castell</x:v>
      </x:c>
      <x:c r="I714" s="0"/>
      <x:c r="J714" t="str" s="2">
        <x:v>Steve Castell</x:v>
      </x:c>
      <x:c r="K714" t="n" s="2">
        <x:v>5</x:v>
      </x:c>
      <x:c r="L714" t="str" s="2">
        <x:v>1.1</x:v>
      </x:c>
      <x:c r="M714" t="str" s="2">
        <x:v>Tentative</x:v>
      </x:c>
      <x:c r="N714" t="str" s="2">
        <x:v>Deal Created</x:v>
      </x:c>
      <x:c r="O714" s="0"/>
      <x:c r="P714" s="6">
        <x:v>46247</x:v>
      </x:c>
      <x:c r="Q714" s="6">
        <x:v>46247.81371982639</x:v>
      </x:c>
      <x:c r="R714" s="0"/>
      <x:c r="S714" s="0"/>
      <x:c r="T714" s="0"/>
      <x:c r="U714" s="0"/>
      <x:c r="V714" s="0"/>
      <x:c r="W714" s="0"/>
      <x:c r="X714" t="str" s="2">
        <x:v>5803744174</x:v>
      </x:c>
      <x:c r="Y714" t="str" s="2">
        <x:v>aml.mrl.bubbles.1991@gmail.com</x:v>
      </x:c>
      <x:c r="Z714" s="6">
        <x:v>46247.815776469906</x:v>
      </x:c>
      <x:c r="AA714" t="str" s="2">
        <x:v>Steve Castell</x:v>
      </x:c>
      <x:c r="AB714" s="6">
        <x:v>46247.66345995371</x:v>
      </x:c>
      <x:c r="AC714" t="n" s="2">
        <x:v>39128</x:v>
      </x:c>
      <x:c r="AD714" s="0"/>
      <x:c r="AE714" s="0"/>
      <x:c r="AF714" s="0"/>
      <x:c r="AG714" s="0"/>
      <x:c r="AH714" s="0"/>
      <x:c r="AI714" s="0"/>
      <x:c r="AJ714" s="0"/>
      <x:c r="AK714" s="0"/>
    </x:row>
    <x:row r="715">
      <x:c r="A715" t="str" s="2">
        <x:f>=HYPERLINK("https://rsms.futurehomex.com/lead/39132", "Dawneisha Johnson")</x:f>
      </x:c>
      <x:c r="B715" t="n" s="2">
        <x:v>61</x:v>
      </x:c>
      <x:c r="C715" t="str" s="2">
        <x:v/>
      </x:c>
      <x:c r="D715" t="str" s="2">
        <x:f>=""</x:f>
      </x:c>
      <x:c r="E715" s="0"/>
      <x:c r="F715" t="str" s="2">
        <x:v>Other</x:v>
      </x:c>
      <x:c r="G715" t="str" s="2">
        <x:v>Heritage Housing of Augusta</x:v>
      </x:c>
      <x:c r="H715" t="str" s="2">
        <x:v>Faye Lively</x:v>
      </x:c>
      <x:c r="I715" t="str" s="2">
        <x:v>Karol Romero</x:v>
      </x:c>
      <x:c r="J715" t="str" s="2">
        <x:v>Faye Lively</x:v>
      </x:c>
      <x:c r="K715" t="n" s="2">
        <x:v>5</x:v>
      </x:c>
      <x:c r="L715" t="str" s="2">
        <x:v>1.1</x:v>
      </x:c>
      <x:c r="M715" t="str" s="2">
        <x:v>Tentative</x:v>
      </x:c>
      <x:c r="N715" t="str" s="2">
        <x:v>Deal Created</x:v>
      </x:c>
      <x:c r="O715" s="0"/>
      <x:c r="P715" s="6">
        <x:v>46247</x:v>
      </x:c>
      <x:c r="Q715" s="6">
        <x:v>46247.711501238424</x:v>
      </x:c>
      <x:c r="R715" s="0"/>
      <x:c r="S715" s="0"/>
      <x:c r="T715" s="0"/>
      <x:c r="U715" s="0"/>
      <x:c r="V715" s="0"/>
      <x:c r="W715" s="0"/>
      <x:c r="X715" t="str" s="2">
        <x:v>7624531566</x:v>
      </x:c>
      <x:c r="Y715" t="str" s="2">
        <x:v>handfyl7995@gmail.com</x:v>
      </x:c>
      <x:c r="Z715" s="0"/>
      <x:c r="AA715" s="0"/>
      <x:c r="AB715" s="6">
        <x:v>46247.711502858794</x:v>
      </x:c>
      <x:c r="AC715" t="n" s="2">
        <x:v>39132</x:v>
      </x:c>
      <x:c r="AD715" s="0"/>
      <x:c r="AE715" s="0"/>
      <x:c r="AF715" s="0"/>
      <x:c r="AG715" s="0"/>
      <x:c r="AH715" s="0"/>
      <x:c r="AI715" s="0"/>
      <x:c r="AJ715" s="0"/>
      <x:c r="AK715" s="0"/>
    </x:row>
    <x:row r="716">
      <x:c r="A716" t="str" s="2">
        <x:f>=HYPERLINK("https://rsms.futurehomex.com/lead/39133", "Ronald Hall")</x:f>
      </x:c>
      <x:c r="B716" t="n" s="2">
        <x:v>61</x:v>
      </x:c>
      <x:c r="C716" t="str" s="2">
        <x:v/>
      </x:c>
      <x:c r="D716" t="str" s="2">
        <x:f>=""</x:f>
      </x:c>
      <x:c r="E716" s="0"/>
      <x:c r="F716" t="str" s="2">
        <x:v>Other</x:v>
      </x:c>
      <x:c r="G716" t="str" s="2">
        <x:v>Heritage Housing of Augusta</x:v>
      </x:c>
      <x:c r="H716" t="str" s="2">
        <x:v>Faye Lively</x:v>
      </x:c>
      <x:c r="I716" t="str" s="2">
        <x:v>Karol Romero</x:v>
      </x:c>
      <x:c r="J716" t="str" s="2">
        <x:v>Faye Lively</x:v>
      </x:c>
      <x:c r="K716" t="n" s="2">
        <x:v>5</x:v>
      </x:c>
      <x:c r="L716" t="str" s="2">
        <x:v>1.1</x:v>
      </x:c>
      <x:c r="M716" t="str" s="2">
        <x:v>Tentative</x:v>
      </x:c>
      <x:c r="N716" t="str" s="2">
        <x:v>Deal Created</x:v>
      </x:c>
      <x:c r="O716" s="0"/>
      <x:c r="P716" s="6">
        <x:v>46247</x:v>
      </x:c>
      <x:c r="Q716" s="6">
        <x:v>46247.719105324075</x:v>
      </x:c>
      <x:c r="R716" s="0"/>
      <x:c r="S716" s="0"/>
      <x:c r="T716" s="0"/>
      <x:c r="U716" s="0"/>
      <x:c r="V716" s="0"/>
      <x:c r="W716" s="0"/>
      <x:c r="X716" t="str" s="2">
        <x:v>7089146882</x:v>
      </x:c>
      <x:c r="Y716" t="str" s="2">
        <x:v>snoopy84@gmail.com</x:v>
      </x:c>
      <x:c r="Z716" s="0"/>
      <x:c r="AA716" s="0"/>
      <x:c r="AB716" s="6">
        <x:v>46247.71910686343</x:v>
      </x:c>
      <x:c r="AC716" t="n" s="2">
        <x:v>39133</x:v>
      </x:c>
      <x:c r="AD716" s="0"/>
      <x:c r="AE716" s="0"/>
      <x:c r="AF716" s="0"/>
      <x:c r="AG716" s="0"/>
      <x:c r="AH716" s="0"/>
      <x:c r="AI716" s="0"/>
      <x:c r="AJ716" s="0"/>
      <x:c r="AK716" s="0"/>
    </x:row>
    <x:row r="717">
      <x:c r="A717" t="str" s="2">
        <x:f>=HYPERLINK("https://rsms.futurehomex.com/lead/39134", "Moby Semar")</x:f>
      </x:c>
      <x:c r="B717" t="n" s="2">
        <x:v>61</x:v>
      </x:c>
      <x:c r="C717" t="str" s="2">
        <x:v>1/4</x:v>
      </x:c>
      <x:c r="D717" t="str" s="2">
        <x:f>=""</x:f>
      </x:c>
      <x:c r="E717" s="0"/>
      <x:c r="F717" t="str" s="2">
        <x:v>Office Hot Calls</x:v>
      </x:c>
      <x:c r="G717" t="str" s="2">
        <x:v>Heritage Housing of Jennings</x:v>
      </x:c>
      <x:c r="H717" t="str" s="2">
        <x:v>Clint O'Neal</x:v>
      </x:c>
      <x:c r="I717" s="0"/>
      <x:c r="J717" s="0"/>
      <x:c r="K717" t="n" s="2">
        <x:v>5</x:v>
      </x:c>
      <x:c r="L717" t="str" s="2">
        <x:v>1.1</x:v>
      </x:c>
      <x:c r="M717" t="str" s="2">
        <x:v>Tentative</x:v>
      </x:c>
      <x:c r="N717" t="str" s="2">
        <x:v>Deal Created</x:v>
      </x:c>
      <x:c r="O717" s="0"/>
      <x:c r="P717" s="6">
        <x:v>46247</x:v>
      </x:c>
      <x:c r="Q717" s="6">
        <x:v>46247.73929922454</x:v>
      </x:c>
      <x:c r="R717" s="0"/>
      <x:c r="S717" s="0"/>
      <x:c r="T717" s="0"/>
      <x:c r="U717" s="0"/>
      <x:c r="V717" s="0"/>
      <x:c r="W717" s="0"/>
      <x:c r="X717" t="str" s="2">
        <x:v>4056592716</x:v>
      </x:c>
      <x:c r="Y717" t="str" s="2">
        <x:v>moby.semar@tresmanagement.net</x:v>
      </x:c>
      <x:c r="Z717" s="6">
        <x:v>46294.68936640046</x:v>
      </x:c>
      <x:c r="AA717" t="str" s="2">
        <x:v>Clint O'Neal</x:v>
      </x:c>
      <x:c r="AB717" s="6">
        <x:v>46247.72936793981</x:v>
      </x:c>
      <x:c r="AC717" t="n" s="2">
        <x:v>39134</x:v>
      </x:c>
      <x:c r="AD717" s="0"/>
      <x:c r="AE717" s="0"/>
      <x:c r="AF717" s="0"/>
      <x:c r="AG717" s="0"/>
      <x:c r="AH717" s="0"/>
      <x:c r="AI717" s="0"/>
      <x:c r="AJ717" s="0"/>
      <x:c r="AK717" s="0"/>
    </x:row>
    <x:row r="718">
      <x:c r="A718" t="str" s="2">
        <x:f>=HYPERLINK("https://rsms.futurehomex.com/lead/39135", "Edgar Chavez")</x:f>
      </x:c>
      <x:c r="B718" t="n" s="2">
        <x:v>61</x:v>
      </x:c>
      <x:c r="C718" t="str" s="2">
        <x:v>0/2</x:v>
      </x:c>
      <x:c r="D718" t="str" s="2">
        <x:f>="REPO"</x:f>
      </x:c>
      <x:c r="E718" s="0"/>
      <x:c r="F718" t="str" s="2">
        <x:v>Financing Form</x:v>
      </x:c>
      <x:c r="G718" t="str" s="2">
        <x:v>Heritage Housing of Greenville</x:v>
      </x:c>
      <x:c r="H718" t="str" s="2">
        <x:v>Greg Christman</x:v>
      </x:c>
      <x:c r="I718" s="0"/>
      <x:c r="J718" t="str" s="2">
        <x:v>Greg Christman</x:v>
      </x:c>
      <x:c r="K718" t="n" s="2">
        <x:v>100</x:v>
      </x:c>
      <x:c r="L718" t="str" s="2">
        <x:v>6.2</x:v>
      </x:c>
      <x:c r="M718" t="str" s="2">
        <x:v>Closed</x:v>
      </x:c>
      <x:c r="N718" t="str" s="2">
        <x:v>Delivered</x:v>
      </x:c>
      <x:c r="O718" s="6">
        <x:v>46253</x:v>
      </x:c>
      <x:c r="P718" s="6">
        <x:v>46247</x:v>
      </x:c>
      <x:c r="Q718" s="6">
        <x:v>46255.630574849536</x:v>
      </x:c>
      <x:c r="R718" s="0"/>
      <x:c r="S718" s="6">
        <x:v>46246</x:v>
      </x:c>
      <x:c r="T718" s="6">
        <x:v>46247</x:v>
      </x:c>
      <x:c r="U718" s="6">
        <x:v>46248</x:v>
      </x:c>
      <x:c r="V718" s="6">
        <x:v>46248</x:v>
      </x:c>
      <x:c r="W718" s="6">
        <x:v>46258</x:v>
      </x:c>
      <x:c r="X718" t="str" s="2">
        <x:v>9034619201</x:v>
      </x:c>
      <x:c r="Y718" t="str" s="2">
        <x:v>echavez21@yahoo.com</x:v>
      </x:c>
      <x:c r="Z718" s="6">
        <x:v>46252.68838383102</x:v>
      </x:c>
      <x:c r="AA718" t="str" s="2">
        <x:v>Brandie Sartor</x:v>
      </x:c>
      <x:c r="AB718" s="6">
        <x:v>46247.75619965278</x:v>
      </x:c>
      <x:c r="AC718" t="n" s="2">
        <x:v>39135</x:v>
      </x:c>
      <x:c r="AD718" t="str" s="2">
        <x:v>Singlewide</x:v>
      </x:c>
      <x:c r="AE718" t="str" s="2">
        <x:v>Legacy Housing Corporation</x:v>
      </x:c>
      <x:c r="AF718" s="7">
        <x:v>10000</x:v>
      </x:c>
      <x:c r="AG718" s="7">
        <x:v>10000</x:v>
      </x:c>
      <x:c r="AH718" s="7">
        <x:v>10000</x:v>
      </x:c>
      <x:c r="AI718" t="str" s="2">
        <x:v>624</x:v>
      </x:c>
      <x:c r="AJ718" s="0"/>
      <x:c r="AK718" t="str" s="6">
        <x:v>2026-08-19</x:v>
      </x:c>
    </x:row>
    <x:row r="719">
      <x:c r="A719" t="str" s="2">
        <x:f>=HYPERLINK("https://rsms.futurehomex.com/lead/39136", "JENNY O'CONNOR")</x:f>
      </x:c>
      <x:c r="B719" t="n" s="2">
        <x:v>61</x:v>
      </x:c>
      <x:c r="C719" t="str" s="2">
        <x:v/>
      </x:c>
      <x:c r="D719" t="str" s="2">
        <x:f>=""</x:f>
      </x:c>
      <x:c r="E719" s="0"/>
      <x:c r="F719" t="str" s="2">
        <x:v>Walk-in</x:v>
      </x:c>
      <x:c r="G719" t="str" s="2">
        <x:v>Heritage Housing of Augusta</x:v>
      </x:c>
      <x:c r="H719" t="str" s="2">
        <x:v>Faye Lively</x:v>
      </x:c>
      <x:c r="I719" t="str" s="2">
        <x:v>Karol Romero</x:v>
      </x:c>
      <x:c r="J719" t="str" s="2">
        <x:v>Faye Lively</x:v>
      </x:c>
      <x:c r="K719" t="n" s="2">
        <x:v>5</x:v>
      </x:c>
      <x:c r="L719" t="str" s="2">
        <x:v>1.1</x:v>
      </x:c>
      <x:c r="M719" t="str" s="2">
        <x:v>Tentative</x:v>
      </x:c>
      <x:c r="N719" t="str" s="2">
        <x:v>Deal Created</x:v>
      </x:c>
      <x:c r="O719" s="0"/>
      <x:c r="P719" s="6">
        <x:v>46247</x:v>
      </x:c>
      <x:c r="Q719" s="6">
        <x:v>46247.7655459838</x:v>
      </x:c>
      <x:c r="R719" s="0"/>
      <x:c r="S719" s="0"/>
      <x:c r="T719" s="0"/>
      <x:c r="U719" s="0"/>
      <x:c r="V719" s="0"/>
      <x:c r="W719" s="0"/>
      <x:c r="X719" t="str" s="2">
        <x:v>7705194126</x:v>
      </x:c>
      <x:c r="Y719" t="str" s="2">
        <x:v>7705194126</x:v>
      </x:c>
      <x:c r="Z719" s="0"/>
      <x:c r="AA719" s="0"/>
      <x:c r="AB719" s="6">
        <x:v>46269.91940501158</x:v>
      </x:c>
      <x:c r="AC719" t="n" s="2">
        <x:v>39136</x:v>
      </x:c>
      <x:c r="AD719" s="0"/>
      <x:c r="AE719" s="0"/>
      <x:c r="AF719" s="0"/>
      <x:c r="AG719" s="0"/>
      <x:c r="AH719" s="0"/>
      <x:c r="AI719" s="0"/>
      <x:c r="AJ719" s="0"/>
      <x:c r="AK719" s="0"/>
    </x:row>
    <x:row r="720">
      <x:c r="A720" t="str" s="2">
        <x:f>=HYPERLINK("https://rsms.futurehomex.com/lead/39137", "Olla Maloyd")</x:f>
      </x:c>
      <x:c r="B720" t="n" s="2">
        <x:v>61</x:v>
      </x:c>
      <x:c r="C720" t="str" s="2">
        <x:v/>
      </x:c>
      <x:c r="D720" t="str" s="2">
        <x:f>=""</x:f>
      </x:c>
      <x:c r="E720" s="0"/>
      <x:c r="F720" t="str" s="2">
        <x:v>Other</x:v>
      </x:c>
      <x:c r="G720" t="str" s="2">
        <x:v>Heritage Housing of Augusta</x:v>
      </x:c>
      <x:c r="H720" t="str" s="2">
        <x:v>Faye Lively</x:v>
      </x:c>
      <x:c r="I720" t="str" s="2">
        <x:v>Karol Romero</x:v>
      </x:c>
      <x:c r="J720" t="str" s="2">
        <x:v>Faye Lively</x:v>
      </x:c>
      <x:c r="K720" t="n" s="2">
        <x:v>5</x:v>
      </x:c>
      <x:c r="L720" t="str" s="2">
        <x:v>1.1</x:v>
      </x:c>
      <x:c r="M720" t="str" s="2">
        <x:v>Tentative</x:v>
      </x:c>
      <x:c r="N720" t="str" s="2">
        <x:v>Deal Created</x:v>
      </x:c>
      <x:c r="O720" s="0"/>
      <x:c r="P720" s="6">
        <x:v>46247</x:v>
      </x:c>
      <x:c r="Q720" s="6">
        <x:v>46247.77516200231</x:v>
      </x:c>
      <x:c r="R720" s="0"/>
      <x:c r="S720" s="0"/>
      <x:c r="T720" s="0"/>
      <x:c r="U720" s="0"/>
      <x:c r="V720" s="0"/>
      <x:c r="W720" s="0"/>
      <x:c r="X720" t="str" s="2">
        <x:v>7069416983</x:v>
      </x:c>
      <x:c r="Y720" t="str" s="2">
        <x:v>maloydolla9@gmail.com</x:v>
      </x:c>
      <x:c r="Z720" s="0"/>
      <x:c r="AA720" s="0"/>
      <x:c r="AB720" s="6">
        <x:v>46247.77516369213</x:v>
      </x:c>
      <x:c r="AC720" t="n" s="2">
        <x:v>39137</x:v>
      </x:c>
      <x:c r="AD720" s="0"/>
      <x:c r="AE720" s="0"/>
      <x:c r="AF720" s="0"/>
      <x:c r="AG720" s="0"/>
      <x:c r="AH720" s="0"/>
      <x:c r="AI720" s="0"/>
      <x:c r="AJ720" s="0"/>
      <x:c r="AK720" s="0"/>
    </x:row>
    <x:row r="721">
      <x:c r="A721" t="str" s="2">
        <x:f>=HYPERLINK("https://rsms.futurehomex.com/lead/39138", "Laguandria McNeil")</x:f>
      </x:c>
      <x:c r="B721" t="n" s="2">
        <x:v>61</x:v>
      </x:c>
      <x:c r="C721" t="str" s="2">
        <x:v/>
      </x:c>
      <x:c r="D721" t="str" s="2">
        <x:f>=""</x:f>
      </x:c>
      <x:c r="E721" s="0"/>
      <x:c r="F721" t="str" s="2">
        <x:v>Other</x:v>
      </x:c>
      <x:c r="G721" t="str" s="2">
        <x:v>Heritage Housing of Augusta</x:v>
      </x:c>
      <x:c r="H721" t="str" s="2">
        <x:v>Faye Lively</x:v>
      </x:c>
      <x:c r="I721" t="str" s="2">
        <x:v>Karol Romero</x:v>
      </x:c>
      <x:c r="J721" t="str" s="2">
        <x:v>Faye Lively</x:v>
      </x:c>
      <x:c r="K721" t="n" s="2">
        <x:v>5</x:v>
      </x:c>
      <x:c r="L721" t="str" s="2">
        <x:v>1.1</x:v>
      </x:c>
      <x:c r="M721" t="str" s="2">
        <x:v>Tentative</x:v>
      </x:c>
      <x:c r="N721" t="str" s="2">
        <x:v>Deal Created</x:v>
      </x:c>
      <x:c r="O721" s="0"/>
      <x:c r="P721" s="6">
        <x:v>46247</x:v>
      </x:c>
      <x:c r="Q721" s="6">
        <x:v>46247.784091898146</x:v>
      </x:c>
      <x:c r="R721" s="0"/>
      <x:c r="S721" s="0"/>
      <x:c r="T721" s="0"/>
      <x:c r="U721" s="0"/>
      <x:c r="V721" s="0"/>
      <x:c r="W721" s="0"/>
      <x:c r="X721" t="str" s="2">
        <x:v>7624365490</x:v>
      </x:c>
      <x:c r="Y721" t="str" s="2">
        <x:v>loguandria_mcneil@yahoo.com</x:v>
      </x:c>
      <x:c r="Z721" s="0"/>
      <x:c r="AA721" s="0"/>
      <x:c r="AB721" s="6">
        <x:v>46247.784093483795</x:v>
      </x:c>
      <x:c r="AC721" t="n" s="2">
        <x:v>39138</x:v>
      </x:c>
      <x:c r="AD721" s="0"/>
      <x:c r="AE721" s="0"/>
      <x:c r="AF721" s="0"/>
      <x:c r="AG721" s="0"/>
      <x:c r="AH721" s="0"/>
      <x:c r="AI721" s="0"/>
      <x:c r="AJ721" s="0"/>
      <x:c r="AK721" s="0"/>
    </x:row>
    <x:row r="722">
      <x:c r="A722" t="str" s="2">
        <x:f>=HYPERLINK("https://rsms.futurehomex.com/lead/39139", "Luella Johnson")</x:f>
      </x:c>
      <x:c r="B722" t="n" s="2">
        <x:v>61</x:v>
      </x:c>
      <x:c r="C722" t="str" s="2">
        <x:v>0/2</x:v>
      </x:c>
      <x:c r="D722" t="str" s="2">
        <x:f>=""</x:f>
      </x:c>
      <x:c r="E722" s="0"/>
      <x:c r="F722" t="str" s="2">
        <x:v>Meta Ads - Forms</x:v>
      </x:c>
      <x:c r="G722" t="str" s="2">
        <x:v>Heritage Housing of Oklahoma City</x:v>
      </x:c>
      <x:c r="H722" t="str" s="2">
        <x:v>Alejandra Calderon</x:v>
      </x:c>
      <x:c r="I722" t="str" s="2">
        <x:v>Karol Romero</x:v>
      </x:c>
      <x:c r="J722" s="0"/>
      <x:c r="K722" t="n" s="2">
        <x:v>5</x:v>
      </x:c>
      <x:c r="L722" t="str" s="2">
        <x:v>1.1</x:v>
      </x:c>
      <x:c r="M722" t="str" s="2">
        <x:v>Dead</x:v>
      </x:c>
      <x:c r="N722" t="str" s="2">
        <x:v>Prospect</x:v>
      </x:c>
      <x:c r="O722" s="0"/>
      <x:c r="P722" s="6">
        <x:v>46247</x:v>
      </x:c>
      <x:c r="Q722" s="6">
        <x:v>46247.78585586805</x:v>
      </x:c>
      <x:c r="R722" s="0"/>
      <x:c r="S722" s="0"/>
      <x:c r="T722" s="0"/>
      <x:c r="U722" s="0"/>
      <x:c r="V722" s="0"/>
      <x:c r="W722" s="0"/>
      <x:c r="X722" t="str" s="2">
        <x:v>4054327450</x:v>
      </x:c>
      <x:c r="Y722" t="str" s="2">
        <x:v>johnson.luella@yahoo.com</x:v>
      </x:c>
      <x:c r="Z722" s="6">
        <x:v>46305.66906226852</x:v>
      </x:c>
      <x:c r="AA722" t="str" s="2">
        <x:v>Devon McCoy</x:v>
      </x:c>
      <x:c r="AB722" s="6">
        <x:v>46254.708579895836</x:v>
      </x:c>
      <x:c r="AC722" t="n" s="2">
        <x:v>39139</x:v>
      </x:c>
      <x:c r="AD722" s="0"/>
      <x:c r="AE722" s="0"/>
      <x:c r="AF722" s="0"/>
      <x:c r="AG722" s="0"/>
      <x:c r="AH722" s="0"/>
      <x:c r="AI722" s="0"/>
      <x:c r="AJ722" s="0"/>
      <x:c r="AK722" s="0"/>
    </x:row>
    <x:row r="723">
      <x:c r="A723" t="str" s="2">
        <x:f>=HYPERLINK("https://rsms.futurehomex.com/lead/39140", "Divine Payton")</x:f>
      </x:c>
      <x:c r="B723" t="n" s="2">
        <x:v>61</x:v>
      </x:c>
      <x:c r="C723" t="str" s="2">
        <x:v>0/1</x:v>
      </x:c>
      <x:c r="D723" t="str" s="2">
        <x:f>=""</x:f>
      </x:c>
      <x:c r="E723" s="0"/>
      <x:c r="F723" t="str" s="2">
        <x:v>Landing_BPM</x:v>
      </x:c>
      <x:c r="G723" t="str" s="2">
        <x:v>Legacy Housing Corp. DBA Americasa</x:v>
      </x:c>
      <x:c r="H723" t="str" s="2">
        <x:v>Jose Parada</x:v>
      </x:c>
      <x:c r="I723" t="str" s="2">
        <x:v>Karol Romero</x:v>
      </x:c>
      <x:c r="J723" s="0"/>
      <x:c r="K723" t="n" s="2">
        <x:v>5</x:v>
      </x:c>
      <x:c r="L723" t="str" s="2">
        <x:v>1.1</x:v>
      </x:c>
      <x:c r="M723" t="str" s="2">
        <x:v>Tentative</x:v>
      </x:c>
      <x:c r="N723" t="str" s="2">
        <x:v>Prospect</x:v>
      </x:c>
      <x:c r="O723" s="0"/>
      <x:c r="P723" s="6">
        <x:v>46247</x:v>
      </x:c>
      <x:c r="Q723" s="6">
        <x:v>46247.79090894676</x:v>
      </x:c>
      <x:c r="R723" s="0"/>
      <x:c r="S723" s="0"/>
      <x:c r="T723" s="0"/>
      <x:c r="U723" s="0"/>
      <x:c r="V723" s="0"/>
      <x:c r="W723" s="0"/>
      <x:c r="X723" t="str" s="2">
        <x:v>2542138602</x:v>
      </x:c>
      <x:c r="Y723" t="str" s="2">
        <x:v>divinepayton5@gmail.com</x:v>
      </x:c>
      <x:c r="Z723" s="6">
        <x:v>46247.85993857639</x:v>
      </x:c>
      <x:c r="AA723" t="str" s="2">
        <x:v>Jose Parada</x:v>
      </x:c>
      <x:c r="AB723" s="6">
        <x:v>46247.79090991898</x:v>
      </x:c>
      <x:c r="AC723" t="n" s="2">
        <x:v>39140</x:v>
      </x:c>
      <x:c r="AD723" s="0"/>
      <x:c r="AE723" s="0"/>
      <x:c r="AF723" s="0"/>
      <x:c r="AG723" s="0"/>
      <x:c r="AH723" s="0"/>
      <x:c r="AI723" s="0"/>
      <x:c r="AJ723" s="0"/>
      <x:c r="AK723" s="0"/>
    </x:row>
    <x:row r="724">
      <x:c r="A724" t="str" s="2">
        <x:f>=HYPERLINK("https://rsms.futurehomex.com/lead/39141", "Keith Dreger Keith Dreger")</x:f>
      </x:c>
      <x:c r="B724" t="n" s="2">
        <x:v>61</x:v>
      </x:c>
      <x:c r="C724" t="str" s="2">
        <x:v>1/2</x:v>
      </x:c>
      <x:c r="D724" t="str" s="2">
        <x:f>=""</x:f>
      </x:c>
      <x:c r="E724" s="0"/>
      <x:c r="F724" t="str" s="2">
        <x:v>Landing_BPM</x:v>
      </x:c>
      <x:c r="G724" t="str" s="2">
        <x:v>Heritage Housing of Oklahoma City</x:v>
      </x:c>
      <x:c r="H724" t="str" s="2">
        <x:v>Trey Rixleben</x:v>
      </x:c>
      <x:c r="I724" t="str" s="2">
        <x:v>Karol Romero</x:v>
      </x:c>
      <x:c r="J724" s="0"/>
      <x:c r="K724" t="n" s="2">
        <x:v>5</x:v>
      </x:c>
      <x:c r="L724" t="str" s="2">
        <x:v>1.1</x:v>
      </x:c>
      <x:c r="M724" t="str" s="2">
        <x:v>Tentative</x:v>
      </x:c>
      <x:c r="N724" t="str" s="2">
        <x:v>Prospect</x:v>
      </x:c>
      <x:c r="O724" s="0"/>
      <x:c r="P724" s="6">
        <x:v>46247</x:v>
      </x:c>
      <x:c r="Q724" s="6">
        <x:v>46290.74307280093</x:v>
      </x:c>
      <x:c r="R724" t="str" s="2">
        <x:v>Eva Misheva</x:v>
      </x:c>
      <x:c r="S724" s="6">
        <x:v>46256</x:v>
      </x:c>
      <x:c r="T724" s="0"/>
      <x:c r="U724" s="0"/>
      <x:c r="V724" s="0"/>
      <x:c r="W724" s="0"/>
      <x:c r="X724" t="str" s="2">
        <x:v>5395778464</x:v>
      </x:c>
      <x:c r="Y724" t="str" s="2">
        <x:v>kdreger12@gmail.com</x:v>
      </x:c>
      <x:c r="Z724" s="6">
        <x:v>46290.74432662037</x:v>
      </x:c>
      <x:c r="AA724" t="str" s="2">
        <x:v>Trey Rixleben</x:v>
      </x:c>
      <x:c r="AB724" s="6">
        <x:v>46247.81084255787</x:v>
      </x:c>
      <x:c r="AC724" t="n" s="2">
        <x:v>39141</x:v>
      </x:c>
      <x:c r="AD724" s="0"/>
      <x:c r="AE724" s="0"/>
      <x:c r="AF724" s="0"/>
      <x:c r="AG724" s="0"/>
      <x:c r="AH724" s="0"/>
      <x:c r="AI724" s="0"/>
      <x:c r="AJ724" s="0"/>
      <x:c r="AK724" s="0"/>
    </x:row>
    <x:row r="725">
      <x:c r="A725" t="str" s="2">
        <x:f>=HYPERLINK("https://rsms.futurehomex.com/lead/39142", "SEBORN TOLVER")</x:f>
      </x:c>
      <x:c r="B725" t="n" s="2">
        <x:v>61</x:v>
      </x:c>
      <x:c r="C725" t="str" s="2">
        <x:v/>
      </x:c>
      <x:c r="D725" t="str" s="2">
        <x:f>=""</x:f>
      </x:c>
      <x:c r="E725" s="0"/>
      <x:c r="F725" t="str" s="2">
        <x:v>Walk-in</x:v>
      </x:c>
      <x:c r="G725" t="str" s="2">
        <x:v>Heritage Housing of Augusta</x:v>
      </x:c>
      <x:c r="H725" t="str" s="2">
        <x:v>Faye Lively</x:v>
      </x:c>
      <x:c r="I725" t="str" s="2">
        <x:v>Karol Romero</x:v>
      </x:c>
      <x:c r="J725" t="str" s="2">
        <x:v>Faye Lively</x:v>
      </x:c>
      <x:c r="K725" t="n" s="2">
        <x:v>38</x:v>
      </x:c>
      <x:c r="L725" t="str" s="2">
        <x:v>3.2</x:v>
      </x:c>
      <x:c r="M725" t="str" s="2">
        <x:v>Active</x:v>
      </x:c>
      <x:c r="N725" t="str" s="2">
        <x:v>Application</x:v>
      </x:c>
      <x:c r="O725" s="0"/>
      <x:c r="P725" s="6">
        <x:v>46247</x:v>
      </x:c>
      <x:c r="Q725" s="6">
        <x:v>46248.868964733796</x:v>
      </x:c>
      <x:c r="R725" s="0"/>
      <x:c r="S725" s="6">
        <x:v>46248</x:v>
      </x:c>
      <x:c r="T725" s="6">
        <x:v>46248</x:v>
      </x:c>
      <x:c r="U725" s="0"/>
      <x:c r="V725" s="0"/>
      <x:c r="W725" s="0"/>
      <x:c r="X725" t="str" s="2">
        <x:v>7065890903</x:v>
      </x:c>
      <x:c r="Y725" t="str" s="2">
        <x:v>fifimonroe46@gmail.com</x:v>
      </x:c>
      <x:c r="Z725" s="6">
        <x:v>46247.83295269676</x:v>
      </x:c>
      <x:c r="AA725" t="str" s="2">
        <x:v>Brian Amato</x:v>
      </x:c>
      <x:c r="AB725" s="6">
        <x:v>46247.81591053241</x:v>
      </x:c>
      <x:c r="AC725" t="n" s="2">
        <x:v>39142</x:v>
      </x:c>
      <x:c r="AD725" t="str" s="2">
        <x:v>Singlewide</x:v>
      </x:c>
      <x:c r="AE725" t="str" s="2">
        <x:v>Legacy Housing Corporation</x:v>
      </x:c>
      <x:c r="AF725" s="0"/>
      <x:c r="AG725" s="7">
        <x:v>6000</x:v>
      </x:c>
      <x:c r="AH725" s="0"/>
      <x:c r="AI725" s="0"/>
      <x:c r="AJ725" s="0"/>
      <x:c r="AK725" s="0"/>
    </x:row>
    <x:row r="726">
      <x:c r="A726" t="str" s="2">
        <x:f>=HYPERLINK("https://rsms.futurehomex.com/lead/39148", "Jeff Levy")</x:f>
      </x:c>
      <x:c r="B726" t="n" s="2">
        <x:v>60</x:v>
      </x:c>
      <x:c r="C726" t="str" s="2">
        <x:v>0/2</x:v>
      </x:c>
      <x:c r="D726" t="str" s="2">
        <x:f>=""</x:f>
      </x:c>
      <x:c r="E726" s="0"/>
      <x:c r="F726" t="str" s="2">
        <x:v>Other</x:v>
      </x:c>
      <x:c r="G726" t="str" s="2">
        <x:v>Heritage Housing of Minden</x:v>
      </x:c>
      <x:c r="H726" t="str" s="2">
        <x:v>Patrick Schuchart</x:v>
      </x:c>
      <x:c r="I726" t="str" s="2">
        <x:v>Karol Romero</x:v>
      </x:c>
      <x:c r="J726" t="str" s="2">
        <x:v>Patrick Schuchart</x:v>
      </x:c>
      <x:c r="K726" t="n" s="2">
        <x:v>5</x:v>
      </x:c>
      <x:c r="L726" t="str" s="2">
        <x:v>1.1</x:v>
      </x:c>
      <x:c r="M726" t="str" s="2">
        <x:v>Dead</x:v>
      </x:c>
      <x:c r="N726" t="str" s="2">
        <x:v>Deal Created</x:v>
      </x:c>
      <x:c r="O726" s="0"/>
      <x:c r="P726" s="6">
        <x:v>46248</x:v>
      </x:c>
      <x:c r="Q726" s="6">
        <x:v>46249.816789930555</x:v>
      </x:c>
      <x:c r="R726" s="0"/>
      <x:c r="S726" s="0"/>
      <x:c r="T726" s="0"/>
      <x:c r="U726" s="0"/>
      <x:c r="V726" s="0"/>
      <x:c r="W726" s="0"/>
      <x:c r="X726" t="str" s="2">
        <x:v>2147288328</x:v>
      </x:c>
      <x:c r="Y726" t="str" s="2">
        <x:v>2147288328</x:v>
      </x:c>
      <x:c r="Z726" s="6">
        <x:v>46259.598896724536</x:v>
      </x:c>
      <x:c r="AA726" t="str" s="2">
        <x:v>Kyla Brown</x:v>
      </x:c>
      <x:c r="AB726" s="6">
        <x:v>46248.64813133102</x:v>
      </x:c>
      <x:c r="AC726" t="n" s="2">
        <x:v>39148</x:v>
      </x:c>
      <x:c r="AD726" s="0"/>
      <x:c r="AE726" s="0"/>
      <x:c r="AF726" s="0"/>
      <x:c r="AG726" s="0"/>
      <x:c r="AH726" s="0"/>
      <x:c r="AI726" s="0"/>
      <x:c r="AJ726" s="0"/>
      <x:c r="AK726" s="0"/>
    </x:row>
    <x:row r="727">
      <x:c r="A727" t="str" s="2">
        <x:f>=HYPERLINK("https://rsms.futurehomex.com/lead/39149", "Dominique Robinson")</x:f>
      </x:c>
      <x:c r="B727" t="n" s="2">
        <x:v>60</x:v>
      </x:c>
      <x:c r="C727" t="str" s="2">
        <x:v>0/1</x:v>
      </x:c>
      <x:c r="D727" t="str" s="2">
        <x:f>=""</x:f>
      </x:c>
      <x:c r="E727" s="0"/>
      <x:c r="F727" t="str" s="2">
        <x:v>Walk-in</x:v>
      </x:c>
      <x:c r="G727" t="str" s="2">
        <x:v>Heritage Housing of Oklahoma City</x:v>
      </x:c>
      <x:c r="H727" t="str" s="2">
        <x:v>Alejandra Calderon</x:v>
      </x:c>
      <x:c r="I727" s="0"/>
      <x:c r="J727" t="str" s="2">
        <x:v>Steve Castell</x:v>
      </x:c>
      <x:c r="K727" t="n" s="2">
        <x:v>21</x:v>
      </x:c>
      <x:c r="L727" t="str" s="2">
        <x:v>2.1</x:v>
      </x:c>
      <x:c r="M727" t="str" s="2">
        <x:v>Dead</x:v>
      </x:c>
      <x:c r="N727" t="str" s="2">
        <x:v>Qualified</x:v>
      </x:c>
      <x:c r="O727" s="0"/>
      <x:c r="P727" s="6">
        <x:v>46248</x:v>
      </x:c>
      <x:c r="Q727" s="6">
        <x:v>46248.69777565972</x:v>
      </x:c>
      <x:c r="R727" t="str" s="2">
        <x:v>Trey Rixleben</x:v>
      </x:c>
      <x:c r="S727" s="0"/>
      <x:c r="T727" s="0"/>
      <x:c r="U727" s="0"/>
      <x:c r="V727" s="0"/>
      <x:c r="W727" s="0"/>
      <x:c r="X727" t="str" s="2">
        <x:v>9185301701</x:v>
      </x:c>
      <x:c r="Y727" t="str" s="2">
        <x:v>9185301701</x:v>
      </x:c>
      <x:c r="Z727" s="6">
        <x:v>46262.9525255787</x:v>
      </x:c>
      <x:c r="AA727" t="str" s="2">
        <x:v>Alejandra Calderon</x:v>
      </x:c>
      <x:c r="AB727" s="6">
        <x:v>46248.697777395835</x:v>
      </x:c>
      <x:c r="AC727" t="n" s="2">
        <x:v>39149</x:v>
      </x:c>
      <x:c r="AD727" s="0"/>
      <x:c r="AE727" s="0"/>
      <x:c r="AF727" s="0"/>
      <x:c r="AG727" s="0"/>
      <x:c r="AH727" s="0"/>
      <x:c r="AI727" s="0"/>
      <x:c r="AJ727" s="0"/>
      <x:c r="AK727" s="0"/>
    </x:row>
    <x:row r="728">
      <x:c r="A728" t="str" s="2">
        <x:f>=HYPERLINK("https://rsms.futurehomex.com/lead/39150", "Lucy Baraja")</x:f>
      </x:c>
      <x:c r="B728" t="n" s="2">
        <x:v>60</x:v>
      </x:c>
      <x:c r="C728" t="str" s="2">
        <x:v/>
      </x:c>
      <x:c r="D728" t="str" s="2">
        <x:f>=""</x:f>
      </x:c>
      <x:c r="E728" s="0"/>
      <x:c r="F728" t="str" s="2">
        <x:v>Website</x:v>
      </x:c>
      <x:c r="G728" t="str" s="2">
        <x:v>Heritage Housing Marble Falls</x:v>
      </x:c>
      <x:c r="H728" t="str" s="2">
        <x:v>Garrett Riedesel</x:v>
      </x:c>
      <x:c r="I728" s="0"/>
      <x:c r="J728" t="str" s="2">
        <x:v>Garrett Riedesel</x:v>
      </x:c>
      <x:c r="K728" t="n" s="2">
        <x:v>5</x:v>
      </x:c>
      <x:c r="L728" t="str" s="2">
        <x:v>1.1</x:v>
      </x:c>
      <x:c r="M728" t="str" s="2">
        <x:v>Tentative</x:v>
      </x:c>
      <x:c r="N728" t="str" s="2">
        <x:v>Deal Created</x:v>
      </x:c>
      <x:c r="O728" s="0"/>
      <x:c r="P728" s="6">
        <x:v>46248</x:v>
      </x:c>
      <x:c r="Q728" s="6">
        <x:v>46268.75664699074</x:v>
      </x:c>
      <x:c r="R728" s="0"/>
      <x:c r="S728" s="0"/>
      <x:c r="T728" s="0"/>
      <x:c r="U728" s="0"/>
      <x:c r="V728" s="0"/>
      <x:c r="W728" s="0"/>
      <x:c r="X728" t="str" s="2">
        <x:v>8306378253</x:v>
      </x:c>
      <x:c r="Y728" t="str" s="2">
        <x:v>8306378253</x:v>
      </x:c>
      <x:c r="Z728" s="6">
        <x:v>46252.571877511575</x:v>
      </x:c>
      <x:c r="AA728" t="str" s="2">
        <x:v>Franchesca Parker</x:v>
      </x:c>
      <x:c r="AB728" s="6">
        <x:v>46267.58003773148</x:v>
      </x:c>
      <x:c r="AC728" t="n" s="2">
        <x:v>39150</x:v>
      </x:c>
      <x:c r="AD728" s="0"/>
      <x:c r="AE728" s="0"/>
      <x:c r="AF728" s="0"/>
      <x:c r="AG728" s="0"/>
      <x:c r="AH728" s="0"/>
      <x:c r="AI728" s="0"/>
      <x:c r="AJ728" s="0"/>
      <x:c r="AK728" s="0"/>
    </x:row>
    <x:row r="729">
      <x:c r="A729" t="str" s="2">
        <x:f>=HYPERLINK("https://rsms.futurehomex.com/lead/39151", "Ciscoe Reyes")</x:f>
      </x:c>
      <x:c r="B729" t="n" s="2">
        <x:v>60</x:v>
      </x:c>
      <x:c r="C729" t="str" s="2">
        <x:v/>
      </x:c>
      <x:c r="D729" t="str" s="2">
        <x:f>=""</x:f>
      </x:c>
      <x:c r="E729" s="0"/>
      <x:c r="F729" t="str" s="2">
        <x:v>Facebook Messenger</x:v>
      </x:c>
      <x:c r="G729" t="str" s="2">
        <x:v>Heritage Housing of Asheboro</x:v>
      </x:c>
      <x:c r="H729" t="str" s="2">
        <x:v>Maria Lopez</x:v>
      </x:c>
      <x:c r="I729" s="0"/>
      <x:c r="J729" s="0"/>
      <x:c r="K729" t="n" s="2">
        <x:v>21</x:v>
      </x:c>
      <x:c r="L729" t="str" s="2">
        <x:v>2.1</x:v>
      </x:c>
      <x:c r="M729" t="str" s="2">
        <x:v>Tentative</x:v>
      </x:c>
      <x:c r="N729" t="str" s="2">
        <x:v>Qualified</x:v>
      </x:c>
      <x:c r="O729" s="0"/>
      <x:c r="P729" s="6">
        <x:v>46248</x:v>
      </x:c>
      <x:c r="Q729" s="6">
        <x:v>46249.639660960645</x:v>
      </x:c>
      <x:c r="R729" s="0"/>
      <x:c r="S729" s="0"/>
      <x:c r="T729" s="0"/>
      <x:c r="U729" s="0"/>
      <x:c r="V729" s="0"/>
      <x:c r="W729" s="0"/>
      <x:c r="X729" t="str" s="2">
        <x:v>3364605235</x:v>
      </x:c>
      <x:c r="Y729" t="str" s="2">
        <x:v>ciscoe@gmail.com</x:v>
      </x:c>
      <x:c r="Z729" s="6">
        <x:v>46249.63964829861</x:v>
      </x:c>
      <x:c r="AA729" t="str" s="2">
        <x:v>Jeremy Jacques</x:v>
      </x:c>
      <x:c r="AB729" s="6">
        <x:v>46248.73948232639</x:v>
      </x:c>
      <x:c r="AC729" t="n" s="2">
        <x:v>39151</x:v>
      </x:c>
      <x:c r="AD729" s="0"/>
      <x:c r="AE729" s="0"/>
      <x:c r="AF729" s="0"/>
      <x:c r="AG729" s="0"/>
      <x:c r="AH729" s="0"/>
      <x:c r="AI729" s="0"/>
      <x:c r="AJ729" s="0"/>
      <x:c r="AK729" s="0"/>
    </x:row>
    <x:row r="730">
      <x:c r="A730" t="str" s="2">
        <x:f>=HYPERLINK("https://rsms.futurehomex.com/lead/39153", "Rob Costelow")</x:f>
      </x:c>
      <x:c r="B730" t="n" s="2">
        <x:v>60</x:v>
      </x:c>
      <x:c r="C730" t="str" s="2">
        <x:v/>
      </x:c>
      <x:c r="D730" t="str" s="2">
        <x:f>=""</x:f>
      </x:c>
      <x:c r="E730" s="0"/>
      <x:c r="F730" t="str" s="2">
        <x:v>Walk-in</x:v>
      </x:c>
      <x:c r="G730" t="str" s="2">
        <x:v>Heritage Housing of Asheboro</x:v>
      </x:c>
      <x:c r="H730" t="str" s="2">
        <x:v>Maria Lopez</x:v>
      </x:c>
      <x:c r="I730" s="0"/>
      <x:c r="J730" s="0"/>
      <x:c r="K730" t="n" s="2">
        <x:v>21</x:v>
      </x:c>
      <x:c r="L730" t="str" s="2">
        <x:v>2.1</x:v>
      </x:c>
      <x:c r="M730" t="str" s="2">
        <x:v>Tentative</x:v>
      </x:c>
      <x:c r="N730" t="str" s="2">
        <x:v>Qualified</x:v>
      </x:c>
      <x:c r="O730" s="0"/>
      <x:c r="P730" s="6">
        <x:v>46248</x:v>
      </x:c>
      <x:c r="Q730" s="6">
        <x:v>46249.639358761575</x:v>
      </x:c>
      <x:c r="R730" s="0"/>
      <x:c r="S730" s="0"/>
      <x:c r="T730" s="0"/>
      <x:c r="U730" s="0"/>
      <x:c r="V730" s="0"/>
      <x:c r="W730" s="0"/>
      <x:c r="X730" t="str" s="2">
        <x:v>8133400024</x:v>
      </x:c>
      <x:c r="Y730" t="str" s="2">
        <x:v>rcostelow@verizon.net</x:v>
      </x:c>
      <x:c r="Z730" s="6">
        <x:v>46249.63934710648</x:v>
      </x:c>
      <x:c r="AA730" t="str" s="2">
        <x:v>Jeremy Jacques</x:v>
      </x:c>
      <x:c r="AB730" s="6">
        <x:v>46248.74116921296</x:v>
      </x:c>
      <x:c r="AC730" t="n" s="2">
        <x:v>39153</x:v>
      </x:c>
      <x:c r="AD730" s="0"/>
      <x:c r="AE730" s="0"/>
      <x:c r="AF730" s="0"/>
      <x:c r="AG730" s="0"/>
      <x:c r="AH730" s="0"/>
      <x:c r="AI730" s="0"/>
      <x:c r="AJ730" s="0"/>
      <x:c r="AK730" s="0"/>
    </x:row>
    <x:row r="731">
      <x:c r="A731" t="str" s="2">
        <x:f>=HYPERLINK("https://rsms.futurehomex.com/lead/39154", "Franchika Francis Francis")</x:f>
      </x:c>
      <x:c r="B731" t="n" s="2">
        <x:v>60</x:v>
      </x:c>
      <x:c r="C731" t="str" s="2">
        <x:v>1/1</x:v>
      </x:c>
      <x:c r="D731" t="str" s="2">
        <x:f>=""</x:f>
      </x:c>
      <x:c r="E731" s="0"/>
      <x:c r="F731" t="str" s="2">
        <x:v>Landing_BPM</x:v>
      </x:c>
      <x:c r="G731" t="str" s="2">
        <x:v>Heritage Housing of Jennings</x:v>
      </x:c>
      <x:c r="H731" t="str" s="2">
        <x:v>Clint O'Neal</x:v>
      </x:c>
      <x:c r="I731" s="0"/>
      <x:c r="J731" t="str" s="2">
        <x:v>Clint O'Neal</x:v>
      </x:c>
      <x:c r="K731" t="n" s="2">
        <x:v>5</x:v>
      </x:c>
      <x:c r="L731" t="str" s="2">
        <x:v>1.1</x:v>
      </x:c>
      <x:c r="M731" t="str" s="2">
        <x:v>Tentative</x:v>
      </x:c>
      <x:c r="N731" t="str" s="2">
        <x:v>Deal Created</x:v>
      </x:c>
      <x:c r="O731" s="0"/>
      <x:c r="P731" s="6">
        <x:v>46248</x:v>
      </x:c>
      <x:c r="Q731" s="6">
        <x:v>46248.74971582176</x:v>
      </x:c>
      <x:c r="R731" s="0"/>
      <x:c r="S731" s="0"/>
      <x:c r="T731" s="0"/>
      <x:c r="U731" s="0"/>
      <x:c r="V731" s="0"/>
      <x:c r="W731" s="0"/>
      <x:c r="X731" t="str" s="2">
        <x:v>3375940051</x:v>
      </x:c>
      <x:c r="Y731" t="str" s="2">
        <x:v>franchikafrancis@yahoo.com</x:v>
      </x:c>
      <x:c r="Z731" s="6">
        <x:v>46248.74910609954</x:v>
      </x:c>
      <x:c r="AA731" t="str" s="2">
        <x:v>Clint O'Neal</x:v>
      </x:c>
      <x:c r="AB731" s="6">
        <x:v>46248.747857372684</x:v>
      </x:c>
      <x:c r="AC731" t="n" s="2">
        <x:v>39154</x:v>
      </x:c>
      <x:c r="AD731" s="0"/>
      <x:c r="AE731" s="0"/>
      <x:c r="AF731" s="0"/>
      <x:c r="AG731" s="0"/>
      <x:c r="AH731" s="0"/>
      <x:c r="AI731" s="0"/>
      <x:c r="AJ731" s="0"/>
      <x:c r="AK731" s="0"/>
    </x:row>
    <x:row r="732">
      <x:c r="A732" t="str" s="2">
        <x:f>=HYPERLINK("https://rsms.futurehomex.com/lead/39155", "Pamala Shephard")</x:f>
      </x:c>
      <x:c r="B732" t="n" s="2">
        <x:v>60</x:v>
      </x:c>
      <x:c r="C732" t="str" s="2">
        <x:v/>
      </x:c>
      <x:c r="D732" t="str" s="2">
        <x:f>=""</x:f>
      </x:c>
      <x:c r="E732" s="0"/>
      <x:c r="F732" t="str" s="2">
        <x:v>Facebook Messenger</x:v>
      </x:c>
      <x:c r="G732" t="str" s="2">
        <x:v>Heritage Housing of Asheboro</x:v>
      </x:c>
      <x:c r="H732" t="str" s="2">
        <x:v>Maria Lopez</x:v>
      </x:c>
      <x:c r="I732" s="0"/>
      <x:c r="J732" s="0"/>
      <x:c r="K732" t="n" s="2">
        <x:v>21</x:v>
      </x:c>
      <x:c r="L732" t="str" s="2">
        <x:v>2.1</x:v>
      </x:c>
      <x:c r="M732" t="str" s="2">
        <x:v>Dead</x:v>
      </x:c>
      <x:c r="N732" t="str" s="2">
        <x:v>Qualified</x:v>
      </x:c>
      <x:c r="O732" s="0"/>
      <x:c r="P732" s="6">
        <x:v>46248</x:v>
      </x:c>
      <x:c r="Q732" s="6">
        <x:v>46249.639876354166</x:v>
      </x:c>
      <x:c r="R732" s="0"/>
      <x:c r="S732" s="0"/>
      <x:c r="T732" s="0"/>
      <x:c r="U732" s="0"/>
      <x:c r="V732" s="0"/>
      <x:c r="W732" s="0"/>
      <x:c r="X732" t="str" s="2">
        <x:v>9102996822</x:v>
      </x:c>
      <x:c r="Y732" t="str" s="2">
        <x:v>pshepherd12670@gmail.com</x:v>
      </x:c>
      <x:c r="Z732" s="6">
        <x:v>46268.775666203706</x:v>
      </x:c>
      <x:c r="AA732" t="str" s="2">
        <x:v>Maria Lopez</x:v>
      </x:c>
      <x:c r="AB732" s="6">
        <x:v>46248.81944707176</x:v>
      </x:c>
      <x:c r="AC732" t="n" s="2">
        <x:v>39155</x:v>
      </x:c>
      <x:c r="AD732" s="0"/>
      <x:c r="AE732" s="0"/>
      <x:c r="AF732" s="0"/>
      <x:c r="AG732" s="0"/>
      <x:c r="AH732" s="0"/>
      <x:c r="AI732" s="0"/>
      <x:c r="AJ732" s="0"/>
      <x:c r="AK732" s="0"/>
    </x:row>
    <x:row r="733">
      <x:c r="A733" t="str" s="2">
        <x:f>=HYPERLINK("https://rsms.futurehomex.com/lead/39156", "Perry Mwankemwa")</x:f>
      </x:c>
      <x:c r="B733" t="n" s="2">
        <x:v>60</x:v>
      </x:c>
      <x:c r="C733" t="str" s="2">
        <x:v>0/4</x:v>
      </x:c>
      <x:c r="D733" t="str" s="2">
        <x:f>=""</x:f>
      </x:c>
      <x:c r="E733" s="0"/>
      <x:c r="F733" t="str" s="2">
        <x:v>Walk-in</x:v>
      </x:c>
      <x:c r="G733" t="str" s="2">
        <x:v>Heritage Housing of Oklahoma City</x:v>
      </x:c>
      <x:c r="H733" t="str" s="2">
        <x:v>Trey Rixleben</x:v>
      </x:c>
      <x:c r="I733" s="0"/>
      <x:c r="J733" s="0"/>
      <x:c r="K733" t="n" s="2">
        <x:v>59</x:v>
      </x:c>
      <x:c r="L733" t="str" s="2">
        <x:v>4.3</x:v>
      </x:c>
      <x:c r="M733" t="str" s="2">
        <x:v>Dead</x:v>
      </x:c>
      <x:c r="N733" t="str" s="2">
        <x:v>Loan Approved</x:v>
      </x:c>
      <x:c r="O733" s="0"/>
      <x:c r="P733" s="6">
        <x:v>46248</x:v>
      </x:c>
      <x:c r="Q733" s="6">
        <x:v>46253.582166782406</x:v>
      </x:c>
      <x:c r="R733" t="str" s="2">
        <x:v>Steve Castell</x:v>
      </x:c>
      <x:c r="S733" s="6">
        <x:v>46248</x:v>
      </x:c>
      <x:c r="T733" s="6">
        <x:v>46248</x:v>
      </x:c>
      <x:c r="U733" s="6">
        <x:v>46253</x:v>
      </x:c>
      <x:c r="V733" s="6">
        <x:v>46253</x:v>
      </x:c>
      <x:c r="W733" s="0"/>
      <x:c r="X733" t="str" s="2">
        <x:v>9188513439</x:v>
      </x:c>
      <x:c r="Y733" t="str" s="2">
        <x:v>perrymwankemwa@gmail.com</x:v>
      </x:c>
      <x:c r="Z733" s="6">
        <x:v>46261.586542743054</x:v>
      </x:c>
      <x:c r="AA733" t="str" s="2">
        <x:v>Trey Rixleben</x:v>
      </x:c>
      <x:c r="AB733" s="6">
        <x:v>46248.82005443287</x:v>
      </x:c>
      <x:c r="AC733" t="n" s="2">
        <x:v>39156</x:v>
      </x:c>
      <x:c r="AD733" t="str" s="2">
        <x:v>Singlewide</x:v>
      </x:c>
      <x:c r="AE733" t="str" s="2">
        <x:v>Legacy Housing Corporation</x:v>
      </x:c>
      <x:c r="AF733" s="7">
        <x:v>8900</x:v>
      </x:c>
      <x:c r="AG733" s="7">
        <x:v>8900</x:v>
      </x:c>
      <x:c r="AH733" s="0"/>
      <x:c r="AI733" t="str" s="2">
        <x:v>662</x:v>
      </x:c>
      <x:c r="AJ733" s="0"/>
      <x:c r="AK733" s="0"/>
    </x:row>
    <x:row r="734">
      <x:c r="A734" t="str" s="2">
        <x:f>=HYPERLINK("https://rsms.futurehomex.com/lead/39157", "Sawyer Martin")</x:f>
      </x:c>
      <x:c r="B734" t="n" s="2">
        <x:v>60</x:v>
      </x:c>
      <x:c r="C734" t="str" s="2">
        <x:v>1/1</x:v>
      </x:c>
      <x:c r="D734" t="str" s="2">
        <x:f>=""</x:f>
      </x:c>
      <x:c r="E734" s="0"/>
      <x:c r="F734" t="str" s="2">
        <x:v>Other</x:v>
      </x:c>
      <x:c r="G734" t="str" s="2">
        <x:v>Heritage Housing of Jennings</x:v>
      </x:c>
      <x:c r="H734" t="str" s="2">
        <x:v>Mervin Leslie Smith</x:v>
      </x:c>
      <x:c r="I734" s="0"/>
      <x:c r="J734" t="str" s="2">
        <x:v>Mervin Leslie Smith</x:v>
      </x:c>
      <x:c r="K734" t="n" s="2">
        <x:v>5</x:v>
      </x:c>
      <x:c r="L734" t="str" s="2">
        <x:v>1.1</x:v>
      </x:c>
      <x:c r="M734" t="str" s="2">
        <x:v>Inactive</x:v>
      </x:c>
      <x:c r="N734" t="str" s="2">
        <x:v>Deal Created</x:v>
      </x:c>
      <x:c r="O734" s="0"/>
      <x:c r="P734" s="6">
        <x:v>46248</x:v>
      </x:c>
      <x:c r="Q734" s="6">
        <x:v>46248.83168125</x:v>
      </x:c>
      <x:c r="R734" s="0"/>
      <x:c r="S734" s="0"/>
      <x:c r="T734" s="0"/>
      <x:c r="U734" s="0"/>
      <x:c r="V734" s="0"/>
      <x:c r="W734" s="0"/>
      <x:c r="X734" t="str" s="2">
        <x:v>3377852443</x:v>
      </x:c>
      <x:c r="Y734" t="str" s="2">
        <x:v>sawyermartin2399@gmail.com</x:v>
      </x:c>
      <x:c r="Z734" s="6">
        <x:v>46259.730943055554</x:v>
      </x:c>
      <x:c r="AA734" t="str" s="2">
        <x:v>Mervin Leslie Smith</x:v>
      </x:c>
      <x:c r="AB734" s="6">
        <x:v>46248.83168271991</x:v>
      </x:c>
      <x:c r="AC734" t="n" s="2">
        <x:v>39157</x:v>
      </x:c>
      <x:c r="AD734" s="0"/>
      <x:c r="AE734" s="0"/>
      <x:c r="AF734" s="0"/>
      <x:c r="AG734" s="0"/>
      <x:c r="AH734" s="0"/>
      <x:c r="AI734" s="0"/>
      <x:c r="AJ734" s="0"/>
      <x:c r="AK734" s="0"/>
    </x:row>
    <x:row r="735">
      <x:c r="A735" t="str" s="2">
        <x:f>=HYPERLINK("https://rsms.futurehomex.com/lead/39158", "Andrea Freeney")</x:f>
      </x:c>
      <x:c r="B735" t="n" s="2">
        <x:v>60</x:v>
      </x:c>
      <x:c r="C735" t="str" s="2">
        <x:v>0/2</x:v>
      </x:c>
      <x:c r="D735" t="str" s="2">
        <x:f>=""</x:f>
      </x:c>
      <x:c r="E735" s="0"/>
      <x:c r="F735" t="str" s="2">
        <x:v>Meta Marketplace</x:v>
      </x:c>
      <x:c r="G735" t="str" s="2">
        <x:v>Heritage Housing Mt Pleasant</x:v>
      </x:c>
      <x:c r="H735" t="str" s="2">
        <x:v>Elias Gallardo</x:v>
      </x:c>
      <x:c r="I735" s="0"/>
      <x:c r="J735" t="str" s="2">
        <x:v>Elias Gallardo</x:v>
      </x:c>
      <x:c r="K735" t="n" s="2">
        <x:v>38</x:v>
      </x:c>
      <x:c r="L735" t="str" s="2">
        <x:v>3.2</x:v>
      </x:c>
      <x:c r="M735" t="str" s="2">
        <x:v>Dead</x:v>
      </x:c>
      <x:c r="N735" t="str" s="2">
        <x:v>Application</x:v>
      </x:c>
      <x:c r="O735" s="0"/>
      <x:c r="P735" s="6">
        <x:v>46248</x:v>
      </x:c>
      <x:c r="Q735" s="6">
        <x:v>46251.93681068287</x:v>
      </x:c>
      <x:c r="R735" s="0"/>
      <x:c r="S735" s="6">
        <x:v>46248</x:v>
      </x:c>
      <x:c r="T735" s="0"/>
      <x:c r="U735" s="0"/>
      <x:c r="V735" s="0"/>
      <x:c r="W735" s="0"/>
      <x:c r="X735" t="str" s="2">
        <x:v>9036179608</x:v>
      </x:c>
      <x:c r="Y735" t="str" s="2">
        <x:v>a_freeney@icloud.com</x:v>
      </x:c>
      <x:c r="Z735" s="6">
        <x:v>46265.88954895833</x:v>
      </x:c>
      <x:c r="AA735" t="str" s="2">
        <x:v>Schell Liles</x:v>
      </x:c>
      <x:c r="AB735" s="6">
        <x:v>46248.839712534726</x:v>
      </x:c>
      <x:c r="AC735" t="n" s="2">
        <x:v>39158</x:v>
      </x:c>
      <x:c r="AD735" t="str" s="2">
        <x:v>Singlewide</x:v>
      </x:c>
      <x:c r="AE735" t="str" s="2">
        <x:v>Legacy Housing Corporation</x:v>
      </x:c>
      <x:c r="AF735" s="7">
        <x:v>9845</x:v>
      </x:c>
      <x:c r="AG735" s="7">
        <x:v>9848.5</x:v>
      </x:c>
      <x:c r="AH735" s="0"/>
      <x:c r="AI735" t="str" s="2">
        <x:v>532</x:v>
      </x:c>
      <x:c r="AJ735" s="0"/>
      <x:c r="AK735" s="0"/>
    </x:row>
    <x:row r="736">
      <x:c r="A736" t="str" s="2">
        <x:f>=HYPERLINK("https://rsms.futurehomex.com/lead/39159", "Xuan Nguyen-Franklin")</x:f>
      </x:c>
      <x:c r="B736" t="n" s="2">
        <x:v>60</x:v>
      </x:c>
      <x:c r="C736" t="str" s="2">
        <x:v>0/2</x:v>
      </x:c>
      <x:c r="D736" t="str" s="2">
        <x:f>=""</x:f>
      </x:c>
      <x:c r="E736" s="0"/>
      <x:c r="F736" t="str" s="2">
        <x:v>Facebook Messenger</x:v>
      </x:c>
      <x:c r="G736" t="str" s="2">
        <x:v>Heritage Housing of Oklahoma City</x:v>
      </x:c>
      <x:c r="H736" t="str" s="2">
        <x:v>Steve Castell</x:v>
      </x:c>
      <x:c r="I736" s="0"/>
      <x:c r="J736" t="str" s="2">
        <x:v>Steve Castell</x:v>
      </x:c>
      <x:c r="K736" t="n" s="2">
        <x:v>5</x:v>
      </x:c>
      <x:c r="L736" t="str" s="2">
        <x:v>1.1</x:v>
      </x:c>
      <x:c r="M736" t="str" s="2">
        <x:v>Dead</x:v>
      </x:c>
      <x:c r="N736" t="str" s="2">
        <x:v>Deal Created</x:v>
      </x:c>
      <x:c r="O736" s="0"/>
      <x:c r="P736" s="6">
        <x:v>46248</x:v>
      </x:c>
      <x:c r="Q736" s="6">
        <x:v>46248.90880679398</x:v>
      </x:c>
      <x:c r="R736" s="0"/>
      <x:c r="S736" s="0"/>
      <x:c r="T736" s="0"/>
      <x:c r="U736" s="0"/>
      <x:c r="V736" s="0"/>
      <x:c r="W736" s="0"/>
      <x:c r="X736" t="str" s="2">
        <x:v>4054304658</x:v>
      </x:c>
      <x:c r="Y736" t="str" s="2">
        <x:v>xuanenguyen123@gmail.com</x:v>
      </x:c>
      <x:c r="Z736" s="6">
        <x:v>46268.9603190625</x:v>
      </x:c>
      <x:c r="AA736" t="str" s="2">
        <x:v>Steve Castell</x:v>
      </x:c>
      <x:c r="AB736" s="6">
        <x:v>46248.84718518519</x:v>
      </x:c>
      <x:c r="AC736" t="n" s="2">
        <x:v>39159</x:v>
      </x:c>
      <x:c r="AD736" s="0"/>
      <x:c r="AE736" s="0"/>
      <x:c r="AF736" s="0"/>
      <x:c r="AG736" s="0"/>
      <x:c r="AH736" s="0"/>
      <x:c r="AI736" s="0"/>
      <x:c r="AJ736" s="0"/>
      <x:c r="AK736" s="0"/>
    </x:row>
    <x:row r="737">
      <x:c r="A737" t="str" s="2">
        <x:f>=HYPERLINK("https://rsms.futurehomex.com/lead/39161", "Manuel Lopez")</x:f>
      </x:c>
      <x:c r="B737" t="n" s="2">
        <x:v>60</x:v>
      </x:c>
      <x:c r="C737" t="str" s="2">
        <x:v>0/2</x:v>
      </x:c>
      <x:c r="D737" t="str" s="2">
        <x:f>=""</x:f>
      </x:c>
      <x:c r="E737" s="0"/>
      <x:c r="F737" t="str" s="2">
        <x:v>Website</x:v>
      </x:c>
      <x:c r="G737" t="str" s="2">
        <x:v>Legacy Housing Corp. DBA Americasa</x:v>
      </x:c>
      <x:c r="H737" t="str" s="2">
        <x:v>Jose Parada</x:v>
      </x:c>
      <x:c r="I737" t="str" s="2">
        <x:v>Karol Romero</x:v>
      </x:c>
      <x:c r="J737" s="0"/>
      <x:c r="K737" t="n" s="2">
        <x:v>5</x:v>
      </x:c>
      <x:c r="L737" t="str" s="2">
        <x:v>1.1</x:v>
      </x:c>
      <x:c r="M737" t="str" s="2">
        <x:v>Tentative</x:v>
      </x:c>
      <x:c r="N737" t="str" s="2">
        <x:v>Prospect</x:v>
      </x:c>
      <x:c r="O737" s="0"/>
      <x:c r="P737" s="6">
        <x:v>46248</x:v>
      </x:c>
      <x:c r="Q737" s="6">
        <x:v>46251.85633657408</x:v>
      </x:c>
      <x:c r="R737" s="0"/>
      <x:c r="S737" s="0"/>
      <x:c r="T737" s="0"/>
      <x:c r="U737" s="0"/>
      <x:c r="V737" s="0"/>
      <x:c r="W737" s="0"/>
      <x:c r="X737" t="str" s="2">
        <x:v>8323736118</x:v>
      </x:c>
      <x:c r="Y737" t="str" s="2">
        <x:v>Manuellopez@gmail.com</x:v>
      </x:c>
      <x:c r="Z737" s="6">
        <x:v>46293.58998788195</x:v>
      </x:c>
      <x:c r="AA737" t="str" s="2">
        <x:v>Jose Parada</x:v>
      </x:c>
      <x:c r="AB737" s="6">
        <x:v>46248.91139155092</x:v>
      </x:c>
      <x:c r="AC737" t="n" s="2">
        <x:v>39161</x:v>
      </x:c>
      <x:c r="AD737" s="0"/>
      <x:c r="AE737" s="0"/>
      <x:c r="AF737" s="0"/>
      <x:c r="AG737" s="0"/>
      <x:c r="AH737" s="0"/>
      <x:c r="AI737" s="0"/>
      <x:c r="AJ737" s="0"/>
      <x:c r="AK737" s="0"/>
    </x:row>
    <x:row r="738">
      <x:c r="A738" t="str" s="2">
        <x:f>=HYPERLINK("https://rsms.futurehomex.com/lead/39162", "Bertha Vergara")</x:f>
      </x:c>
      <x:c r="B738" t="n" s="2">
        <x:v>60</x:v>
      </x:c>
      <x:c r="C738" t="str" s="2">
        <x:v>0/2</x:v>
      </x:c>
      <x:c r="D738" t="str" s="2">
        <x:f>=""</x:f>
      </x:c>
      <x:c r="E738" s="0"/>
      <x:c r="F738" t="str" s="2">
        <x:v>Referrals</x:v>
      </x:c>
      <x:c r="G738" t="str" s="2">
        <x:v>Legacy Housing Corp. DBA Americasa</x:v>
      </x:c>
      <x:c r="H738" t="str" s="2">
        <x:v>Joey Marquez</x:v>
      </x:c>
      <x:c r="I738" t="str" s="2">
        <x:v>Karol Romero</x:v>
      </x:c>
      <x:c r="J738" s="0"/>
      <x:c r="K738" t="n" s="2">
        <x:v>5</x:v>
      </x:c>
      <x:c r="L738" t="str" s="2">
        <x:v>1.1</x:v>
      </x:c>
      <x:c r="M738" t="str" s="2">
        <x:v>Tentative</x:v>
      </x:c>
      <x:c r="N738" t="str" s="2">
        <x:v>Prospect</x:v>
      </x:c>
      <x:c r="O738" s="0"/>
      <x:c r="P738" s="6">
        <x:v>46248</x:v>
      </x:c>
      <x:c r="Q738" s="6">
        <x:v>46251.767389583336</x:v>
      </x:c>
      <x:c r="R738" s="0"/>
      <x:c r="S738" s="0"/>
      <x:c r="T738" s="0"/>
      <x:c r="U738" s="0"/>
      <x:c r="V738" s="0"/>
      <x:c r="W738" s="0"/>
      <x:c r="X738" t="str" s="2">
        <x:v>9362861999</x:v>
      </x:c>
      <x:c r="Y738" t="str" s="2" xml:space="preserve">
        <x:v>bertha@gmail.com </x:v>
      </x:c>
      <x:c r="Z738" s="6">
        <x:v>46289.700323923615</x:v>
      </x:c>
      <x:c r="AA738" t="str" s="2">
        <x:v>Joey Marquez</x:v>
      </x:c>
      <x:c r="AB738" s="6">
        <x:v>46248.91268603009</x:v>
      </x:c>
      <x:c r="AC738" t="n" s="2">
        <x:v>39162</x:v>
      </x:c>
      <x:c r="AD738" s="0"/>
      <x:c r="AE738" s="0"/>
      <x:c r="AF738" s="0"/>
      <x:c r="AG738" s="0"/>
      <x:c r="AH738" s="0"/>
      <x:c r="AI738" s="0"/>
      <x:c r="AJ738" s="0"/>
      <x:c r="AK738" s="0"/>
    </x:row>
    <x:row r="739">
      <x:c r="A739" t="str" s="2">
        <x:f>=HYPERLINK("https://rsms.futurehomex.com/lead/39163", "JASMINE WATTS")</x:f>
      </x:c>
      <x:c r="B739" t="n" s="2">
        <x:v>60</x:v>
      </x:c>
      <x:c r="C739" t="str" s="2">
        <x:v/>
      </x:c>
      <x:c r="D739" t="str" s="2">
        <x:f>=""</x:f>
      </x:c>
      <x:c r="E739" s="0"/>
      <x:c r="F739" t="str" s="2">
        <x:v>Meta Marketplace</x:v>
      </x:c>
      <x:c r="G739" t="str" s="2">
        <x:v>Heritage Housing Mt Pleasant</x:v>
      </x:c>
      <x:c r="H739" t="str" s="2">
        <x:v>Elias Gallardo</x:v>
      </x:c>
      <x:c r="I739" s="0"/>
      <x:c r="J739" t="str" s="2">
        <x:v>Elias Gallardo</x:v>
      </x:c>
      <x:c r="K739" t="n" s="2">
        <x:v>5</x:v>
      </x:c>
      <x:c r="L739" t="str" s="2">
        <x:v>1.1</x:v>
      </x:c>
      <x:c r="M739" t="str" s="2">
        <x:v>Tentative</x:v>
      </x:c>
      <x:c r="N739" t="str" s="2">
        <x:v>Deal Created</x:v>
      </x:c>
      <x:c r="O739" s="0"/>
      <x:c r="P739" s="6">
        <x:v>46248</x:v>
      </x:c>
      <x:c r="Q739" s="6">
        <x:v>46248.966864699076</x:v>
      </x:c>
      <x:c r="R739" s="0"/>
      <x:c r="S739" s="0"/>
      <x:c r="T739" s="0"/>
      <x:c r="U739" s="0"/>
      <x:c r="V739" s="0"/>
      <x:c r="W739" s="0"/>
      <x:c r="X739" t="str" s="2">
        <x:v>4303410367</x:v>
      </x:c>
      <x:c r="Y739" t="str" s="2">
        <x:v>4303410367</x:v>
      </x:c>
      <x:c r="Z739" s="0"/>
      <x:c r="AA739" s="0"/>
      <x:c r="AB739" s="6">
        <x:v>46248.966866006944</x:v>
      </x:c>
      <x:c r="AC739" t="n" s="2">
        <x:v>39163</x:v>
      </x:c>
      <x:c r="AD739" s="0"/>
      <x:c r="AE739" s="0"/>
      <x:c r="AF739" s="0"/>
      <x:c r="AG739" s="0"/>
      <x:c r="AH739" s="0"/>
      <x:c r="AI739" s="0"/>
      <x:c r="AJ739" s="0"/>
      <x:c r="AK739" s="0"/>
    </x:row>
    <x:row r="740">
      <x:c r="A740" t="str" s="2">
        <x:f>=HYPERLINK("https://rsms.futurehomex.com/lead/39164", "Jose Perez")</x:f>
      </x:c>
      <x:c r="B740" t="n" s="2">
        <x:v>60</x:v>
      </x:c>
      <x:c r="C740" t="str" s="2">
        <x:v/>
      </x:c>
      <x:c r="D740" t="str" s="2">
        <x:f>=""</x:f>
      </x:c>
      <x:c r="E740" s="0"/>
      <x:c r="F740" t="str" s="2">
        <x:v>Meta Marketplace</x:v>
      </x:c>
      <x:c r="G740" t="str" s="2">
        <x:v>Heritage Housing Mt Pleasant</x:v>
      </x:c>
      <x:c r="H740" t="str" s="2">
        <x:v>Elias Gallardo</x:v>
      </x:c>
      <x:c r="I740" s="0"/>
      <x:c r="J740" t="str" s="2">
        <x:v>Elias Gallardo</x:v>
      </x:c>
      <x:c r="K740" t="n" s="2">
        <x:v>5</x:v>
      </x:c>
      <x:c r="L740" t="str" s="2">
        <x:v>1.1</x:v>
      </x:c>
      <x:c r="M740" t="str" s="2">
        <x:v>Tentative</x:v>
      </x:c>
      <x:c r="N740" t="str" s="2">
        <x:v>Deal Created</x:v>
      </x:c>
      <x:c r="O740" s="0"/>
      <x:c r="P740" s="6">
        <x:v>46248</x:v>
      </x:c>
      <x:c r="Q740" s="6">
        <x:v>46248.97017037037</x:v>
      </x:c>
      <x:c r="R740" s="0"/>
      <x:c r="S740" s="0"/>
      <x:c r="T740" s="0"/>
      <x:c r="U740" s="0"/>
      <x:c r="V740" s="0"/>
      <x:c r="W740" s="0"/>
      <x:c r="X740" t="str" s="2">
        <x:v>9035787674</x:v>
      </x:c>
      <x:c r="Y740" t="str" s="2">
        <x:v>9035787674</x:v>
      </x:c>
      <x:c r="Z740" s="0"/>
      <x:c r="AA740" s="0"/>
      <x:c r="AB740" s="6">
        <x:v>46248.970171875</x:v>
      </x:c>
      <x:c r="AC740" t="n" s="2">
        <x:v>39164</x:v>
      </x:c>
      <x:c r="AD740" s="0"/>
      <x:c r="AE740" s="0"/>
      <x:c r="AF740" s="0"/>
      <x:c r="AG740" s="0"/>
      <x:c r="AH740" s="0"/>
      <x:c r="AI740" s="0"/>
      <x:c r="AJ740" s="0"/>
      <x:c r="AK740" s="0"/>
    </x:row>
    <x:row r="741">
      <x:c r="A741" t="str" s="2">
        <x:f>=HYPERLINK("https://rsms.futurehomex.com/lead/39165", "Jorge Portillo")</x:f>
      </x:c>
      <x:c r="B741" t="n" s="2">
        <x:v>60</x:v>
      </x:c>
      <x:c r="C741" t="str" s="2">
        <x:v/>
      </x:c>
      <x:c r="D741" t="str" s="2">
        <x:f>=""</x:f>
      </x:c>
      <x:c r="E741" s="0"/>
      <x:c r="F741" t="str" s="2">
        <x:v>Meta Ads - Forms</x:v>
      </x:c>
      <x:c r="G741" t="str" s="2">
        <x:v>Heritage Housing Mt Pleasant</x:v>
      </x:c>
      <x:c r="H741" t="str" s="2">
        <x:v>Elias Gallardo</x:v>
      </x:c>
      <x:c r="I741" s="0"/>
      <x:c r="J741" t="str" s="2">
        <x:v>Elias Gallardo</x:v>
      </x:c>
      <x:c r="K741" t="n" s="2">
        <x:v>5</x:v>
      </x:c>
      <x:c r="L741" t="str" s="2">
        <x:v>1.1</x:v>
      </x:c>
      <x:c r="M741" t="str" s="2">
        <x:v>Tentative</x:v>
      </x:c>
      <x:c r="N741" t="str" s="2">
        <x:v>Prospect</x:v>
      </x:c>
      <x:c r="O741" s="0"/>
      <x:c r="P741" s="6">
        <x:v>46248</x:v>
      </x:c>
      <x:c r="Q741" s="6">
        <x:v>46248.97900254629</x:v>
      </x:c>
      <x:c r="R741" s="0"/>
      <x:c r="S741" s="0"/>
      <x:c r="T741" s="0"/>
      <x:c r="U741" s="0"/>
      <x:c r="V741" s="0"/>
      <x:c r="W741" s="0"/>
      <x:c r="X741" t="str" s="2">
        <x:v>3082300286</x:v>
      </x:c>
      <x:c r="Y741" t="str" s="2">
        <x:v>jorpo68@gmail.com</x:v>
      </x:c>
      <x:c r="Z741" s="6">
        <x:v>46250.85731299769</x:v>
      </x:c>
      <x:c r="AA741" t="str" s="2">
        <x:v>Elias Gallardo</x:v>
      </x:c>
      <x:c r="AB741" s="6">
        <x:v>46248.979002974535</x:v>
      </x:c>
      <x:c r="AC741" t="n" s="2">
        <x:v>39165</x:v>
      </x:c>
      <x:c r="AD741" s="0"/>
      <x:c r="AE741" s="0"/>
      <x:c r="AF741" s="0"/>
      <x:c r="AG741" s="0"/>
      <x:c r="AH741" s="0"/>
      <x:c r="AI741" s="0"/>
      <x:c r="AJ741" s="0"/>
      <x:c r="AK741" s="0"/>
    </x:row>
    <x:row r="742">
      <x:c r="A742" t="str" s="2">
        <x:f>=HYPERLINK("https://rsms.futurehomex.com/lead/39166", "Logan Reneau")</x:f>
      </x:c>
      <x:c r="B742" t="n" s="2">
        <x:v>59</x:v>
      </x:c>
      <x:c r="C742" t="str" s="2">
        <x:v/>
      </x:c>
      <x:c r="D742" t="str" s="2">
        <x:f>=""</x:f>
      </x:c>
      <x:c r="E742" s="0"/>
      <x:c r="F742" t="str" s="2">
        <x:v>Facebook Messenger</x:v>
      </x:c>
      <x:c r="G742" t="str" s="2">
        <x:v>Heritage Housing of Asheboro</x:v>
      </x:c>
      <x:c r="H742" t="str" s="2">
        <x:v>Maria Lopez</x:v>
      </x:c>
      <x:c r="I742" s="0"/>
      <x:c r="J742" s="0"/>
      <x:c r="K742" t="n" s="2">
        <x:v>21</x:v>
      </x:c>
      <x:c r="L742" t="str" s="2">
        <x:v>2.1</x:v>
      </x:c>
      <x:c r="M742" t="str" s="2">
        <x:v>Tentative</x:v>
      </x:c>
      <x:c r="N742" t="str" s="2">
        <x:v>Qualified</x:v>
      </x:c>
      <x:c r="O742" s="0"/>
      <x:c r="P742" s="6">
        <x:v>46249</x:v>
      </x:c>
      <x:c r="Q742" s="6">
        <x:v>46249.639101886576</x:v>
      </x:c>
      <x:c r="R742" s="0"/>
      <x:c r="S742" s="0"/>
      <x:c r="T742" s="0"/>
      <x:c r="U742" s="0"/>
      <x:c r="V742" s="0"/>
      <x:c r="W742" s="0"/>
      <x:c r="X742" t="str" s="2">
        <x:v>9195482613</x:v>
      </x:c>
      <x:c r="Y742" t="str" s="2">
        <x:v>logan.reneau@gmail.com</x:v>
      </x:c>
      <x:c r="Z742" s="6">
        <x:v>46249.63908425926</x:v>
      </x:c>
      <x:c r="AA742" t="str" s="2">
        <x:v>Jeremy Jacques</x:v>
      </x:c>
      <x:c r="AB742" s="6">
        <x:v>46249.568908877314</x:v>
      </x:c>
      <x:c r="AC742" t="n" s="2">
        <x:v>39166</x:v>
      </x:c>
      <x:c r="AD742" s="0"/>
      <x:c r="AE742" s="0"/>
      <x:c r="AF742" s="0"/>
      <x:c r="AG742" s="0"/>
      <x:c r="AH742" s="0"/>
      <x:c r="AI742" s="0"/>
      <x:c r="AJ742" s="0"/>
      <x:c r="AK742" s="0"/>
    </x:row>
    <x:row r="743">
      <x:c r="A743" t="str" s="2">
        <x:f>=HYPERLINK("https://rsms.futurehomex.com/lead/39167", "Nelson Hinton")</x:f>
      </x:c>
      <x:c r="B743" t="n" s="2">
        <x:v>59</x:v>
      </x:c>
      <x:c r="C743" t="str" s="2">
        <x:v/>
      </x:c>
      <x:c r="D743" t="str" s="2">
        <x:f>=""</x:f>
      </x:c>
      <x:c r="E743" s="0"/>
      <x:c r="F743" t="str" s="2">
        <x:v>Walk-in</x:v>
      </x:c>
      <x:c r="G743" t="str" s="2">
        <x:v>Heritage Housing of Augusta</x:v>
      </x:c>
      <x:c r="H743" t="str" s="2">
        <x:v>Faye Lively</x:v>
      </x:c>
      <x:c r="I743" t="str" s="2">
        <x:v>Karol Romero</x:v>
      </x:c>
      <x:c r="J743" t="str" s="2">
        <x:v>Faye Lively</x:v>
      </x:c>
      <x:c r="K743" t="n" s="2">
        <x:v>5</x:v>
      </x:c>
      <x:c r="L743" t="str" s="2">
        <x:v>1.1</x:v>
      </x:c>
      <x:c r="M743" t="str" s="2">
        <x:v>Tentative</x:v>
      </x:c>
      <x:c r="N743" t="str" s="2">
        <x:v>Deal Created</x:v>
      </x:c>
      <x:c r="O743" s="0"/>
      <x:c r="P743" s="6">
        <x:v>46249</x:v>
      </x:c>
      <x:c r="Q743" s="6">
        <x:v>46249.60111704861</x:v>
      </x:c>
      <x:c r="R743" s="0"/>
      <x:c r="S743" s="0"/>
      <x:c r="T743" s="0"/>
      <x:c r="U743" s="0"/>
      <x:c r="V743" s="0"/>
      <x:c r="W743" s="0"/>
      <x:c r="X743" t="str" s="2">
        <x:v>7068258805</x:v>
      </x:c>
      <x:c r="Y743" t="str" s="2">
        <x:v>nelsonhinton327@gmail.com</x:v>
      </x:c>
      <x:c r="Z743" s="0"/>
      <x:c r="AA743" s="0"/>
      <x:c r="AB743" s="6">
        <x:v>46249.599219710646</x:v>
      </x:c>
      <x:c r="AC743" t="n" s="2">
        <x:v>39167</x:v>
      </x:c>
      <x:c r="AD743" s="0"/>
      <x:c r="AE743" s="0"/>
      <x:c r="AF743" s="0"/>
      <x:c r="AG743" s="0"/>
      <x:c r="AH743" s="0"/>
      <x:c r="AI743" s="0"/>
      <x:c r="AJ743" s="0"/>
      <x:c r="AK743" s="0"/>
    </x:row>
    <x:row r="744">
      <x:c r="A744" t="str" s="2">
        <x:f>=HYPERLINK("https://rsms.futurehomex.com/lead/39168", "Chuck Pitre")</x:f>
      </x:c>
      <x:c r="B744" t="n" s="2">
        <x:v>59</x:v>
      </x:c>
      <x:c r="C744" t="str" s="2">
        <x:v>0/1</x:v>
      </x:c>
      <x:c r="D744" t="str" s="2">
        <x:f>=""</x:f>
      </x:c>
      <x:c r="E744" s="0"/>
      <x:c r="F744" t="str" s="2">
        <x:v>Walk-in</x:v>
      </x:c>
      <x:c r="G744" t="str" s="2">
        <x:v>Heritage Housing of Jennings</x:v>
      </x:c>
      <x:c r="H744" t="str" s="2">
        <x:v>Mervin Leslie Smith</x:v>
      </x:c>
      <x:c r="I744" s="0"/>
      <x:c r="J744" s="0"/>
      <x:c r="K744" t="n" s="2">
        <x:v>5</x:v>
      </x:c>
      <x:c r="L744" t="str" s="2">
        <x:v>1.1</x:v>
      </x:c>
      <x:c r="M744" t="str" s="2">
        <x:v>Dead</x:v>
      </x:c>
      <x:c r="N744" t="str" s="2">
        <x:v>Prospect</x:v>
      </x:c>
      <x:c r="O744" s="0"/>
      <x:c r="P744" s="6">
        <x:v>46249</x:v>
      </x:c>
      <x:c r="Q744" s="6">
        <x:v>46249.605660532405</x:v>
      </x:c>
      <x:c r="R744" t="str" s="2">
        <x:v>Mervin Leslie Smith</x:v>
      </x:c>
      <x:c r="S744" s="6">
        <x:v>46249</x:v>
      </x:c>
      <x:c r="T744" s="0"/>
      <x:c r="U744" s="0"/>
      <x:c r="V744" s="0"/>
      <x:c r="W744" s="0"/>
      <x:c r="X744" t="str" s="2">
        <x:v>7138515995</x:v>
      </x:c>
      <x:c r="Y744" t="str" s="2">
        <x:v>captainchuck315@yahoo.com</x:v>
      </x:c>
      <x:c r="Z744" s="6">
        <x:v>46266.77292164352</x:v>
      </x:c>
      <x:c r="AA744" t="str" s="2">
        <x:v>Mervin Leslie Smith</x:v>
      </x:c>
      <x:c r="AB744" s="6">
        <x:v>46255.81663275463</x:v>
      </x:c>
      <x:c r="AC744" t="n" s="2">
        <x:v>39168</x:v>
      </x:c>
      <x:c r="AD744" s="0"/>
      <x:c r="AE744" s="0"/>
      <x:c r="AF744" s="0"/>
      <x:c r="AG744" s="0"/>
      <x:c r="AH744" s="0"/>
      <x:c r="AI744" s="0"/>
      <x:c r="AJ744" s="0"/>
      <x:c r="AK744" s="0"/>
    </x:row>
    <x:row r="745">
      <x:c r="A745" t="str" s="2">
        <x:f>=HYPERLINK("https://rsms.futurehomex.com/lead/39169", "Laytwuan Brower")</x:f>
      </x:c>
      <x:c r="B745" t="n" s="2">
        <x:v>59</x:v>
      </x:c>
      <x:c r="C745" t="str" s="2">
        <x:v/>
      </x:c>
      <x:c r="D745" t="str" s="2">
        <x:f>=""</x:f>
      </x:c>
      <x:c r="E745" s="0"/>
      <x:c r="F745" t="str" s="2">
        <x:v>Walk-in</x:v>
      </x:c>
      <x:c r="G745" t="str" s="2">
        <x:v>Heritage Housing of Asheboro</x:v>
      </x:c>
      <x:c r="H745" t="str" s="2">
        <x:v>Jeremy Jacques</x:v>
      </x:c>
      <x:c r="I745" s="0"/>
      <x:c r="J745" s="0"/>
      <x:c r="K745" t="n" s="2">
        <x:v>21</x:v>
      </x:c>
      <x:c r="L745" t="str" s="2">
        <x:v>2.1</x:v>
      </x:c>
      <x:c r="M745" t="str" s="2">
        <x:v>Tentative</x:v>
      </x:c>
      <x:c r="N745" t="str" s="2">
        <x:v>Qualified</x:v>
      </x:c>
      <x:c r="O745" s="0"/>
      <x:c r="P745" s="6">
        <x:v>46249</x:v>
      </x:c>
      <x:c r="Q745" s="6">
        <x:v>46249.6491028588</x:v>
      </x:c>
      <x:c r="R745" s="0"/>
      <x:c r="S745" s="0"/>
      <x:c r="T745" s="0"/>
      <x:c r="U745" s="0"/>
      <x:c r="V745" s="0"/>
      <x:c r="W745" s="0"/>
      <x:c r="X745" t="str" s="2">
        <x:v>3369472562</x:v>
      </x:c>
      <x:c r="Y745" t="str" s="2">
        <x:v>laytwuanharris@gmail.com</x:v>
      </x:c>
      <x:c r="Z745" s="6">
        <x:v>46249.64909197917</x:v>
      </x:c>
      <x:c r="AA745" t="str" s="2">
        <x:v>Jeremy Jacques</x:v>
      </x:c>
      <x:c r="AB745" s="6">
        <x:v>46255.593798344904</x:v>
      </x:c>
      <x:c r="AC745" t="n" s="2">
        <x:v>39169</x:v>
      </x:c>
      <x:c r="AD745" s="0"/>
      <x:c r="AE745" s="0"/>
      <x:c r="AF745" s="0"/>
      <x:c r="AG745" s="0"/>
      <x:c r="AH745" s="0"/>
      <x:c r="AI745" s="0"/>
      <x:c r="AJ745" s="0"/>
      <x:c r="AK745" s="0"/>
    </x:row>
    <x:row r="746">
      <x:c r="A746" t="str" s="2">
        <x:f>=HYPERLINK("https://rsms.futurehomex.com/lead/39170", "Amy Ann Brooks")</x:f>
      </x:c>
      <x:c r="B746" t="n" s="2">
        <x:v>59</x:v>
      </x:c>
      <x:c r="C746" t="str" s="2">
        <x:v>0/1</x:v>
      </x:c>
      <x:c r="D746" t="str" s="2">
        <x:f>=""</x:f>
      </x:c>
      <x:c r="E746" s="0"/>
      <x:c r="F746" t="str" s="2">
        <x:v>Facebook Messenger</x:v>
      </x:c>
      <x:c r="G746" t="str" s="2">
        <x:v>Heritage Housing of Oklahoma City</x:v>
      </x:c>
      <x:c r="H746" t="str" s="2">
        <x:v>Steve Castell</x:v>
      </x:c>
      <x:c r="I746" s="0"/>
      <x:c r="J746" s="0"/>
      <x:c r="K746" t="n" s="2">
        <x:v>5</x:v>
      </x:c>
      <x:c r="L746" t="str" s="2">
        <x:v>1.1</x:v>
      </x:c>
      <x:c r="M746" t="str" s="2">
        <x:v>Dead</x:v>
      </x:c>
      <x:c r="N746" t="str" s="2">
        <x:v>Deal Created</x:v>
      </x:c>
      <x:c r="O746" s="0"/>
      <x:c r="P746" s="6">
        <x:v>46249</x:v>
      </x:c>
      <x:c r="Q746" s="6">
        <x:v>46249.66141357639</x:v>
      </x:c>
      <x:c r="R746" t="str" s="2">
        <x:v>Trey Rixleben</x:v>
      </x:c>
      <x:c r="S746" s="6">
        <x:v>46249</x:v>
      </x:c>
      <x:c r="T746" s="0"/>
      <x:c r="U746" s="0"/>
      <x:c r="V746" s="0"/>
      <x:c r="W746" s="0"/>
      <x:c r="X746" t="str" s="2">
        <x:v>5804911453</x:v>
      </x:c>
      <x:c r="Y746" t="str" s="2">
        <x:v>aab3110@yahoo.com</x:v>
      </x:c>
      <x:c r="Z746" s="6">
        <x:v>46265.74124976852</x:v>
      </x:c>
      <x:c r="AA746" t="str" s="2">
        <x:v>Richard Bell</x:v>
      </x:c>
      <x:c r="AB746" s="6">
        <x:v>46249.661414814815</x:v>
      </x:c>
      <x:c r="AC746" t="n" s="2">
        <x:v>39170</x:v>
      </x:c>
      <x:c r="AD746" s="0"/>
      <x:c r="AE746" s="0"/>
      <x:c r="AF746" s="0"/>
      <x:c r="AG746" s="0"/>
      <x:c r="AH746" s="0"/>
      <x:c r="AI746" s="0"/>
      <x:c r="AJ746" s="0"/>
      <x:c r="AK746" s="0"/>
    </x:row>
    <x:row r="747">
      <x:c r="A747" t="str" s="2">
        <x:f>=HYPERLINK("https://rsms.futurehomex.com/lead/39171", "Jason Rasmussen")</x:f>
      </x:c>
      <x:c r="B747" t="n" s="2">
        <x:v>59</x:v>
      </x:c>
      <x:c r="C747" t="str" s="2">
        <x:v>1/1</x:v>
      </x:c>
      <x:c r="D747" t="str" s="2">
        <x:f>=""</x:f>
      </x:c>
      <x:c r="E747" s="0"/>
      <x:c r="F747" t="str" s="2">
        <x:v>Walk-in</x:v>
      </x:c>
      <x:c r="G747" t="str" s="2">
        <x:v>Heritage Housing of Oklahoma City</x:v>
      </x:c>
      <x:c r="H747" t="str" s="2">
        <x:v>Eva Misheva</x:v>
      </x:c>
      <x:c r="I747" s="0"/>
      <x:c r="J747" s="0"/>
      <x:c r="K747" t="n" s="2">
        <x:v>5</x:v>
      </x:c>
      <x:c r="L747" t="str" s="2">
        <x:v>1.1</x:v>
      </x:c>
      <x:c r="M747" t="str" s="2">
        <x:v>Tentative</x:v>
      </x:c>
      <x:c r="N747" t="str" s="2">
        <x:v>Prospect</x:v>
      </x:c>
      <x:c r="O747" s="0"/>
      <x:c r="P747" s="6">
        <x:v>46249</x:v>
      </x:c>
      <x:c r="Q747" s="6">
        <x:v>46249.66395517361</x:v>
      </x:c>
      <x:c r="R747" s="0"/>
      <x:c r="S747" s="6">
        <x:v>46249</x:v>
      </x:c>
      <x:c r="T747" s="0"/>
      <x:c r="U747" s="0"/>
      <x:c r="V747" s="0"/>
      <x:c r="W747" s="0"/>
      <x:c r="X747" t="str" s="2">
        <x:v>9287103585</x:v>
      </x:c>
      <x:c r="Y747" t="str" s="2">
        <x:v>xilr8r68@gmail.com</x:v>
      </x:c>
      <x:c r="Z747" s="6">
        <x:v>46292.93498607639</x:v>
      </x:c>
      <x:c r="AA747" t="str" s="2">
        <x:v>Eva Misheva</x:v>
      </x:c>
      <x:c r="AB747" s="6">
        <x:v>46249.663956516204</x:v>
      </x:c>
      <x:c r="AC747" t="n" s="2">
        <x:v>39171</x:v>
      </x:c>
      <x:c r="AD747" s="0"/>
      <x:c r="AE747" s="0"/>
      <x:c r="AF747" s="0"/>
      <x:c r="AG747" s="0"/>
      <x:c r="AH747" s="0"/>
      <x:c r="AI747" s="0"/>
      <x:c r="AJ747" s="0"/>
      <x:c r="AK747" s="0"/>
    </x:row>
    <x:row r="748">
      <x:c r="A748" t="str" s="2">
        <x:f>=HYPERLINK("https://rsms.futurehomex.com/lead/39172", "Dustin Daily")</x:f>
      </x:c>
      <x:c r="B748" t="n" s="2">
        <x:v>59</x:v>
      </x:c>
      <x:c r="C748" t="str" s="2">
        <x:v>0/2</x:v>
      </x:c>
      <x:c r="D748" t="str" s="2">
        <x:f>=""</x:f>
      </x:c>
      <x:c r="E748" s="0"/>
      <x:c r="F748" t="str" s="2">
        <x:v>Facebook Messenger</x:v>
      </x:c>
      <x:c r="G748" t="str" s="2">
        <x:v>Heritage Housing of Oklahoma City</x:v>
      </x:c>
      <x:c r="H748" t="str" s="2">
        <x:v>Steve Castell</x:v>
      </x:c>
      <x:c r="I748" s="0"/>
      <x:c r="J748" t="str" s="2">
        <x:v>Steve Castell</x:v>
      </x:c>
      <x:c r="K748" t="n" s="2">
        <x:v>5</x:v>
      </x:c>
      <x:c r="L748" t="str" s="2">
        <x:v>1.1</x:v>
      </x:c>
      <x:c r="M748" t="str" s="2">
        <x:v>Inactive</x:v>
      </x:c>
      <x:c r="N748" t="str" s="2">
        <x:v>Deal Created</x:v>
      </x:c>
      <x:c r="O748" s="0"/>
      <x:c r="P748" s="6">
        <x:v>46249</x:v>
      </x:c>
      <x:c r="Q748" s="6">
        <x:v>46249.678978125</x:v>
      </x:c>
      <x:c r="R748" s="0"/>
      <x:c r="S748" s="6">
        <x:v>46250</x:v>
      </x:c>
      <x:c r="T748" s="0"/>
      <x:c r="U748" s="0"/>
      <x:c r="V748" s="0"/>
      <x:c r="W748" s="0"/>
      <x:c r="X748" t="str" s="2">
        <x:v>4056945464</x:v>
      </x:c>
      <x:c r="Y748" t="str" s="2">
        <x:v>dustindaily08@gmail.com</x:v>
      </x:c>
      <x:c r="Z748" s="6">
        <x:v>46266.09978012731</x:v>
      </x:c>
      <x:c r="AA748" t="str" s="2">
        <x:v>Steve Castell</x:v>
      </x:c>
      <x:c r="AB748" s="6">
        <x:v>46249.67799626158</x:v>
      </x:c>
      <x:c r="AC748" t="n" s="2">
        <x:v>39172</x:v>
      </x:c>
      <x:c r="AD748" s="0"/>
      <x:c r="AE748" s="0"/>
      <x:c r="AF748" s="0"/>
      <x:c r="AG748" s="0"/>
      <x:c r="AH748" s="0"/>
      <x:c r="AI748" s="0"/>
      <x:c r="AJ748" s="0"/>
      <x:c r="AK748" s="0"/>
    </x:row>
    <x:row r="749">
      <x:c r="A749" t="str" s="2">
        <x:f>=HYPERLINK("https://rsms.futurehomex.com/lead/39173", "Dj Miller")</x:f>
      </x:c>
      <x:c r="B749" t="n" s="2">
        <x:v>59</x:v>
      </x:c>
      <x:c r="C749" t="str" s="2">
        <x:v>1/3</x:v>
      </x:c>
      <x:c r="D749" t="str" s="2">
        <x:f>=""</x:f>
      </x:c>
      <x:c r="E749" s="0"/>
      <x:c r="F749" t="str" s="2">
        <x:v>Walk-in</x:v>
      </x:c>
      <x:c r="G749" t="str" s="2">
        <x:v>Heritage Housing of Jennings</x:v>
      </x:c>
      <x:c r="H749" t="str" s="2">
        <x:v>Mervin Leslie Smith</x:v>
      </x:c>
      <x:c r="I749" t="str" s="2">
        <x:v>Karol Romero</x:v>
      </x:c>
      <x:c r="J749" s="0"/>
      <x:c r="K749" t="n" s="2">
        <x:v>5</x:v>
      </x:c>
      <x:c r="L749" t="str" s="2">
        <x:v>1.1</x:v>
      </x:c>
      <x:c r="M749" t="str" s="2">
        <x:v>Inactive</x:v>
      </x:c>
      <x:c r="N749" t="str" s="2">
        <x:v>Prospect</x:v>
      </x:c>
      <x:c r="O749" s="0"/>
      <x:c r="P749" s="6">
        <x:v>46249</x:v>
      </x:c>
      <x:c r="Q749" s="6">
        <x:v>46249.709482638886</x:v>
      </x:c>
      <x:c r="R749" s="0"/>
      <x:c r="S749" s="6">
        <x:v>46249</x:v>
      </x:c>
      <x:c r="T749" s="0"/>
      <x:c r="U749" s="0"/>
      <x:c r="V749" s="0"/>
      <x:c r="W749" s="0"/>
      <x:c r="X749" t="str" s="2">
        <x:v>3373029320</x:v>
      </x:c>
      <x:c r="Y749" t="str" s="2">
        <x:v>millerdj89@gmail.com</x:v>
      </x:c>
      <x:c r="Z749" s="6">
        <x:v>46287.74191045139</x:v>
      </x:c>
      <x:c r="AA749" t="str" s="2">
        <x:v>Mervin Leslie Smith</x:v>
      </x:c>
      <x:c r="AB749" s="6">
        <x:v>46249.70948302083</x:v>
      </x:c>
      <x:c r="AC749" t="n" s="2">
        <x:v>39173</x:v>
      </x:c>
      <x:c r="AD749" s="0"/>
      <x:c r="AE749" s="0"/>
      <x:c r="AF749" s="0"/>
      <x:c r="AG749" s="0"/>
      <x:c r="AH749" s="0"/>
      <x:c r="AI749" s="0"/>
      <x:c r="AJ749" s="0"/>
      <x:c r="AK749" s="0"/>
    </x:row>
    <x:row r="750">
      <x:c r="A750" t="str" s="2">
        <x:f>=HYPERLINK("https://rsms.futurehomex.com/lead/39174", "Glen Bearden")</x:f>
      </x:c>
      <x:c r="B750" t="n" s="2">
        <x:v>59</x:v>
      </x:c>
      <x:c r="C750" t="str" s="2">
        <x:v>0/3</x:v>
      </x:c>
      <x:c r="D750" t="str" s="2">
        <x:f>=""</x:f>
      </x:c>
      <x:c r="E750" s="0"/>
      <x:c r="F750" t="str" s="2">
        <x:v>Facebook Messenger</x:v>
      </x:c>
      <x:c r="G750" t="str" s="2">
        <x:v>Heritage Housing of Oklahoma City</x:v>
      </x:c>
      <x:c r="H750" t="str" s="2">
        <x:v>Steve Castell</x:v>
      </x:c>
      <x:c r="I750" s="0"/>
      <x:c r="J750" t="str" s="2">
        <x:v>Steve Castell</x:v>
      </x:c>
      <x:c r="K750" t="n" s="2">
        <x:v>5</x:v>
      </x:c>
      <x:c r="L750" t="str" s="2">
        <x:v>1.1</x:v>
      </x:c>
      <x:c r="M750" t="str" s="2">
        <x:v>Inactive</x:v>
      </x:c>
      <x:c r="N750" t="str" s="2">
        <x:v>Deal Created</x:v>
      </x:c>
      <x:c r="O750" s="0"/>
      <x:c r="P750" s="6">
        <x:v>46249</x:v>
      </x:c>
      <x:c r="Q750" s="6">
        <x:v>46249.72005914352</x:v>
      </x:c>
      <x:c r="R750" t="str" s="2">
        <x:v>Eva Misheva</x:v>
      </x:c>
      <x:c r="S750" s="6">
        <x:v>46250</x:v>
      </x:c>
      <x:c r="T750" s="0"/>
      <x:c r="U750" s="0"/>
      <x:c r="V750" s="0"/>
      <x:c r="W750" s="0"/>
      <x:c r="X750" t="str" s="2">
        <x:v>4052683004</x:v>
      </x:c>
      <x:c r="Y750" t="str" s="2">
        <x:v>1976BUICK1977REGAL@GMAIL.COM</x:v>
      </x:c>
      <x:c r="Z750" s="6">
        <x:v>46289.99291184028</x:v>
      </x:c>
      <x:c r="AA750" t="str" s="2">
        <x:v>Steve Castell</x:v>
      </x:c>
      <x:c r="AB750" s="6">
        <x:v>46249.720060381944</x:v>
      </x:c>
      <x:c r="AC750" t="n" s="2">
        <x:v>39174</x:v>
      </x:c>
      <x:c r="AD750" s="0"/>
      <x:c r="AE750" s="0"/>
      <x:c r="AF750" s="0"/>
      <x:c r="AG750" s="0"/>
      <x:c r="AH750" s="0"/>
      <x:c r="AI750" s="0"/>
      <x:c r="AJ750" s="0"/>
      <x:c r="AK750" s="0"/>
    </x:row>
    <x:row r="751">
      <x:c r="A751" t="str" s="2">
        <x:f>=HYPERLINK("https://rsms.futurehomex.com/lead/39175", "Madison Lane")</x:f>
      </x:c>
      <x:c r="B751" t="n" s="2">
        <x:v>59</x:v>
      </x:c>
      <x:c r="C751" t="str" s="2">
        <x:v>0/3</x:v>
      </x:c>
      <x:c r="D751" t="str" s="2">
        <x:f>=""</x:f>
      </x:c>
      <x:c r="E751" s="0"/>
      <x:c r="F751" t="str" s="2">
        <x:v>Walk-in</x:v>
      </x:c>
      <x:c r="G751" t="str" s="2">
        <x:v>Heritage Housing of Oklahoma City</x:v>
      </x:c>
      <x:c r="H751" t="str" s="2">
        <x:v>Alejandra Calderon</x:v>
      </x:c>
      <x:c r="I751" s="0"/>
      <x:c r="J751" t="str" s="2">
        <x:v>Trey Rixleben</x:v>
      </x:c>
      <x:c r="K751" t="n" s="2">
        <x:v>5</x:v>
      </x:c>
      <x:c r="L751" t="str" s="2">
        <x:v>1.1</x:v>
      </x:c>
      <x:c r="M751" t="str" s="2">
        <x:v>Tentative</x:v>
      </x:c>
      <x:c r="N751" t="str" s="2">
        <x:v>Deal Created</x:v>
      </x:c>
      <x:c r="O751" s="0"/>
      <x:c r="P751" s="6">
        <x:v>46249</x:v>
      </x:c>
      <x:c r="Q751" s="6">
        <x:v>46249.728322650466</x:v>
      </x:c>
      <x:c r="R751" t="str" s="2">
        <x:v>Trey Rixleben</x:v>
      </x:c>
      <x:c r="S751" s="0"/>
      <x:c r="T751" s="0"/>
      <x:c r="U751" s="0"/>
      <x:c r="V751" s="0"/>
      <x:c r="W751" s="0"/>
      <x:c r="X751" t="str" s="2">
        <x:v>5804786818</x:v>
      </x:c>
      <x:c r="Y751" t="str" s="2">
        <x:v>5804786818</x:v>
      </x:c>
      <x:c r="Z751" s="6">
        <x:v>46282.950938043985</x:v>
      </x:c>
      <x:c r="AA751" t="str" s="2">
        <x:v>Steve Castell</x:v>
      </x:c>
      <x:c r="AB751" s="6">
        <x:v>46249.728323842595</x:v>
      </x:c>
      <x:c r="AC751" t="n" s="2">
        <x:v>39175</x:v>
      </x:c>
      <x:c r="AD751" s="0"/>
      <x:c r="AE751" s="0"/>
      <x:c r="AF751" s="0"/>
      <x:c r="AG751" s="0"/>
      <x:c r="AH751" s="0"/>
      <x:c r="AI751" s="0"/>
      <x:c r="AJ751" s="0"/>
      <x:c r="AK751" s="0"/>
    </x:row>
    <x:row r="752">
      <x:c r="A752" t="str" s="2">
        <x:f>=HYPERLINK("https://rsms.futurehomex.com/lead/39176", "Cheryl Dasen")</x:f>
      </x:c>
      <x:c r="B752" t="n" s="2">
        <x:v>59</x:v>
      </x:c>
      <x:c r="C752" t="str" s="2">
        <x:v>0/1</x:v>
      </x:c>
      <x:c r="D752" t="str" s="2">
        <x:f>=""</x:f>
      </x:c>
      <x:c r="E752" s="0"/>
      <x:c r="F752" t="str" s="2">
        <x:v>Facebook Messenger</x:v>
      </x:c>
      <x:c r="G752" t="str" s="2">
        <x:v>Heritage Housing of Oklahoma City</x:v>
      </x:c>
      <x:c r="H752" t="str" s="2">
        <x:v>Trey Rixleben</x:v>
      </x:c>
      <x:c r="I752" t="str" s="2">
        <x:v>Karol Romero</x:v>
      </x:c>
      <x:c r="J752" t="str" s="2">
        <x:v>Trey Rixleben</x:v>
      </x:c>
      <x:c r="K752" t="n" s="2">
        <x:v>5</x:v>
      </x:c>
      <x:c r="L752" t="str" s="2">
        <x:v>1.1</x:v>
      </x:c>
      <x:c r="M752" t="str" s="2">
        <x:v>Dead</x:v>
      </x:c>
      <x:c r="N752" t="str" s="2">
        <x:v>Deal Created</x:v>
      </x:c>
      <x:c r="O752" s="0"/>
      <x:c r="P752" s="6">
        <x:v>46249</x:v>
      </x:c>
      <x:c r="Q752" s="6">
        <x:v>46249.73960853009</x:v>
      </x:c>
      <x:c r="R752" s="0"/>
      <x:c r="S752" s="0"/>
      <x:c r="T752" s="0"/>
      <x:c r="U752" s="0"/>
      <x:c r="V752" s="0"/>
      <x:c r="W752" s="0"/>
      <x:c r="X752" t="str" s="2">
        <x:v>7274059505</x:v>
      </x:c>
      <x:c r="Y752" t="str" s="2">
        <x:v>7274059505</x:v>
      </x:c>
      <x:c r="Z752" s="6">
        <x:v>46267.99565744213</x:v>
      </x:c>
      <x:c r="AA752" t="str" s="2">
        <x:v>Trey Rixleben</x:v>
      </x:c>
      <x:c r="AB752" s="6">
        <x:v>46249.73960983796</x:v>
      </x:c>
      <x:c r="AC752" t="n" s="2">
        <x:v>39176</x:v>
      </x:c>
      <x:c r="AD752" s="0"/>
      <x:c r="AE752" s="0"/>
      <x:c r="AF752" s="0"/>
      <x:c r="AG752" s="0"/>
      <x:c r="AH752" s="0"/>
      <x:c r="AI752" s="0"/>
      <x:c r="AJ752" s="0"/>
      <x:c r="AK752" s="0"/>
    </x:row>
    <x:row r="753">
      <x:c r="A753" t="str" s="2">
        <x:f>=HYPERLINK("https://rsms.futurehomex.com/lead/39179", "Ginger Easley")</x:f>
      </x:c>
      <x:c r="B753" t="n" s="2">
        <x:v>59</x:v>
      </x:c>
      <x:c r="C753" t="str" s="2">
        <x:v>1/1</x:v>
      </x:c>
      <x:c r="D753" t="str" s="2">
        <x:f>=""</x:f>
      </x:c>
      <x:c r="E753" s="0"/>
      <x:c r="F753" t="str" s="2">
        <x:v>Facebook Messenger</x:v>
      </x:c>
      <x:c r="G753" t="str" s="2">
        <x:v>Heritage Housing of Oklahoma City</x:v>
      </x:c>
      <x:c r="H753" t="str" s="2">
        <x:v>Eva Misheva</x:v>
      </x:c>
      <x:c r="I753" s="0"/>
      <x:c r="J753" s="0"/>
      <x:c r="K753" t="n" s="2">
        <x:v>5</x:v>
      </x:c>
      <x:c r="L753" t="str" s="2">
        <x:v>1.1</x:v>
      </x:c>
      <x:c r="M753" t="str" s="2">
        <x:v>Tentative</x:v>
      </x:c>
      <x:c r="N753" t="str" s="2">
        <x:v>Prospect</x:v>
      </x:c>
      <x:c r="O753" s="0"/>
      <x:c r="P753" s="6">
        <x:v>46249</x:v>
      </x:c>
      <x:c r="Q753" s="6">
        <x:v>46249.762498344906</x:v>
      </x:c>
      <x:c r="R753" s="0"/>
      <x:c r="S753" s="6">
        <x:v>46249</x:v>
      </x:c>
      <x:c r="T753" s="0"/>
      <x:c r="U753" s="0"/>
      <x:c r="V753" s="0"/>
      <x:c r="W753" s="0"/>
      <x:c r="X753" t="str" s="2">
        <x:v>4052005419</x:v>
      </x:c>
      <x:c r="Y753" t="str" s="2">
        <x:v>4052005419</x:v>
      </x:c>
      <x:c r="Z753" s="6">
        <x:v>46285.851839814815</x:v>
      </x:c>
      <x:c r="AA753" t="str" s="2">
        <x:v>Eva Misheva</x:v>
      </x:c>
      <x:c r="AB753" s="6">
        <x:v>46249.762499537035</x:v>
      </x:c>
      <x:c r="AC753" t="n" s="2">
        <x:v>39179</x:v>
      </x:c>
      <x:c r="AD753" s="0"/>
      <x:c r="AE753" s="0"/>
      <x:c r="AF753" s="0"/>
      <x:c r="AG753" s="0"/>
      <x:c r="AH753" s="0"/>
      <x:c r="AI753" s="0"/>
      <x:c r="AJ753" s="0"/>
      <x:c r="AK753" s="0"/>
    </x:row>
    <x:row r="754">
      <x:c r="A754" t="str" s="2">
        <x:f>=HYPERLINK("https://rsms.futurehomex.com/lead/39181", "Kimberly Tabor")</x:f>
      </x:c>
      <x:c r="B754" t="n" s="2">
        <x:v>59</x:v>
      </x:c>
      <x:c r="C754" t="str" s="2">
        <x:v/>
      </x:c>
      <x:c r="D754" t="str" s="2">
        <x:f>=""</x:f>
      </x:c>
      <x:c r="E754" s="0"/>
      <x:c r="F754" t="str" s="2">
        <x:v>Facebook Messenger</x:v>
      </x:c>
      <x:c r="G754" t="str" s="2">
        <x:v>Heritage Housing of Oklahoma City</x:v>
      </x:c>
      <x:c r="H754" t="str" s="2">
        <x:v>Trey Rixleben</x:v>
      </x:c>
      <x:c r="I754" t="str" s="2">
        <x:v>Karol Romero</x:v>
      </x:c>
      <x:c r="J754" t="str" s="2">
        <x:v>Trey Rixleben</x:v>
      </x:c>
      <x:c r="K754" t="n" s="2">
        <x:v>5</x:v>
      </x:c>
      <x:c r="L754" t="str" s="2">
        <x:v>1.1</x:v>
      </x:c>
      <x:c r="M754" t="str" s="2">
        <x:v>Dead</x:v>
      </x:c>
      <x:c r="N754" t="str" s="2">
        <x:v>Deal Created</x:v>
      </x:c>
      <x:c r="O754" s="0"/>
      <x:c r="P754" s="6">
        <x:v>46249</x:v>
      </x:c>
      <x:c r="Q754" s="6">
        <x:v>46249.793711770835</x:v>
      </x:c>
      <x:c r="R754" s="0"/>
      <x:c r="S754" s="0"/>
      <x:c r="T754" s="0"/>
      <x:c r="U754" s="0"/>
      <x:c r="V754" s="0"/>
      <x:c r="W754" s="0"/>
      <x:c r="X754" t="str" s="2">
        <x:v>4056346444</x:v>
      </x:c>
      <x:c r="Y754" t="str" s="2">
        <x:v>4056346444</x:v>
      </x:c>
      <x:c r="Z754" s="6">
        <x:v>46249.79716292824</x:v>
      </x:c>
      <x:c r="AA754" t="str" s="2">
        <x:v>Trey Rixleben</x:v>
      </x:c>
      <x:c r="AB754" s="6">
        <x:v>46249.79371304398</x:v>
      </x:c>
      <x:c r="AC754" t="n" s="2">
        <x:v>39181</x:v>
      </x:c>
      <x:c r="AD754" s="0"/>
      <x:c r="AE754" s="0"/>
      <x:c r="AF754" s="0"/>
      <x:c r="AG754" s="0"/>
      <x:c r="AH754" s="0"/>
      <x:c r="AI754" s="0"/>
      <x:c r="AJ754" s="0"/>
      <x:c r="AK754" s="0"/>
    </x:row>
    <x:row r="755">
      <x:c r="A755" t="str" s="2">
        <x:f>=HYPERLINK("https://rsms.futurehomex.com/lead/39182", "Hector Carballo")</x:f>
      </x:c>
      <x:c r="B755" t="n" s="2">
        <x:v>59</x:v>
      </x:c>
      <x:c r="C755" t="str" s="2">
        <x:v>0/3</x:v>
      </x:c>
      <x:c r="D755" t="str" s="2">
        <x:f>="CASH"</x:f>
      </x:c>
      <x:c r="E755" t="str" s="2">
        <x:v>Gladys Carballo</x:v>
      </x:c>
      <x:c r="F755" t="str" s="2">
        <x:v>Referrals</x:v>
      </x:c>
      <x:c r="G755" t="str" s="2">
        <x:v>Legacy Housing Corp. DBA Americasa</x:v>
      </x:c>
      <x:c r="H755" t="str" s="2">
        <x:v>Jose Parada</x:v>
      </x:c>
      <x:c r="I755" t="str" s="2">
        <x:v>Karol Romero</x:v>
      </x:c>
      <x:c r="J755" t="str" s="2">
        <x:v>Jose Parada</x:v>
      </x:c>
      <x:c r="K755" t="n" s="2">
        <x:v>100</x:v>
      </x:c>
      <x:c r="L755" t="str" s="2">
        <x:v>6.2</x:v>
      </x:c>
      <x:c r="M755" t="str" s="2">
        <x:v>Closed</x:v>
      </x:c>
      <x:c r="N755" t="str" s="2">
        <x:v>Delivered</x:v>
      </x:c>
      <x:c r="O755" s="6">
        <x:v>46270</x:v>
      </x:c>
      <x:c r="P755" s="6">
        <x:v>46249</x:v>
      </x:c>
      <x:c r="Q755" s="6">
        <x:v>46279.782712465276</x:v>
      </x:c>
      <x:c r="R755" s="0"/>
      <x:c r="S755" s="6">
        <x:v>46249</x:v>
      </x:c>
      <x:c r="T755" s="0"/>
      <x:c r="U755" s="6">
        <x:v>46251</x:v>
      </x:c>
      <x:c r="V755" s="0"/>
      <x:c r="W755" s="6">
        <x:v>46276</x:v>
      </x:c>
      <x:c r="X755" t="str" s="2">
        <x:v>3464200384</x:v>
      </x:c>
      <x:c r="Y755" t="str" s="2">
        <x:v>carballoh82@gmail.com</x:v>
      </x:c>
      <x:c r="Z755" s="6">
        <x:v>46279.65068047454</x:v>
      </x:c>
      <x:c r="AA755" t="str" s="2">
        <x:v>Angelica Mendoza </x:v>
      </x:c>
      <x:c r="AB755" s="6">
        <x:v>46249.81297442129</x:v>
      </x:c>
      <x:c r="AC755" t="n" s="2">
        <x:v>39182</x:v>
      </x:c>
      <x:c r="AD755" t="str" s="2">
        <x:v>Doublewide</x:v>
      </x:c>
      <x:c r="AE755" s="0"/>
      <x:c r="AF755" s="0"/>
      <x:c r="AG755" s="7">
        <x:v>0</x:v>
      </x:c>
      <x:c r="AH755" s="7">
        <x:v>3000</x:v>
      </x:c>
      <x:c r="AI755" s="0"/>
      <x:c r="AJ755" s="0"/>
      <x:c r="AK755" t="str" s="6">
        <x:v>2026-09-18</x:v>
      </x:c>
    </x:row>
    <x:row r="756">
      <x:c r="A756" t="str" s="2">
        <x:f>=HYPERLINK("https://rsms.futurehomex.com/lead/39183", "Randy Breasell")</x:f>
      </x:c>
      <x:c r="B756" t="n" s="2">
        <x:v>59</x:v>
      </x:c>
      <x:c r="C756" t="str" s="2">
        <x:v>0/1</x:v>
      </x:c>
      <x:c r="D756" t="str" s="2">
        <x:f>=""</x:f>
      </x:c>
      <x:c r="E756" s="0"/>
      <x:c r="F756" t="str" s="2">
        <x:v>Walk-in</x:v>
      </x:c>
      <x:c r="G756" t="str" s="2">
        <x:v>Heritage Housing of Minden</x:v>
      </x:c>
      <x:c r="H756" t="str" s="2">
        <x:v>Patrick Schuchart</x:v>
      </x:c>
      <x:c r="I756" t="str" s="2">
        <x:v>Karol Romero</x:v>
      </x:c>
      <x:c r="J756" t="str" s="2">
        <x:v>Patrick Schuchart</x:v>
      </x:c>
      <x:c r="K756" t="n" s="2">
        <x:v>5</x:v>
      </x:c>
      <x:c r="L756" t="str" s="2">
        <x:v>1.1</x:v>
      </x:c>
      <x:c r="M756" t="str" s="2">
        <x:v>Tentative</x:v>
      </x:c>
      <x:c r="N756" t="str" s="2">
        <x:v>Deal Created</x:v>
      </x:c>
      <x:c r="O756" s="0"/>
      <x:c r="P756" s="6">
        <x:v>46249</x:v>
      </x:c>
      <x:c r="Q756" s="6">
        <x:v>46249.81523642361</x:v>
      </x:c>
      <x:c r="R756" s="0"/>
      <x:c r="S756" s="0"/>
      <x:c r="T756" s="0"/>
      <x:c r="U756" s="0"/>
      <x:c r="V756" s="0"/>
      <x:c r="W756" s="0"/>
      <x:c r="X756" t="str" s="2">
        <x:v>3184648086</x:v>
      </x:c>
      <x:c r="Y756" t="str" s="2">
        <x:v>3184648086</x:v>
      </x:c>
      <x:c r="Z756" s="6">
        <x:v>46290.9433034375</x:v>
      </x:c>
      <x:c r="AA756" t="str" s="2">
        <x:v>Patrick Schuchart</x:v>
      </x:c>
      <x:c r="AB756" s="6">
        <x:v>46249.81523784722</x:v>
      </x:c>
      <x:c r="AC756" t="n" s="2">
        <x:v>39183</x:v>
      </x:c>
      <x:c r="AD756" s="0"/>
      <x:c r="AE756" s="0"/>
      <x:c r="AF756" s="0"/>
      <x:c r="AG756" s="0"/>
      <x:c r="AH756" s="0"/>
      <x:c r="AI756" s="0"/>
      <x:c r="AJ756" s="0"/>
      <x:c r="AK756" s="0"/>
    </x:row>
    <x:row r="757">
      <x:c r="A757" t="str" s="2">
        <x:f>=HYPERLINK("https://rsms.futurehomex.com/lead/39184", "Donald Sherlin")</x:f>
      </x:c>
      <x:c r="B757" t="n" s="2">
        <x:v>59</x:v>
      </x:c>
      <x:c r="C757" t="str" s="2">
        <x:v>0/2</x:v>
      </x:c>
      <x:c r="D757" t="str" s="2">
        <x:f>=""</x:f>
      </x:c>
      <x:c r="E757" s="0"/>
      <x:c r="F757" t="str" s="2">
        <x:v>Financing Form</x:v>
      </x:c>
      <x:c r="G757" t="str" s="2">
        <x:v>Heritage Housing of Oklahoma City</x:v>
      </x:c>
      <x:c r="H757" t="str" s="2">
        <x:v>Steve Castell</x:v>
      </x:c>
      <x:c r="I757" s="0"/>
      <x:c r="J757" s="0"/>
      <x:c r="K757" t="n" s="2">
        <x:v>5</x:v>
      </x:c>
      <x:c r="L757" t="str" s="2">
        <x:v>1.1</x:v>
      </x:c>
      <x:c r="M757" t="str" s="2">
        <x:v>Dead</x:v>
      </x:c>
      <x:c r="N757" t="str" s="2">
        <x:v>Prospect</x:v>
      </x:c>
      <x:c r="O757" s="0"/>
      <x:c r="P757" s="6">
        <x:v>46249</x:v>
      </x:c>
      <x:c r="Q757" s="6">
        <x:v>46249.86540991898</x:v>
      </x:c>
      <x:c r="R757" s="0"/>
      <x:c r="S757" s="6">
        <x:v>46250</x:v>
      </x:c>
      <x:c r="T757" s="0"/>
      <x:c r="U757" s="0"/>
      <x:c r="V757" s="0"/>
      <x:c r="W757" s="0"/>
      <x:c r="X757" t="str" s="2">
        <x:v>5807990663</x:v>
      </x:c>
      <x:c r="Y757" t="str" s="2">
        <x:v>mistisherlin@yahoo.com</x:v>
      </x:c>
      <x:c r="Z757" s="6">
        <x:v>46291.8058346875</x:v>
      </x:c>
      <x:c r="AA757" t="str" s="2">
        <x:v>Steve Castell</x:v>
      </x:c>
      <x:c r="AB757" s="6">
        <x:v>46249.8198866088</x:v>
      </x:c>
      <x:c r="AC757" t="n" s="2">
        <x:v>39184</x:v>
      </x:c>
      <x:c r="AD757" s="0"/>
      <x:c r="AE757" s="0"/>
      <x:c r="AF757" s="0"/>
      <x:c r="AG757" s="0"/>
      <x:c r="AH757" s="0"/>
      <x:c r="AI757" s="0"/>
      <x:c r="AJ757" s="0"/>
      <x:c r="AK757" s="0"/>
    </x:row>
    <x:row r="758">
      <x:c r="A758" t="str" s="2">
        <x:f>=HYPERLINK("https://rsms.futurehomex.com/lead/39185", "Erika Ramirez")</x:f>
      </x:c>
      <x:c r="B758" t="n" s="2">
        <x:v>59</x:v>
      </x:c>
      <x:c r="C758" t="str" s="2">
        <x:v>0/3</x:v>
      </x:c>
      <x:c r="D758" t="str" s="2">
        <x:f>=""</x:f>
      </x:c>
      <x:c r="E758" s="0"/>
      <x:c r="F758" t="str" s="2">
        <x:v>Website</x:v>
      </x:c>
      <x:c r="G758" t="str" s="2">
        <x:v>Legacy Housing Corp. DBA Americasa</x:v>
      </x:c>
      <x:c r="H758" t="str" s="2">
        <x:v>Jose Parada</x:v>
      </x:c>
      <x:c r="I758" t="str" s="2">
        <x:v>Karol Romero</x:v>
      </x:c>
      <x:c r="J758" s="0"/>
      <x:c r="K758" t="n" s="2">
        <x:v>5</x:v>
      </x:c>
      <x:c r="L758" t="str" s="2">
        <x:v>1.1</x:v>
      </x:c>
      <x:c r="M758" t="str" s="2">
        <x:v>Inactive</x:v>
      </x:c>
      <x:c r="N758" t="str" s="2">
        <x:v>Prospect</x:v>
      </x:c>
      <x:c r="O758" s="0"/>
      <x:c r="P758" s="6">
        <x:v>46249</x:v>
      </x:c>
      <x:c r="Q758" s="6">
        <x:v>46249.820726655096</x:v>
      </x:c>
      <x:c r="R758" s="0"/>
      <x:c r="S758" s="6">
        <x:v>46249</x:v>
      </x:c>
      <x:c r="T758" s="0"/>
      <x:c r="U758" s="0"/>
      <x:c r="V758" s="0"/>
      <x:c r="W758" s="0"/>
      <x:c r="X758" t="str" s="2">
        <x:v>7134806710</x:v>
      </x:c>
      <x:c r="Y758" t="str" s="2">
        <x:v>eliascerda34@gmail.com</x:v>
      </x:c>
      <x:c r="Z758" s="6">
        <x:v>46288.763436608795</x:v>
      </x:c>
      <x:c r="AA758" t="str" s="2">
        <x:v>Jose Parada</x:v>
      </x:c>
      <x:c r="AB758" s="6">
        <x:v>46249.82072762732</x:v>
      </x:c>
      <x:c r="AC758" t="n" s="2">
        <x:v>39185</x:v>
      </x:c>
      <x:c r="AD758" s="0"/>
      <x:c r="AE758" s="0"/>
      <x:c r="AF758" s="0"/>
      <x:c r="AG758" s="0"/>
      <x:c r="AH758" s="0"/>
      <x:c r="AI758" s="0"/>
      <x:c r="AJ758" s="0"/>
      <x:c r="AK758" s="0"/>
    </x:row>
    <x:row r="759">
      <x:c r="A759" t="str" s="2">
        <x:f>=HYPERLINK("https://rsms.futurehomex.com/lead/39186", "Shane Edwards")</x:f>
      </x:c>
      <x:c r="B759" t="n" s="2">
        <x:v>59</x:v>
      </x:c>
      <x:c r="C759" t="str" s="2">
        <x:v/>
      </x:c>
      <x:c r="D759" t="str" s="2">
        <x:f>=""</x:f>
      </x:c>
      <x:c r="E759" s="0"/>
      <x:c r="F759" t="str" s="2">
        <x:v>Facebook Messenger</x:v>
      </x:c>
      <x:c r="G759" t="str" s="2">
        <x:v>Heritage Housing of Oklahoma City</x:v>
      </x:c>
      <x:c r="H759" t="str" s="2">
        <x:v>Trey Rixleben</x:v>
      </x:c>
      <x:c r="I759" s="0"/>
      <x:c r="J759" s="0"/>
      <x:c r="K759" t="n" s="2">
        <x:v>5</x:v>
      </x:c>
      <x:c r="L759" t="str" s="2">
        <x:v>1.1</x:v>
      </x:c>
      <x:c r="M759" t="str" s="2">
        <x:v>Dead</x:v>
      </x:c>
      <x:c r="N759" t="str" s="2">
        <x:v>Deal Created</x:v>
      </x:c>
      <x:c r="O759" s="0"/>
      <x:c r="P759" s="6">
        <x:v>46249</x:v>
      </x:c>
      <x:c r="Q759" s="6">
        <x:v>46249.83142607639</x:v>
      </x:c>
      <x:c r="R759" s="0"/>
      <x:c r="S759" s="6">
        <x:v>46249</x:v>
      </x:c>
      <x:c r="T759" s="0"/>
      <x:c r="U759" s="0"/>
      <x:c r="V759" s="0"/>
      <x:c r="W759" s="0"/>
      <x:c r="X759" t="str" s="2">
        <x:v>5722428616</x:v>
      </x:c>
      <x:c r="Y759" t="str" s="2">
        <x:v>theedwards3237@yahoo.com</x:v>
      </x:c>
      <x:c r="Z759" s="6">
        <x:v>46249.83588515046</x:v>
      </x:c>
      <x:c r="AA759" t="str" s="2">
        <x:v>Trey Rixleben</x:v>
      </x:c>
      <x:c r="AB759" s="6">
        <x:v>46249.83142731481</x:v>
      </x:c>
      <x:c r="AC759" t="n" s="2">
        <x:v>39186</x:v>
      </x:c>
      <x:c r="AD759" s="0"/>
      <x:c r="AE759" s="0"/>
      <x:c r="AF759" s="0"/>
      <x:c r="AG759" s="0"/>
      <x:c r="AH759" s="0"/>
      <x:c r="AI759" s="0"/>
      <x:c r="AJ759" s="0"/>
      <x:c r="AK759" s="0"/>
    </x:row>
    <x:row r="760">
      <x:c r="A760" t="str" s="2">
        <x:f>=HYPERLINK("https://rsms.futurehomex.com/lead/39187", "Carl Clark")</x:f>
      </x:c>
      <x:c r="B760" t="n" s="2">
        <x:v>59</x:v>
      </x:c>
      <x:c r="C760" t="str" s="2">
        <x:v/>
      </x:c>
      <x:c r="D760" t="str" s="2">
        <x:f>=""</x:f>
      </x:c>
      <x:c r="E760" s="0"/>
      <x:c r="F760" t="str" s="2">
        <x:v>Walk-in</x:v>
      </x:c>
      <x:c r="G760" t="str" s="2">
        <x:v>Heritage Housing of Augusta</x:v>
      </x:c>
      <x:c r="H760" t="str" s="2">
        <x:v>Jennifer Johnson</x:v>
      </x:c>
      <x:c r="I760" t="str" s="2">
        <x:v>Karol Romero</x:v>
      </x:c>
      <x:c r="J760" t="str" s="2">
        <x:v>Jennifer Johnson</x:v>
      </x:c>
      <x:c r="K760" t="n" s="2">
        <x:v>5</x:v>
      </x:c>
      <x:c r="L760" t="str" s="2">
        <x:v>1.1</x:v>
      </x:c>
      <x:c r="M760" t="str" s="2">
        <x:v>Tentative</x:v>
      </x:c>
      <x:c r="N760" t="str" s="2">
        <x:v>Deal Created</x:v>
      </x:c>
      <x:c r="O760" s="0"/>
      <x:c r="P760" s="6">
        <x:v>46249</x:v>
      </x:c>
      <x:c r="Q760" s="6">
        <x:v>46249.86045355324</x:v>
      </x:c>
      <x:c r="R760" s="0"/>
      <x:c r="S760" s="0"/>
      <x:c r="T760" s="0"/>
      <x:c r="U760" s="0"/>
      <x:c r="V760" s="0"/>
      <x:c r="W760" s="0"/>
      <x:c r="X760" t="str" s="2">
        <x:v>8133941603</x:v>
      </x:c>
      <x:c r="Y760" t="str" s="2">
        <x:v>carlc0209@gmail.com</x:v>
      </x:c>
      <x:c r="Z760" s="0"/>
      <x:c r="AA760" s="0"/>
      <x:c r="AB760" s="6">
        <x:v>46249.860455092596</x:v>
      </x:c>
      <x:c r="AC760" t="n" s="2">
        <x:v>39187</x:v>
      </x:c>
      <x:c r="AD760" s="0"/>
      <x:c r="AE760" s="0"/>
      <x:c r="AF760" s="0"/>
      <x:c r="AG760" s="0"/>
      <x:c r="AH760" s="0"/>
      <x:c r="AI760" s="0"/>
      <x:c r="AJ760" s="0"/>
      <x:c r="AK760" s="0"/>
    </x:row>
    <x:row r="761">
      <x:c r="A761" t="str" s="2">
        <x:f>=HYPERLINK("https://rsms.futurehomex.com/lead/39189", "Phillip Mc Gill")</x:f>
      </x:c>
      <x:c r="B761" t="n" s="2">
        <x:v>59</x:v>
      </x:c>
      <x:c r="C761" t="str" s="2">
        <x:v/>
      </x:c>
      <x:c r="D761" t="str" s="2">
        <x:f>=""</x:f>
      </x:c>
      <x:c r="E761" s="0"/>
      <x:c r="F761" t="str" s="2">
        <x:v>Referrals</x:v>
      </x:c>
      <x:c r="G761" t="str" s="2">
        <x:v>Heritage Housing Mt Pleasant</x:v>
      </x:c>
      <x:c r="H761" t="str" s="2">
        <x:v>Yarelis Torres</x:v>
      </x:c>
      <x:c r="I761" s="0"/>
      <x:c r="J761" t="str" s="2">
        <x:v>Yarelis Torres</x:v>
      </x:c>
      <x:c r="K761" t="n" s="2">
        <x:v>5</x:v>
      </x:c>
      <x:c r="L761" t="str" s="2">
        <x:v>1.1</x:v>
      </x:c>
      <x:c r="M761" t="str" s="2">
        <x:v>Tentative</x:v>
      </x:c>
      <x:c r="N761" t="str" s="2">
        <x:v>Deal Created</x:v>
      </x:c>
      <x:c r="O761" s="0"/>
      <x:c r="P761" s="6">
        <x:v>46249</x:v>
      </x:c>
      <x:c r="Q761" s="6">
        <x:v>46249.96164903935</x:v>
      </x:c>
      <x:c r="R761" s="0"/>
      <x:c r="S761" s="0"/>
      <x:c r="T761" s="0"/>
      <x:c r="U761" s="0"/>
      <x:c r="V761" s="0"/>
      <x:c r="W761" s="0"/>
      <x:c r="X761" t="str" s="2">
        <x:v>8177170878</x:v>
      </x:c>
      <x:c r="Y761" t="str" s="2">
        <x:v>8177170878</x:v>
      </x:c>
      <x:c r="Z761" s="6">
        <x:v>46251.72655320602</x:v>
      </x:c>
      <x:c r="AA761" t="str" s="2">
        <x:v>Yarelis Torres</x:v>
      </x:c>
      <x:c r="AB761" s="6">
        <x:v>46249.9616502662</x:v>
      </x:c>
      <x:c r="AC761" t="n" s="2">
        <x:v>39189</x:v>
      </x:c>
      <x:c r="AD761" s="0"/>
      <x:c r="AE761" s="0"/>
      <x:c r="AF761" s="0"/>
      <x:c r="AG761" s="0"/>
      <x:c r="AH761" s="0"/>
      <x:c r="AI761" s="0"/>
      <x:c r="AJ761" s="0"/>
      <x:c r="AK761" s="0"/>
    </x:row>
    <x:row r="762">
      <x:c r="A762" t="str" s="2">
        <x:f>=HYPERLINK("https://rsms.futurehomex.com/lead/39190", "Ashley Brandon")</x:f>
      </x:c>
      <x:c r="B762" t="n" s="2">
        <x:v>59</x:v>
      </x:c>
      <x:c r="C762" t="str" s="2">
        <x:v/>
      </x:c>
      <x:c r="D762" t="str" s="2">
        <x:f>=""</x:f>
      </x:c>
      <x:c r="E762" s="0"/>
      <x:c r="F762" t="str" s="2">
        <x:v>Referrals</x:v>
      </x:c>
      <x:c r="G762" t="str" s="2">
        <x:v>Heritage Housing Mt Pleasant</x:v>
      </x:c>
      <x:c r="H762" t="str" s="2">
        <x:v>Yarelis Torres</x:v>
      </x:c>
      <x:c r="I762" s="0"/>
      <x:c r="J762" t="str" s="2">
        <x:v>Yarelis Torres</x:v>
      </x:c>
      <x:c r="K762" t="n" s="2">
        <x:v>5</x:v>
      </x:c>
      <x:c r="L762" t="str" s="2">
        <x:v>1.1</x:v>
      </x:c>
      <x:c r="M762" t="str" s="2">
        <x:v>Tentative</x:v>
      </x:c>
      <x:c r="N762" t="str" s="2">
        <x:v>Deal Created</x:v>
      </x:c>
      <x:c r="O762" s="0"/>
      <x:c r="P762" s="6">
        <x:v>46249</x:v>
      </x:c>
      <x:c r="Q762" s="6">
        <x:v>46249.964950381946</x:v>
      </x:c>
      <x:c r="R762" s="0"/>
      <x:c r="S762" s="0"/>
      <x:c r="T762" s="0"/>
      <x:c r="U762" s="0"/>
      <x:c r="V762" s="0"/>
      <x:c r="W762" s="0"/>
      <x:c r="X762" t="str" s="2">
        <x:v>8324070671</x:v>
      </x:c>
      <x:c r="Y762" t="str" s="2">
        <x:v>8324070671</x:v>
      </x:c>
      <x:c r="Z762" s="6">
        <x:v>46251.72695616898</x:v>
      </x:c>
      <x:c r="AA762" t="str" s="2">
        <x:v>Yarelis Torres</x:v>
      </x:c>
      <x:c r="AB762" s="6">
        <x:v>46249.96495228009</x:v>
      </x:c>
      <x:c r="AC762" t="n" s="2">
        <x:v>39190</x:v>
      </x:c>
      <x:c r="AD762" s="0"/>
      <x:c r="AE762" s="0"/>
      <x:c r="AF762" s="0"/>
      <x:c r="AG762" s="0"/>
      <x:c r="AH762" s="0"/>
      <x:c r="AI762" s="0"/>
      <x:c r="AJ762" s="0"/>
      <x:c r="AK762" s="0"/>
    </x:row>
    <x:row r="763">
      <x:c r="A763" t="str" s="2">
        <x:f>=HYPERLINK("https://rsms.futurehomex.com/lead/39193", "Josh Tilson")</x:f>
      </x:c>
      <x:c r="B763" t="n" s="2">
        <x:v>58</x:v>
      </x:c>
      <x:c r="C763" t="str" s="2">
        <x:v/>
      </x:c>
      <x:c r="D763" t="str" s="2">
        <x:f>=""</x:f>
      </x:c>
      <x:c r="E763" s="0"/>
      <x:c r="F763" t="str" s="2">
        <x:v>Facebook Messenger</x:v>
      </x:c>
      <x:c r="G763" t="str" s="2">
        <x:v>Heritage Housing of Greenville</x:v>
      </x:c>
      <x:c r="H763" t="str" s="2">
        <x:v>Brooklynn Allen</x:v>
      </x:c>
      <x:c r="I763" s="0"/>
      <x:c r="J763" t="str" s="2">
        <x:v>Brooklynn Allen</x:v>
      </x:c>
      <x:c r="K763" t="n" s="2">
        <x:v>5</x:v>
      </x:c>
      <x:c r="L763" t="str" s="2">
        <x:v>1.1</x:v>
      </x:c>
      <x:c r="M763" t="str" s="2">
        <x:v>Dead</x:v>
      </x:c>
      <x:c r="N763" t="str" s="2">
        <x:v>Prospect</x:v>
      </x:c>
      <x:c r="O763" s="0"/>
      <x:c r="P763" s="6">
        <x:v>46250</x:v>
      </x:c>
      <x:c r="Q763" s="6">
        <x:v>46250.82563726852</x:v>
      </x:c>
      <x:c r="R763" s="0"/>
      <x:c r="S763" s="6">
        <x:v>46250</x:v>
      </x:c>
      <x:c r="T763" s="0"/>
      <x:c r="U763" s="0"/>
      <x:c r="V763" s="0"/>
      <x:c r="W763" s="0"/>
      <x:c r="X763" t="str" s="2">
        <x:v>4024995175</x:v>
      </x:c>
      <x:c r="Y763" t="str" s="2">
        <x:v>Orangemonster419@yahoo.com</x:v>
      </x:c>
      <x:c r="Z763" s="0"/>
      <x:c r="AA763" s="0"/>
      <x:c r="AB763" s="6">
        <x:v>46250.78790697917</x:v>
      </x:c>
      <x:c r="AC763" t="n" s="2">
        <x:v>39193</x:v>
      </x:c>
      <x:c r="AD763" s="0"/>
      <x:c r="AE763" s="0"/>
      <x:c r="AF763" s="0"/>
      <x:c r="AG763" s="7">
        <x:v>7000</x:v>
      </x:c>
      <x:c r="AH763" s="0"/>
      <x:c r="AI763" t="str" s="2">
        <x:v>630</x:v>
      </x:c>
      <x:c r="AJ763" s="0"/>
      <x:c r="AK763" s="0"/>
    </x:row>
    <x:row r="764">
      <x:c r="A764" t="str" s="2">
        <x:f>=HYPERLINK("https://rsms.futurehomex.com/lead/39194", "Syprena Ledesma")</x:f>
      </x:c>
      <x:c r="B764" t="n" s="2">
        <x:v>58</x:v>
      </x:c>
      <x:c r="C764" t="str" s="2">
        <x:v/>
      </x:c>
      <x:c r="D764" t="str" s="2">
        <x:f>=""</x:f>
      </x:c>
      <x:c r="E764" s="0"/>
      <x:c r="F764" t="str" s="2">
        <x:v>Meta Marketplace</x:v>
      </x:c>
      <x:c r="G764" t="str" s="2">
        <x:v>Heritage Housing Mt Pleasant</x:v>
      </x:c>
      <x:c r="H764" t="str" s="2">
        <x:v>Elias Gallardo</x:v>
      </x:c>
      <x:c r="I764" s="0"/>
      <x:c r="J764" t="str" s="2">
        <x:v>Elias Gallardo</x:v>
      </x:c>
      <x:c r="K764" t="n" s="2">
        <x:v>5</x:v>
      </x:c>
      <x:c r="L764" t="str" s="2">
        <x:v>1.1</x:v>
      </x:c>
      <x:c r="M764" t="str" s="2">
        <x:v>Active</x:v>
      </x:c>
      <x:c r="N764" t="str" s="2">
        <x:v>Deal Created</x:v>
      </x:c>
      <x:c r="O764" s="0"/>
      <x:c r="P764" s="6">
        <x:v>46250</x:v>
      </x:c>
      <x:c r="Q764" s="6">
        <x:v>46250.846939386574</x:v>
      </x:c>
      <x:c r="R764" s="0"/>
      <x:c r="S764" s="6">
        <x:v>46250</x:v>
      </x:c>
      <x:c r="T764" s="0"/>
      <x:c r="U764" s="0"/>
      <x:c r="V764" s="0"/>
      <x:c r="W764" s="0"/>
      <x:c r="X764" t="str" s="2">
        <x:v>9033058764</x:v>
      </x:c>
      <x:c r="Y764" t="str" s="2">
        <x:v>9033058764</x:v>
      </x:c>
      <x:c r="Z764" s="6">
        <x:v>46250.858297997685</x:v>
      </x:c>
      <x:c r="AA764" t="str" s="2">
        <x:v>Elias Gallardo</x:v>
      </x:c>
      <x:c r="AB764" s="6">
        <x:v>46250.846940625</x:v>
      </x:c>
      <x:c r="AC764" t="n" s="2">
        <x:v>39194</x:v>
      </x:c>
      <x:c r="AD764" s="0"/>
      <x:c r="AE764" s="0"/>
      <x:c r="AF764" s="0"/>
      <x:c r="AG764" s="0"/>
      <x:c r="AH764" s="0"/>
      <x:c r="AI764" s="0"/>
      <x:c r="AJ764" s="0"/>
      <x:c r="AK764" s="0"/>
    </x:row>
    <x:row r="765">
      <x:c r="A765" t="str" s="2">
        <x:f>=HYPERLINK("https://rsms.futurehomex.com/lead/39195", "Cassie Treadway")</x:f>
      </x:c>
      <x:c r="B765" t="n" s="2">
        <x:v>58</x:v>
      </x:c>
      <x:c r="C765" t="str" s="2">
        <x:v/>
      </x:c>
      <x:c r="D765" t="str" s="2">
        <x:f>=""</x:f>
      </x:c>
      <x:c r="E765" s="0"/>
      <x:c r="F765" t="str" s="2">
        <x:v>Meta Marketplace</x:v>
      </x:c>
      <x:c r="G765" t="str" s="2">
        <x:v>Heritage Housing Mt Pleasant</x:v>
      </x:c>
      <x:c r="H765" t="str" s="2">
        <x:v>Elias Gallardo</x:v>
      </x:c>
      <x:c r="I765" s="0"/>
      <x:c r="J765" t="str" s="2">
        <x:v>Elias Gallardo</x:v>
      </x:c>
      <x:c r="K765" t="n" s="2">
        <x:v>5</x:v>
      </x:c>
      <x:c r="L765" t="str" s="2">
        <x:v>1.1</x:v>
      </x:c>
      <x:c r="M765" t="str" s="2">
        <x:v>Active</x:v>
      </x:c>
      <x:c r="N765" t="str" s="2">
        <x:v>Deal Created</x:v>
      </x:c>
      <x:c r="O765" s="0"/>
      <x:c r="P765" s="6">
        <x:v>46250</x:v>
      </x:c>
      <x:c r="Q765" s="6">
        <x:v>46250.8596221875</x:v>
      </x:c>
      <x:c r="R765" s="0"/>
      <x:c r="S765" s="0"/>
      <x:c r="T765" s="0"/>
      <x:c r="U765" s="0"/>
      <x:c r="V765" s="0"/>
      <x:c r="W765" s="0"/>
      <x:c r="X765" t="str" s="2">
        <x:v>9039750710</x:v>
      </x:c>
      <x:c r="Y765" t="str" s="2">
        <x:v>9039750710</x:v>
      </x:c>
      <x:c r="Z765" s="6">
        <x:v>46250.86087758102</x:v>
      </x:c>
      <x:c r="AA765" t="str" s="2">
        <x:v>Elias Gallardo</x:v>
      </x:c>
      <x:c r="AB765" s="6">
        <x:v>46250.85962337963</x:v>
      </x:c>
      <x:c r="AC765" t="n" s="2">
        <x:v>39195</x:v>
      </x:c>
      <x:c r="AD765" s="0"/>
      <x:c r="AE765" s="0"/>
      <x:c r="AF765" s="0"/>
      <x:c r="AG765" s="0"/>
      <x:c r="AH765" s="0"/>
      <x:c r="AI765" s="0"/>
      <x:c r="AJ765" s="0"/>
      <x:c r="AK765" s="0"/>
    </x:row>
    <x:row r="766">
      <x:c r="A766" t="str" s="2">
        <x:f>=HYPERLINK("https://rsms.futurehomex.com/lead/39196", "Anthony Aldana")</x:f>
      </x:c>
      <x:c r="B766" t="n" s="2">
        <x:v>58</x:v>
      </x:c>
      <x:c r="C766" t="str" s="2">
        <x:v/>
      </x:c>
      <x:c r="D766" t="str" s="2">
        <x:f>=""</x:f>
      </x:c>
      <x:c r="E766" s="0"/>
      <x:c r="F766" t="str" s="2">
        <x:v>Meta Marketplace</x:v>
      </x:c>
      <x:c r="G766" t="str" s="2">
        <x:v>Heritage Housing Mt Pleasant</x:v>
      </x:c>
      <x:c r="H766" t="str" s="2">
        <x:v>Elias Gallardo</x:v>
      </x:c>
      <x:c r="I766" s="0"/>
      <x:c r="J766" t="str" s="2">
        <x:v>Elias Gallardo</x:v>
      </x:c>
      <x:c r="K766" t="n" s="2">
        <x:v>5</x:v>
      </x:c>
      <x:c r="L766" t="str" s="2">
        <x:v>1.1</x:v>
      </x:c>
      <x:c r="M766" t="str" s="2">
        <x:v>Active</x:v>
      </x:c>
      <x:c r="N766" t="str" s="2">
        <x:v>Deal Created</x:v>
      </x:c>
      <x:c r="O766" s="0"/>
      <x:c r="P766" s="6">
        <x:v>46250</x:v>
      </x:c>
      <x:c r="Q766" s="6">
        <x:v>46250.86154690972</x:v>
      </x:c>
      <x:c r="R766" s="0"/>
      <x:c r="S766" s="6">
        <x:v>46250</x:v>
      </x:c>
      <x:c r="T766" s="0"/>
      <x:c r="U766" s="0"/>
      <x:c r="V766" s="0"/>
      <x:c r="W766" s="0"/>
      <x:c r="X766" t="str" s="2">
        <x:v>9032747172</x:v>
      </x:c>
      <x:c r="Y766" t="str" s="2">
        <x:v>9032747172</x:v>
      </x:c>
      <x:c r="Z766" s="6">
        <x:v>46250.8629315162</x:v>
      </x:c>
      <x:c r="AA766" t="str" s="2">
        <x:v>Elias Gallardo</x:v>
      </x:c>
      <x:c r="AB766" s="6">
        <x:v>46250.86154826389</x:v>
      </x:c>
      <x:c r="AC766" t="n" s="2">
        <x:v>39196</x:v>
      </x:c>
      <x:c r="AD766" s="0"/>
      <x:c r="AE766" s="0"/>
      <x:c r="AF766" s="0"/>
      <x:c r="AG766" s="0"/>
      <x:c r="AH766" s="0"/>
      <x:c r="AI766" s="0"/>
      <x:c r="AJ766" s="0"/>
      <x:c r="AK766" s="0"/>
    </x:row>
    <x:row r="767">
      <x:c r="A767" t="str" s="2">
        <x:f>=HYPERLINK("https://rsms.futurehomex.com/lead/39197", "Anthony Tainte")</x:f>
      </x:c>
      <x:c r="B767" t="n" s="2">
        <x:v>58</x:v>
      </x:c>
      <x:c r="C767" t="str" s="2">
        <x:v>0/1</x:v>
      </x:c>
      <x:c r="D767" t="str" s="2">
        <x:f>=""</x:f>
      </x:c>
      <x:c r="E767" s="0"/>
      <x:c r="F767" t="str" s="2">
        <x:v>Facebook Messenger</x:v>
      </x:c>
      <x:c r="G767" t="str" s="2">
        <x:v>Heritage Housing of Oklahoma City</x:v>
      </x:c>
      <x:c r="H767" t="str" s="2">
        <x:v>Eva Misheva</x:v>
      </x:c>
      <x:c r="I767" s="0"/>
      <x:c r="J767" s="0"/>
      <x:c r="K767" t="n" s="2">
        <x:v>5</x:v>
      </x:c>
      <x:c r="L767" t="str" s="2">
        <x:v>1.1</x:v>
      </x:c>
      <x:c r="M767" t="str" s="2">
        <x:v>Dead</x:v>
      </x:c>
      <x:c r="N767" t="str" s="2">
        <x:v>Prospect</x:v>
      </x:c>
      <x:c r="O767" s="0"/>
      <x:c r="P767" s="6">
        <x:v>46250</x:v>
      </x:c>
      <x:c r="Q767" s="6">
        <x:v>46250.91102947917</x:v>
      </x:c>
      <x:c r="R767" s="0"/>
      <x:c r="S767" s="0"/>
      <x:c r="T767" s="0"/>
      <x:c r="U767" s="0"/>
      <x:c r="V767" s="0"/>
      <x:c r="W767" s="0"/>
      <x:c r="X767" t="str" s="2">
        <x:v>6362330575</x:v>
      </x:c>
      <x:c r="Y767" t="str" s="2">
        <x:v>6362330575</x:v>
      </x:c>
      <x:c r="Z767" s="6">
        <x:v>46292.93751542824</x:v>
      </x:c>
      <x:c r="AA767" t="str" s="2">
        <x:v>Eva Misheva</x:v>
      </x:c>
      <x:c r="AB767" s="6">
        <x:v>46250.91103070602</x:v>
      </x:c>
      <x:c r="AC767" t="n" s="2">
        <x:v>39197</x:v>
      </x:c>
      <x:c r="AD767" s="0"/>
      <x:c r="AE767" s="0"/>
      <x:c r="AF767" s="0"/>
      <x:c r="AG767" s="0"/>
      <x:c r="AH767" s="0"/>
      <x:c r="AI767" s="0"/>
      <x:c r="AJ767" s="0"/>
      <x:c r="AK767" s="0"/>
    </x:row>
    <x:row r="768">
      <x:c r="A768" t="str" s="2">
        <x:f>=HYPERLINK("https://rsms.futurehomex.com/lead/39198", "Virgil Lohman")</x:f>
      </x:c>
      <x:c r="B768" t="n" s="2">
        <x:v>58</x:v>
      </x:c>
      <x:c r="C768" t="str" s="2">
        <x:v>1/1</x:v>
      </x:c>
      <x:c r="D768" t="str" s="2">
        <x:f>=""</x:f>
      </x:c>
      <x:c r="E768" s="0"/>
      <x:c r="F768" t="str" s="2">
        <x:v>Facebook Messenger</x:v>
      </x:c>
      <x:c r="G768" t="str" s="2">
        <x:v>Heritage Housing of Oklahoma City</x:v>
      </x:c>
      <x:c r="H768" t="str" s="2">
        <x:v>Eva Misheva</x:v>
      </x:c>
      <x:c r="I768" s="0"/>
      <x:c r="J768" s="0"/>
      <x:c r="K768" t="n" s="2">
        <x:v>5</x:v>
      </x:c>
      <x:c r="L768" t="str" s="2">
        <x:v>1.1</x:v>
      </x:c>
      <x:c r="M768" t="str" s="2">
        <x:v>Tentative</x:v>
      </x:c>
      <x:c r="N768" t="str" s="2">
        <x:v>Prospect</x:v>
      </x:c>
      <x:c r="O768" s="0"/>
      <x:c r="P768" s="6">
        <x:v>46250</x:v>
      </x:c>
      <x:c r="Q768" s="6">
        <x:v>46250.91380015046</x:v>
      </x:c>
      <x:c r="R768" s="0"/>
      <x:c r="S768" s="6">
        <x:v>46250</x:v>
      </x:c>
      <x:c r="T768" s="0"/>
      <x:c r="U768" s="0"/>
      <x:c r="V768" s="0"/>
      <x:c r="W768" s="0"/>
      <x:c r="X768" t="str" s="2">
        <x:v>4052362363</x:v>
      </x:c>
      <x:c r="Y768" t="str" s="2">
        <x:v>4052362363</x:v>
      </x:c>
      <x:c r="Z768" s="6">
        <x:v>46292.92486767361</x:v>
      </x:c>
      <x:c r="AA768" t="str" s="2">
        <x:v>Eva Misheva</x:v>
      </x:c>
      <x:c r="AB768" s="6">
        <x:v>46250.91380173611</x:v>
      </x:c>
      <x:c r="AC768" t="n" s="2">
        <x:v>39198</x:v>
      </x:c>
      <x:c r="AD768" s="0"/>
      <x:c r="AE768" s="0"/>
      <x:c r="AF768" s="0"/>
      <x:c r="AG768" s="0"/>
      <x:c r="AH768" s="0"/>
      <x:c r="AI768" s="0"/>
      <x:c r="AJ768" s="0"/>
      <x:c r="AK768" s="0"/>
    </x:row>
    <x:row r="769">
      <x:c r="A769" t="str" s="2">
        <x:f>=HYPERLINK("https://rsms.futurehomex.com/lead/39199", "Yvonne Tamano")</x:f>
      </x:c>
      <x:c r="B769" t="n" s="2">
        <x:v>58</x:v>
      </x:c>
      <x:c r="C769" t="str" s="2">
        <x:v>1/1</x:v>
      </x:c>
      <x:c r="D769" t="str" s="2">
        <x:f>=""</x:f>
      </x:c>
      <x:c r="E769" s="0"/>
      <x:c r="F769" t="str" s="2">
        <x:v>Facebook Messenger</x:v>
      </x:c>
      <x:c r="G769" t="str" s="2">
        <x:v>Heritage Housing of Oklahoma City</x:v>
      </x:c>
      <x:c r="H769" t="str" s="2">
        <x:v>Eva Misheva</x:v>
      </x:c>
      <x:c r="I769" s="0"/>
      <x:c r="J769" s="0"/>
      <x:c r="K769" t="n" s="2">
        <x:v>5</x:v>
      </x:c>
      <x:c r="L769" t="str" s="2">
        <x:v>1.1</x:v>
      </x:c>
      <x:c r="M769" t="str" s="2">
        <x:v>Tentative</x:v>
      </x:c>
      <x:c r="N769" t="str" s="2">
        <x:v>Prospect</x:v>
      </x:c>
      <x:c r="O769" s="0"/>
      <x:c r="P769" s="6">
        <x:v>46250</x:v>
      </x:c>
      <x:c r="Q769" s="6">
        <x:v>46250.91643556713</x:v>
      </x:c>
      <x:c r="R769" s="0"/>
      <x:c r="S769" s="6">
        <x:v>46250</x:v>
      </x:c>
      <x:c r="T769" s="0"/>
      <x:c r="U769" s="0"/>
      <x:c r="V769" s="0"/>
      <x:c r="W769" s="0"/>
      <x:c r="X769" t="str" s="2">
        <x:v>4053391578</x:v>
      </x:c>
      <x:c r="Y769" t="str" s="2">
        <x:v>4053391578</x:v>
      </x:c>
      <x:c r="Z769" s="6">
        <x:v>46250.917451354166</x:v>
      </x:c>
      <x:c r="AA769" t="str" s="2">
        <x:v>Eva Misheva</x:v>
      </x:c>
      <x:c r="AB769" s="6">
        <x:v>46250.916436770836</x:v>
      </x:c>
      <x:c r="AC769" t="n" s="2">
        <x:v>39199</x:v>
      </x:c>
      <x:c r="AD769" s="0"/>
      <x:c r="AE769" s="0"/>
      <x:c r="AF769" s="0"/>
      <x:c r="AG769" s="0"/>
      <x:c r="AH769" s="0"/>
      <x:c r="AI769" s="0"/>
      <x:c r="AJ769" s="0"/>
      <x:c r="AK769" s="0"/>
    </x:row>
    <x:row r="770">
      <x:c r="A770" t="str" s="2">
        <x:f>=HYPERLINK("https://rsms.futurehomex.com/lead/39201", "Luis Angel Muniz")</x:f>
      </x:c>
      <x:c r="B770" t="n" s="2">
        <x:v>57</x:v>
      </x:c>
      <x:c r="C770" t="str" s="2">
        <x:v>1/5</x:v>
      </x:c>
      <x:c r="D770" t="str" s="2">
        <x:f>=""</x:f>
      </x:c>
      <x:c r="E770" s="0"/>
      <x:c r="F770" t="str" s="2">
        <x:v>Facebook Messenger</x:v>
      </x:c>
      <x:c r="G770" t="str" s="2">
        <x:v>Heritage Housing of Canton</x:v>
      </x:c>
      <x:c r="H770" t="str" s="2">
        <x:v>Jacob Hatten</x:v>
      </x:c>
      <x:c r="I770" s="0"/>
      <x:c r="J770" t="str" s="2">
        <x:v>Jacob Hatten</x:v>
      </x:c>
      <x:c r="K770" t="n" s="2">
        <x:v>100</x:v>
      </x:c>
      <x:c r="L770" t="str" s="2">
        <x:v>6.2</x:v>
      </x:c>
      <x:c r="M770" t="str" s="2">
        <x:v>Closed</x:v>
      </x:c>
      <x:c r="N770" t="str" s="2">
        <x:v>Delivered</x:v>
      </x:c>
      <x:c r="O770" s="6">
        <x:v>46297</x:v>
      </x:c>
      <x:c r="P770" s="6">
        <x:v>46251</x:v>
      </x:c>
      <x:c r="Q770" s="6">
        <x:v>46303.94188353009</x:v>
      </x:c>
      <x:c r="R770" s="0"/>
      <x:c r="S770" s="0"/>
      <x:c r="T770" s="0"/>
      <x:c r="U770" s="6">
        <x:v>46258</x:v>
      </x:c>
      <x:c r="V770" s="6">
        <x:v>46258</x:v>
      </x:c>
      <x:c r="W770" s="6">
        <x:v>46303</x:v>
      </x:c>
      <x:c r="X770" t="str" s="2">
        <x:v>2145775957</x:v>
      </x:c>
      <x:c r="Y770" t="str" s="2">
        <x:v>luianmu@gmail.com</x:v>
      </x:c>
      <x:c r="Z770" s="6">
        <x:v>46303.942090474535</x:v>
      </x:c>
      <x:c r="AA770" t="str" s="2">
        <x:v>Adriana Jaimes-Martinez</x:v>
      </x:c>
      <x:c r="AB770" s="6">
        <x:v>46251.57367427083</x:v>
      </x:c>
      <x:c r="AC770" t="n" s="2">
        <x:v>39201</x:v>
      </x:c>
      <x:c r="AD770" t="str" s="2">
        <x:v>Singlewide</x:v>
      </x:c>
      <x:c r="AE770" t="str" s="2">
        <x:v>Legacy Housing Corporation</x:v>
      </x:c>
      <x:c r="AF770" s="7">
        <x:v>7085</x:v>
      </x:c>
      <x:c r="AG770" s="7">
        <x:v>7085</x:v>
      </x:c>
      <x:c r="AH770" s="7">
        <x:v>7085</x:v>
      </x:c>
      <x:c r="AI770" s="0"/>
      <x:c r="AJ770" s="0"/>
      <x:c r="AK770" s="0"/>
    </x:row>
    <x:row r="771">
      <x:c r="A771" t="str" s="2">
        <x:f>=HYPERLINK("https://rsms.futurehomex.com/lead/39202", "Shannon Rohn")</x:f>
      </x:c>
      <x:c r="B771" t="n" s="2">
        <x:v>57</x:v>
      </x:c>
      <x:c r="C771" t="str" s="2">
        <x:v>1/1</x:v>
      </x:c>
      <x:c r="D771" t="str" s="2">
        <x:f>=""</x:f>
      </x:c>
      <x:c r="E771" s="0"/>
      <x:c r="F771" t="str" s="2">
        <x:v>Landing_BPM</x:v>
      </x:c>
      <x:c r="G771" t="str" s="2">
        <x:v>Heritage Housing of Oklahoma City</x:v>
      </x:c>
      <x:c r="H771" t="str" s="2">
        <x:v>Trey Rixleben</x:v>
      </x:c>
      <x:c r="I771" s="0"/>
      <x:c r="J771" t="str" s="2">
        <x:v>Trey Rixleben</x:v>
      </x:c>
      <x:c r="K771" t="n" s="2">
        <x:v>5</x:v>
      </x:c>
      <x:c r="L771" t="str" s="2">
        <x:v>1.1</x:v>
      </x:c>
      <x:c r="M771" t="str" s="2">
        <x:v>Tentative</x:v>
      </x:c>
      <x:c r="N771" t="str" s="2">
        <x:v>Deal Created</x:v>
      </x:c>
      <x:c r="O771" s="0"/>
      <x:c r="P771" s="6">
        <x:v>46251</x:v>
      </x:c>
      <x:c r="Q771" s="6">
        <x:v>46295.943864849534</x:v>
      </x:c>
      <x:c r="R771" s="0"/>
      <x:c r="S771" s="0"/>
      <x:c r="T771" s="0"/>
      <x:c r="U771" s="0"/>
      <x:c r="V771" s="0"/>
      <x:c r="W771" s="0"/>
      <x:c r="X771" t="str" s="2">
        <x:v>3236778529</x:v>
      </x:c>
      <x:c r="Y771" t="str" s="2">
        <x:v>centralokc@todayclinic.com</x:v>
      </x:c>
      <x:c r="Z771" s="6">
        <x:v>46295.94448556713</x:v>
      </x:c>
      <x:c r="AA771" t="str" s="2">
        <x:v>Trey Rixleben</x:v>
      </x:c>
      <x:c r="AB771" s="6">
        <x:v>46251.59678020833</x:v>
      </x:c>
      <x:c r="AC771" t="n" s="2">
        <x:v>39202</x:v>
      </x:c>
      <x:c r="AD771" s="0"/>
      <x:c r="AE771" s="0"/>
      <x:c r="AF771" s="0"/>
      <x:c r="AG771" s="0"/>
      <x:c r="AH771" s="0"/>
      <x:c r="AI771" s="0"/>
      <x:c r="AJ771" s="0"/>
      <x:c r="AK771" s="0"/>
    </x:row>
    <x:row r="772">
      <x:c r="A772" t="str" s="2">
        <x:f>=HYPERLINK("https://rsms.futurehomex.com/lead/39204", "Austin Hughes")</x:f>
      </x:c>
      <x:c r="B772" t="n" s="2">
        <x:v>57</x:v>
      </x:c>
      <x:c r="C772" t="str" s="2">
        <x:v/>
      </x:c>
      <x:c r="D772" t="str" s="2">
        <x:f>=""</x:f>
      </x:c>
      <x:c r="E772" s="0"/>
      <x:c r="F772" t="str" s="2">
        <x:v>Facebook Messenger</x:v>
      </x:c>
      <x:c r="G772" t="str" s="2">
        <x:v>Heritage Housing of Asheboro</x:v>
      </x:c>
      <x:c r="H772" t="str" s="2">
        <x:v>Maria Lopez</x:v>
      </x:c>
      <x:c r="I772" s="0"/>
      <x:c r="J772" s="0"/>
      <x:c r="K772" t="n" s="2">
        <x:v>21</x:v>
      </x:c>
      <x:c r="L772" t="str" s="2">
        <x:v>2.1</x:v>
      </x:c>
      <x:c r="M772" t="str" s="2">
        <x:v>Dead</x:v>
      </x:c>
      <x:c r="N772" t="str" s="2">
        <x:v>Qualified</x:v>
      </x:c>
      <x:c r="O772" s="0"/>
      <x:c r="P772" s="6">
        <x:v>46251</x:v>
      </x:c>
      <x:c r="Q772" s="6">
        <x:v>46256.806468518516</x:v>
      </x:c>
      <x:c r="R772" s="0"/>
      <x:c r="S772" s="0"/>
      <x:c r="T772" s="0"/>
      <x:c r="U772" s="0"/>
      <x:c r="V772" s="0"/>
      <x:c r="W772" s="0"/>
      <x:c r="X772" t="str" s="2">
        <x:v>3369531296</x:v>
      </x:c>
      <x:c r="Y772" t="str" s="2">
        <x:v>awhughes11@icloud.com</x:v>
      </x:c>
      <x:c r="Z772" s="6">
        <x:v>46268.85714224537</x:v>
      </x:c>
      <x:c r="AA772" t="str" s="2">
        <x:v>Maria Lopez</x:v>
      </x:c>
      <x:c r="AB772" s="6">
        <x:v>46251.61810482639</x:v>
      </x:c>
      <x:c r="AC772" t="n" s="2">
        <x:v>39204</x:v>
      </x:c>
      <x:c r="AD772" s="0"/>
      <x:c r="AE772" s="0"/>
      <x:c r="AF772" s="0"/>
      <x:c r="AG772" s="0"/>
      <x:c r="AH772" s="0"/>
      <x:c r="AI772" s="0"/>
      <x:c r="AJ772" s="0"/>
      <x:c r="AK772" s="0"/>
    </x:row>
    <x:row r="773">
      <x:c r="A773" t="str" s="2">
        <x:f>=HYPERLINK("https://rsms.futurehomex.com/lead/39205", "Mariah McGruder")</x:f>
      </x:c>
      <x:c r="B773" t="n" s="2">
        <x:v>57</x:v>
      </x:c>
      <x:c r="C773" t="str" s="2">
        <x:v>1/1</x:v>
      </x:c>
      <x:c r="D773" t="str" s="2">
        <x:f>=""</x:f>
      </x:c>
      <x:c r="E773" s="0"/>
      <x:c r="F773" t="str" s="2">
        <x:v>Office Hot Calls</x:v>
      </x:c>
      <x:c r="G773" t="str" s="2">
        <x:v>Heritage Housing of Augusta</x:v>
      </x:c>
      <x:c r="H773" t="str" s="2">
        <x:v>Jennifer Johnson</x:v>
      </x:c>
      <x:c r="I773" t="str" s="2">
        <x:v>Karol Romero</x:v>
      </x:c>
      <x:c r="J773" t="str" s="2">
        <x:v>Jennifer Johnson</x:v>
      </x:c>
      <x:c r="K773" t="n" s="2">
        <x:v>5</x:v>
      </x:c>
      <x:c r="L773" t="str" s="2">
        <x:v>1.1</x:v>
      </x:c>
      <x:c r="M773" t="str" s="2">
        <x:v>Inactive</x:v>
      </x:c>
      <x:c r="N773" t="str" s="2">
        <x:v>Deal Created</x:v>
      </x:c>
      <x:c r="O773" s="0"/>
      <x:c r="P773" s="6">
        <x:v>46251</x:v>
      </x:c>
      <x:c r="Q773" s="6">
        <x:v>46251.66541755787</x:v>
      </x:c>
      <x:c r="R773" s="0"/>
      <x:c r="S773" s="0"/>
      <x:c r="T773" s="0"/>
      <x:c r="U773" s="0"/>
      <x:c r="V773" s="0"/>
      <x:c r="W773" s="0"/>
      <x:c r="X773" t="str" s="2">
        <x:v>7069146755</x:v>
      </x:c>
      <x:c r="Y773" t="str" s="2">
        <x:v>mcgruder188@gmail.com</x:v>
      </x:c>
      <x:c r="Z773" s="6">
        <x:v>46251.850702627315</x:v>
      </x:c>
      <x:c r="AA773" t="str" s="2">
        <x:v>Alex Jones</x:v>
      </x:c>
      <x:c r="AB773" s="6">
        <x:v>46251.64311211806</x:v>
      </x:c>
      <x:c r="AC773" t="n" s="2">
        <x:v>39205</x:v>
      </x:c>
      <x:c r="AD773" s="0"/>
      <x:c r="AE773" s="0"/>
      <x:c r="AF773" s="0"/>
      <x:c r="AG773" s="7">
        <x:v>1000</x:v>
      </x:c>
      <x:c r="AH773" s="0"/>
      <x:c r="AI773" t="str" s="2">
        <x:v>633</x:v>
      </x:c>
      <x:c r="AJ773" s="0"/>
      <x:c r="AK773" s="0"/>
    </x:row>
    <x:row r="774">
      <x:c r="A774" t="str" s="2">
        <x:f>=HYPERLINK("https://rsms.futurehomex.com/lead/39207", "Doug Dunning")</x:f>
      </x:c>
      <x:c r="B774" t="n" s="2">
        <x:v>57</x:v>
      </x:c>
      <x:c r="C774" t="str" s="2">
        <x:v/>
      </x:c>
      <x:c r="D774" t="str" s="2">
        <x:f>=""</x:f>
      </x:c>
      <x:c r="E774" s="0"/>
      <x:c r="F774" t="str" s="2">
        <x:v>Office Hot Calls</x:v>
      </x:c>
      <x:c r="G774" t="str" s="2">
        <x:v>Heritage Housing Mt Pleasant</x:v>
      </x:c>
      <x:c r="H774" t="str" s="2">
        <x:v>Yarelis Torres</x:v>
      </x:c>
      <x:c r="I774" s="0"/>
      <x:c r="J774" t="str" s="2">
        <x:v>Yarelis Torres</x:v>
      </x:c>
      <x:c r="K774" t="n" s="2">
        <x:v>5</x:v>
      </x:c>
      <x:c r="L774" t="str" s="2">
        <x:v>1.1</x:v>
      </x:c>
      <x:c r="M774" t="str" s="2">
        <x:v>Tentative</x:v>
      </x:c>
      <x:c r="N774" t="str" s="2">
        <x:v>Deal Created</x:v>
      </x:c>
      <x:c r="O774" s="0"/>
      <x:c r="P774" s="6">
        <x:v>46251</x:v>
      </x:c>
      <x:c r="Q774" s="6">
        <x:v>46251.67591380787</x:v>
      </x:c>
      <x:c r="R774" s="0"/>
      <x:c r="S774" s="0"/>
      <x:c r="T774" s="0"/>
      <x:c r="U774" s="0"/>
      <x:c r="V774" s="0"/>
      <x:c r="W774" s="0"/>
      <x:c r="X774" t="str" s="2">
        <x:v>9035739742</x:v>
      </x:c>
      <x:c r="Y774" t="str" s="2">
        <x:v>9035739742</x:v>
      </x:c>
      <x:c r="Z774" s="6">
        <x:v>46266.91757488426</x:v>
      </x:c>
      <x:c r="AA774" t="str" s="2">
        <x:v>Yarelis Torres</x:v>
      </x:c>
      <x:c r="AB774" s="6">
        <x:v>46251.67591550926</x:v>
      </x:c>
      <x:c r="AC774" t="n" s="2">
        <x:v>39207</x:v>
      </x:c>
      <x:c r="AD774" s="0"/>
      <x:c r="AE774" s="0"/>
      <x:c r="AF774" s="0"/>
      <x:c r="AG774" s="0"/>
      <x:c r="AH774" s="0"/>
      <x:c r="AI774" s="0"/>
      <x:c r="AJ774" s="0"/>
      <x:c r="AK774" s="0"/>
    </x:row>
    <x:row r="775">
      <x:c r="A775" t="str" s="2">
        <x:f>=HYPERLINK("https://rsms.futurehomex.com/lead/39209", "Carlton Smith")</x:f>
      </x:c>
      <x:c r="B775" t="n" s="2">
        <x:v>57</x:v>
      </x:c>
      <x:c r="C775" t="str" s="2">
        <x:v>0/1</x:v>
      </x:c>
      <x:c r="D775" t="str" s="2">
        <x:f>=""</x:f>
      </x:c>
      <x:c r="E775" s="0"/>
      <x:c r="F775" t="str" s="2">
        <x:v>Referrals</x:v>
      </x:c>
      <x:c r="G775" t="str" s="2">
        <x:v>Heritage Housing of Albany</x:v>
      </x:c>
      <x:c r="H775" t="str" s="2">
        <x:v>Alexander Bryant</x:v>
      </x:c>
      <x:c r="I775" t="str" s="2">
        <x:v>Karol Romero</x:v>
      </x:c>
      <x:c r="J775" t="str" s="2">
        <x:v>Alexander Bryant</x:v>
      </x:c>
      <x:c r="K775" t="n" s="2">
        <x:v>48</x:v>
      </x:c>
      <x:c r="L775" t="str" s="2">
        <x:v>3.7</x:v>
      </x:c>
      <x:c r="M775" t="str" s="2">
        <x:v>Active</x:v>
      </x:c>
      <x:c r="N775" t="str" s="2">
        <x:v>Loan Submitted</x:v>
      </x:c>
      <x:c r="O775" s="0"/>
      <x:c r="P775" s="6">
        <x:v>46251</x:v>
      </x:c>
      <x:c r="Q775" s="6">
        <x:v>46267.66441469907</x:v>
      </x:c>
      <x:c r="R775" s="0"/>
      <x:c r="S775" s="6">
        <x:v>46249</x:v>
      </x:c>
      <x:c r="T775" s="6">
        <x:v>46251</x:v>
      </x:c>
      <x:c r="U775" s="6">
        <x:v>46267</x:v>
      </x:c>
      <x:c r="V775" s="0"/>
      <x:c r="W775" s="0"/>
      <x:c r="X775" t="str" s="2">
        <x:v>6785727791</x:v>
      </x:c>
      <x:c r="Y775" t="str" s="2">
        <x:v>okellysmith@hotmail.com</x:v>
      </x:c>
      <x:c r="Z775" s="6">
        <x:v>46267.65647515046</x:v>
      </x:c>
      <x:c r="AA775" t="str" s="2">
        <x:v>Dane Lara</x:v>
      </x:c>
      <x:c r="AB775" s="6">
        <x:v>46251.693861458334</x:v>
      </x:c>
      <x:c r="AC775" t="n" s="2">
        <x:v>39209</x:v>
      </x:c>
      <x:c r="AD775" t="str" s="2">
        <x:v>Singlewide</x:v>
      </x:c>
      <x:c r="AE775" t="str" s="2">
        <x:v>21st Mortgage Corporation</x:v>
      </x:c>
      <x:c r="AF775" s="7">
        <x:v>21000</x:v>
      </x:c>
      <x:c r="AG775" s="7">
        <x:v>20000</x:v>
      </x:c>
      <x:c r="AH775" s="0"/>
      <x:c r="AI775" t="str" s="2">
        <x:v>578</x:v>
      </x:c>
      <x:c r="AJ775" s="0"/>
      <x:c r="AK775" s="0"/>
    </x:row>
    <x:row r="776">
      <x:c r="A776" t="str" s="2">
        <x:f>=HYPERLINK("https://rsms.futurehomex.com/lead/39211", "Glenn Braun")</x:f>
      </x:c>
      <x:c r="B776" t="n" s="2">
        <x:v>57</x:v>
      </x:c>
      <x:c r="C776" t="str" s="2">
        <x:v>1/1</x:v>
      </x:c>
      <x:c r="D776" t="str" s="2">
        <x:f>=""</x:f>
      </x:c>
      <x:c r="E776" s="0"/>
      <x:c r="F776" t="str" s="2">
        <x:v>Walk-in</x:v>
      </x:c>
      <x:c r="G776" t="str" s="2">
        <x:v>Heritage Housing of Oklahoma City</x:v>
      </x:c>
      <x:c r="H776" t="str" s="2">
        <x:v>Trey Rixleben</x:v>
      </x:c>
      <x:c r="I776" s="0"/>
      <x:c r="J776" s="0"/>
      <x:c r="K776" t="n" s="2">
        <x:v>5</x:v>
      </x:c>
      <x:c r="L776" t="str" s="2">
        <x:v>1.1</x:v>
      </x:c>
      <x:c r="M776" t="str" s="2">
        <x:v>Tentative</x:v>
      </x:c>
      <x:c r="N776" t="str" s="2">
        <x:v>Deal Created</x:v>
      </x:c>
      <x:c r="O776" s="0"/>
      <x:c r="P776" s="6">
        <x:v>46251</x:v>
      </x:c>
      <x:c r="Q776" s="6">
        <x:v>46251.716255520834</x:v>
      </x:c>
      <x:c r="R776" s="0"/>
      <x:c r="S776" s="0"/>
      <x:c r="T776" s="0"/>
      <x:c r="U776" s="0"/>
      <x:c r="V776" s="0"/>
      <x:c r="W776" s="0"/>
      <x:c r="X776" t="str" s="2">
        <x:v>4052450766</x:v>
      </x:c>
      <x:c r="Y776" t="str" s="2">
        <x:v>glennbraun30@gmail.com</x:v>
      </x:c>
      <x:c r="Z776" s="6">
        <x:v>46251.71475987269</x:v>
      </x:c>
      <x:c r="AA776" t="str" s="2">
        <x:v>Trey Rixleben</x:v>
      </x:c>
      <x:c r="AB776" s="6">
        <x:v>46251.70756964121</x:v>
      </x:c>
      <x:c r="AC776" t="n" s="2">
        <x:v>39211</x:v>
      </x:c>
      <x:c r="AD776" s="0"/>
      <x:c r="AE776" s="0"/>
      <x:c r="AF776" s="0"/>
      <x:c r="AG776" s="0"/>
      <x:c r="AH776" s="0"/>
      <x:c r="AI776" s="0"/>
      <x:c r="AJ776" s="0"/>
      <x:c r="AK776" s="0"/>
    </x:row>
    <x:row r="777">
      <x:c r="A777" t="str" s="2">
        <x:f>=HYPERLINK("https://rsms.futurehomex.com/lead/39214", "Johnny Rose")</x:f>
      </x:c>
      <x:c r="B777" t="n" s="2">
        <x:v>57</x:v>
      </x:c>
      <x:c r="C777" t="str" s="2">
        <x:v/>
      </x:c>
      <x:c r="D777" t="str" s="2">
        <x:f>=""</x:f>
      </x:c>
      <x:c r="E777" s="0"/>
      <x:c r="F777" t="str" s="2">
        <x:v>Walk-in</x:v>
      </x:c>
      <x:c r="G777" t="str" s="2">
        <x:v>Heritage Housing of Tulsa</x:v>
      </x:c>
      <x:c r="H777" t="str" s="2">
        <x:v>Derek Searcy</x:v>
      </x:c>
      <x:c r="I777" s="0"/>
      <x:c r="J777" s="0"/>
      <x:c r="K777" t="n" s="2">
        <x:v>5</x:v>
      </x:c>
      <x:c r="L777" t="str" s="2">
        <x:v>1.1</x:v>
      </x:c>
      <x:c r="M777" t="str" s="2">
        <x:v>Inactive</x:v>
      </x:c>
      <x:c r="N777" t="str" s="2">
        <x:v>Prospect</x:v>
      </x:c>
      <x:c r="O777" s="0"/>
      <x:c r="P777" s="6">
        <x:v>46251</x:v>
      </x:c>
      <x:c r="Q777" s="6">
        <x:v>46251.78312862269</x:v>
      </x:c>
      <x:c r="R777" s="0"/>
      <x:c r="S777" s="0"/>
      <x:c r="T777" s="0"/>
      <x:c r="U777" s="0"/>
      <x:c r="V777" s="0"/>
      <x:c r="W777" s="0"/>
      <x:c r="X777" t="str" s="2">
        <x:v>9182043733</x:v>
      </x:c>
      <x:c r="Y777" t="str" s="2">
        <x:v>johnnyrose0399@gmail.com</x:v>
      </x:c>
      <x:c r="Z777" s="0"/>
      <x:c r="AA777" s="0"/>
      <x:c r="AB777" s="6">
        <x:v>46265.92735304398</x:v>
      </x:c>
      <x:c r="AC777" t="n" s="2">
        <x:v>39214</x:v>
      </x:c>
      <x:c r="AD777" s="0"/>
      <x:c r="AE777" s="0"/>
      <x:c r="AF777" s="0"/>
      <x:c r="AG777" s="0"/>
      <x:c r="AH777" s="0"/>
      <x:c r="AI777" s="0"/>
      <x:c r="AJ777" s="0"/>
      <x:c r="AK777" s="0"/>
    </x:row>
    <x:row r="778">
      <x:c r="A778" t="str" s="2">
        <x:f>=HYPERLINK("https://rsms.futurehomex.com/lead/39215", "Bobby Tillman")</x:f>
      </x:c>
      <x:c r="B778" t="n" s="2">
        <x:v>57</x:v>
      </x:c>
      <x:c r="C778" t="str" s="2">
        <x:v>1/9</x:v>
      </x:c>
      <x:c r="D778" t="str" s="2">
        <x:f>=""</x:f>
      </x:c>
      <x:c r="E778" s="0"/>
      <x:c r="F778" t="str" s="2">
        <x:v>Walk-in</x:v>
      </x:c>
      <x:c r="G778" t="str" s="2">
        <x:v>Heritage Housing of Oklahoma City</x:v>
      </x:c>
      <x:c r="H778" t="str" s="2">
        <x:v>Trey Rixleben</x:v>
      </x:c>
      <x:c r="I778" s="0"/>
      <x:c r="J778" t="str" s="2">
        <x:v>Trey Rixleben</x:v>
      </x:c>
      <x:c r="K778" t="n" s="2">
        <x:v>5</x:v>
      </x:c>
      <x:c r="L778" t="str" s="2">
        <x:v>1.1</x:v>
      </x:c>
      <x:c r="M778" t="str" s="2">
        <x:v>Tentative</x:v>
      </x:c>
      <x:c r="N778" t="str" s="2">
        <x:v>Deal Created</x:v>
      </x:c>
      <x:c r="O778" s="0"/>
      <x:c r="P778" s="6">
        <x:v>46251</x:v>
      </x:c>
      <x:c r="Q778" s="6">
        <x:v>46251.790925810186</x:v>
      </x:c>
      <x:c r="R778" s="0"/>
      <x:c r="S778" s="6">
        <x:v>46252</x:v>
      </x:c>
      <x:c r="T778" s="0"/>
      <x:c r="U778" s="0"/>
      <x:c r="V778" s="0"/>
      <x:c r="W778" s="0"/>
      <x:c r="X778" t="str" s="2">
        <x:v>4059059787</x:v>
      </x:c>
      <x:c r="Y778" t="str" s="2">
        <x:v>rhondass1958@yahoo.com</x:v>
      </x:c>
      <x:c r="Z778" s="6">
        <x:v>46302.07930362268</x:v>
      </x:c>
      <x:c r="AA778" t="str" s="2">
        <x:v>Steve Castell</x:v>
      </x:c>
      <x:c r="AB778" s="6">
        <x:v>46302.079600694444</x:v>
      </x:c>
      <x:c r="AC778" t="n" s="2">
        <x:v>39215</x:v>
      </x:c>
      <x:c r="AD778" s="0"/>
      <x:c r="AE778" s="0"/>
      <x:c r="AF778" s="0"/>
      <x:c r="AG778" s="0"/>
      <x:c r="AH778" s="0"/>
      <x:c r="AI778" s="0"/>
      <x:c r="AJ778" s="0"/>
      <x:c r="AK778" s="0"/>
    </x:row>
    <x:row r="779">
      <x:c r="A779" t="str" s="2">
        <x:f>=HYPERLINK("https://rsms.futurehomex.com/lead/39217", "Liliana G Campio Diaz")</x:f>
      </x:c>
      <x:c r="B779" t="n" s="2">
        <x:v>57</x:v>
      </x:c>
      <x:c r="C779" t="str" s="2">
        <x:v>0/9</x:v>
      </x:c>
      <x:c r="D779" t="str" s="2">
        <x:f>=""</x:f>
      </x:c>
      <x:c r="E779" s="0"/>
      <x:c r="F779" t="str" s="2">
        <x:v>TikTok</x:v>
      </x:c>
      <x:c r="G779" t="str" s="2">
        <x:v>Legacy Housing Corp. DBA Americasa</x:v>
      </x:c>
      <x:c r="H779" t="str" s="2">
        <x:v>Rodrigo Ramirez</x:v>
      </x:c>
      <x:c r="I779" t="str" s="2">
        <x:v>Karol Romero</x:v>
      </x:c>
      <x:c r="J779" t="str" s="2">
        <x:v>Rodrigo Ramirez</x:v>
      </x:c>
      <x:c r="K779" t="n" s="2">
        <x:v>59</x:v>
      </x:c>
      <x:c r="L779" t="str" s="2">
        <x:v>4.3</x:v>
      </x:c>
      <x:c r="M779" t="str" s="2">
        <x:v>Dead</x:v>
      </x:c>
      <x:c r="N779" t="str" s="2">
        <x:v>Loan Approved</x:v>
      </x:c>
      <x:c r="O779" s="0"/>
      <x:c r="P779" s="6">
        <x:v>46251</x:v>
      </x:c>
      <x:c r="Q779" s="6">
        <x:v>46258.76858765046</x:v>
      </x:c>
      <x:c r="R779" s="0"/>
      <x:c r="S779" s="6">
        <x:v>46251</x:v>
      </x:c>
      <x:c r="T779" s="6">
        <x:v>46258</x:v>
      </x:c>
      <x:c r="U779" s="6">
        <x:v>46258</x:v>
      </x:c>
      <x:c r="V779" s="6">
        <x:v>46259</x:v>
      </x:c>
      <x:c r="W779" s="0"/>
      <x:c r="X779" t="str" s="2">
        <x:v>3462437654</x:v>
      </x:c>
      <x:c r="Y779" t="str" s="2">
        <x:v>lilianacampio1814@gmail.com</x:v>
      </x:c>
      <x:c r="Z779" s="6">
        <x:v>46281.067321793984</x:v>
      </x:c>
      <x:c r="AA779" t="str" s="2">
        <x:v>Rodrigo Ramirez</x:v>
      </x:c>
      <x:c r="AB779" s="6">
        <x:v>46251.814424965276</x:v>
      </x:c>
      <x:c r="AC779" t="n" s="2">
        <x:v>39217</x:v>
      </x:c>
      <x:c r="AD779" t="str" s="2">
        <x:v>Singlewide</x:v>
      </x:c>
      <x:c r="AE779" t="str" s="2">
        <x:v>21st Mortgage Corporation</x:v>
      </x:c>
      <x:c r="AF779" s="7">
        <x:v>6100</x:v>
      </x:c>
      <x:c r="AG779" s="7">
        <x:v>6100</x:v>
      </x:c>
      <x:c r="AH779" s="7">
        <x:v>0</x:v>
      </x:c>
      <x:c r="AI779" t="str" s="2">
        <x:v>693</x:v>
      </x:c>
      <x:c r="AJ779" s="0"/>
      <x:c r="AK779" s="0"/>
    </x:row>
    <x:row r="780">
      <x:c r="A780" t="str" s="2">
        <x:f>=HYPERLINK("https://rsms.futurehomex.com/lead/39218", "Drew Penly")</x:f>
      </x:c>
      <x:c r="B780" t="n" s="2">
        <x:v>57</x:v>
      </x:c>
      <x:c r="C780" t="str" s="2">
        <x:v>0/2</x:v>
      </x:c>
      <x:c r="D780" t="str" s="2">
        <x:f>=""</x:f>
      </x:c>
      <x:c r="E780" s="0"/>
      <x:c r="F780" t="str" s="2">
        <x:v>Facebook Messenger</x:v>
      </x:c>
      <x:c r="G780" t="str" s="2">
        <x:v>Heritage Housing of Oklahoma City</x:v>
      </x:c>
      <x:c r="H780" t="str" s="2">
        <x:v>Steve Castell</x:v>
      </x:c>
      <x:c r="I780" s="0"/>
      <x:c r="J780" t="str" s="2">
        <x:v>Steve Castell</x:v>
      </x:c>
      <x:c r="K780" t="n" s="2">
        <x:v>5</x:v>
      </x:c>
      <x:c r="L780" t="str" s="2">
        <x:v>1.1</x:v>
      </x:c>
      <x:c r="M780" t="str" s="2">
        <x:v>Dead</x:v>
      </x:c>
      <x:c r="N780" t="str" s="2">
        <x:v>Deal Created</x:v>
      </x:c>
      <x:c r="O780" s="0"/>
      <x:c r="P780" s="6">
        <x:v>46251</x:v>
      </x:c>
      <x:c r="Q780" s="6">
        <x:v>46252.80892650463</x:v>
      </x:c>
      <x:c r="R780" s="0"/>
      <x:c r="S780" s="6">
        <x:v>46252</x:v>
      </x:c>
      <x:c r="T780" s="0"/>
      <x:c r="U780" s="0"/>
      <x:c r="V780" s="0"/>
      <x:c r="W780" s="0"/>
      <x:c r="X780" t="str" s="2">
        <x:v>4057888589</x:v>
      </x:c>
      <x:c r="Y780" t="str" s="2">
        <x:v>penly06@gmail.com</x:v>
      </x:c>
      <x:c r="Z780" s="6">
        <x:v>46255.602188969904</x:v>
      </x:c>
      <x:c r="AA780" t="str" s="2">
        <x:v>Steve Castell</x:v>
      </x:c>
      <x:c r="AB780" s="6">
        <x:v>46251.815929282406</x:v>
      </x:c>
      <x:c r="AC780" t="n" s="2">
        <x:v>39218</x:v>
      </x:c>
      <x:c r="AD780" s="0"/>
      <x:c r="AE780" s="0"/>
      <x:c r="AF780" s="0"/>
      <x:c r="AG780" s="0"/>
      <x:c r="AH780" s="0"/>
      <x:c r="AI780" s="0"/>
      <x:c r="AJ780" s="0"/>
      <x:c r="AK780" s="0"/>
    </x:row>
    <x:row r="781">
      <x:c r="A781" t="str" s="2">
        <x:f>=HYPERLINK("https://rsms.futurehomex.com/lead/39221", "Browdie Wylie")</x:f>
      </x:c>
      <x:c r="B781" t="n" s="2">
        <x:v>57</x:v>
      </x:c>
      <x:c r="C781" t="str" s="2">
        <x:v>1/1</x:v>
      </x:c>
      <x:c r="D781" t="str" s="2">
        <x:f>=""</x:f>
      </x:c>
      <x:c r="E781" s="0"/>
      <x:c r="F781" t="str" s="2">
        <x:v>Financing Form</x:v>
      </x:c>
      <x:c r="G781" t="str" s="2">
        <x:v>Heritage Housing of Oklahoma City</x:v>
      </x:c>
      <x:c r="H781" t="str" s="2">
        <x:v>Trey Rixleben</x:v>
      </x:c>
      <x:c r="I781" s="0"/>
      <x:c r="J781" s="0"/>
      <x:c r="K781" t="n" s="2">
        <x:v>5</x:v>
      </x:c>
      <x:c r="L781" t="str" s="2">
        <x:v>1.1</x:v>
      </x:c>
      <x:c r="M781" t="str" s="2">
        <x:v>Tentative</x:v>
      </x:c>
      <x:c r="N781" t="str" s="2">
        <x:v>Deal Created</x:v>
      </x:c>
      <x:c r="O781" s="0"/>
      <x:c r="P781" s="6">
        <x:v>46251</x:v>
      </x:c>
      <x:c r="Q781" s="6">
        <x:v>46290.8120477662</x:v>
      </x:c>
      <x:c r="R781" s="0"/>
      <x:c r="S781" s="6">
        <x:v>46251</x:v>
      </x:c>
      <x:c r="T781" s="0"/>
      <x:c r="U781" s="0"/>
      <x:c r="V781" s="0"/>
      <x:c r="W781" s="0"/>
      <x:c r="X781" t="str" s="2">
        <x:v>4056684739</x:v>
      </x:c>
      <x:c r="Y781" t="str" s="2">
        <x:v>browdie89@gmail.com</x:v>
      </x:c>
      <x:c r="Z781" s="6">
        <x:v>46280.001537233795</x:v>
      </x:c>
      <x:c r="AA781" t="str" s="2">
        <x:v>Trey Rixleben</x:v>
      </x:c>
      <x:c r="AB781" s="6">
        <x:v>46251.84148730324</x:v>
      </x:c>
      <x:c r="AC781" t="n" s="2">
        <x:v>39221</x:v>
      </x:c>
      <x:c r="AD781" s="0"/>
      <x:c r="AE781" s="0"/>
      <x:c r="AF781" s="0"/>
      <x:c r="AG781" s="0"/>
      <x:c r="AH781" s="0"/>
      <x:c r="AI781" t="str" s="2">
        <x:v>434</x:v>
      </x:c>
      <x:c r="AJ781" s="0"/>
      <x:c r="AK781" s="0"/>
    </x:row>
    <x:row r="782">
      <x:c r="A782" t="str" s="2">
        <x:f>=HYPERLINK("https://rsms.futurehomex.com/lead/39222", "Neil Gross")</x:f>
      </x:c>
      <x:c r="B782" t="n" s="2">
        <x:v>57</x:v>
      </x:c>
      <x:c r="C782" t="str" s="2">
        <x:v/>
      </x:c>
      <x:c r="D782" t="str" s="2">
        <x:f>=""</x:f>
      </x:c>
      <x:c r="E782" s="0"/>
      <x:c r="F782" t="str" s="2">
        <x:v>Walk-in</x:v>
      </x:c>
      <x:c r="G782" t="str" s="2">
        <x:v>Heritage Housing of Oklahoma City</x:v>
      </x:c>
      <x:c r="H782" t="str" s="2">
        <x:v>Karla Brizuela</x:v>
      </x:c>
      <x:c r="I782" s="0"/>
      <x:c r="J782" t="str" s="2">
        <x:v>Karla Brizuela</x:v>
      </x:c>
      <x:c r="K782" t="n" s="2">
        <x:v>5</x:v>
      </x:c>
      <x:c r="L782" t="str" s="2">
        <x:v>1.1</x:v>
      </x:c>
      <x:c r="M782" t="str" s="2">
        <x:v>Dead</x:v>
      </x:c>
      <x:c r="N782" t="str" s="2">
        <x:v>Deal Created</x:v>
      </x:c>
      <x:c r="O782" s="0"/>
      <x:c r="P782" s="6">
        <x:v>46251</x:v>
      </x:c>
      <x:c r="Q782" s="6">
        <x:v>46251.872775613425</x:v>
      </x:c>
      <x:c r="R782" s="0"/>
      <x:c r="S782" s="0"/>
      <x:c r="T782" s="0"/>
      <x:c r="U782" s="0"/>
      <x:c r="V782" s="0"/>
      <x:c r="W782" s="0"/>
      <x:c r="X782" t="str" s="2">
        <x:v>4056952812</x:v>
      </x:c>
      <x:c r="Y782" t="str" s="2">
        <x:v>4056952812</x:v>
      </x:c>
      <x:c r="Z782" s="6">
        <x:v>46251.88056466435</x:v>
      </x:c>
      <x:c r="AA782" t="str" s="2">
        <x:v>Karla Brizuela</x:v>
      </x:c>
      <x:c r="AB782" s="6">
        <x:v>46251.872777083336</x:v>
      </x:c>
      <x:c r="AC782" t="n" s="2">
        <x:v>39222</x:v>
      </x:c>
      <x:c r="AD782" s="0"/>
      <x:c r="AE782" s="0"/>
      <x:c r="AF782" s="0"/>
      <x:c r="AG782" s="0"/>
      <x:c r="AH782" s="0"/>
      <x:c r="AI782" s="0"/>
      <x:c r="AJ782" s="0"/>
      <x:c r="AK782" s="0"/>
    </x:row>
    <x:row r="783">
      <x:c r="A783" t="str" s="2">
        <x:f>=HYPERLINK("https://rsms.futurehomex.com/lead/39223", "Tony Fleming")</x:f>
      </x:c>
      <x:c r="B783" t="n" s="2">
        <x:v>57</x:v>
      </x:c>
      <x:c r="C783" t="str" s="2">
        <x:v>0/2</x:v>
      </x:c>
      <x:c r="D783" t="str" s="2">
        <x:f>=""</x:f>
      </x:c>
      <x:c r="E783" s="0"/>
      <x:c r="F783" t="str" s="2">
        <x:v>Meta Marketplace</x:v>
      </x:c>
      <x:c r="G783" t="str" s="2">
        <x:v>Heritage Housing Gainesville</x:v>
      </x:c>
      <x:c r="H783" t="str" s="2">
        <x:v>John Schwichtenberg</x:v>
      </x:c>
      <x:c r="I783" s="0"/>
      <x:c r="J783" t="str" s="2">
        <x:v>John Schwichtenberg</x:v>
      </x:c>
      <x:c r="K783" t="n" s="2">
        <x:v>38</x:v>
      </x:c>
      <x:c r="L783" t="str" s="2">
        <x:v>3.2</x:v>
      </x:c>
      <x:c r="M783" t="str" s="2">
        <x:v>Dead</x:v>
      </x:c>
      <x:c r="N783" t="str" s="2">
        <x:v>Application</x:v>
      </x:c>
      <x:c r="O783" s="0"/>
      <x:c r="P783" s="6">
        <x:v>46251</x:v>
      </x:c>
      <x:c r="Q783" s="6">
        <x:v>46255.602831979166</x:v>
      </x:c>
      <x:c r="R783" s="0"/>
      <x:c r="S783" s="6">
        <x:v>46223</x:v>
      </x:c>
      <x:c r="T783" s="6">
        <x:v>46253</x:v>
      </x:c>
      <x:c r="U783" s="0"/>
      <x:c r="V783" s="0"/>
      <x:c r="W783" s="0"/>
      <x:c r="X783" t="str" s="2">
        <x:v>7372405004</x:v>
      </x:c>
      <x:c r="Y783" t="str" s="2">
        <x:v>bayscooldad@yahoo.com</x:v>
      </x:c>
      <x:c r="Z783" s="6">
        <x:v>46263.78800543981</x:v>
      </x:c>
      <x:c r="AA783" t="str" s="2">
        <x:v>John Schwichtenberg</x:v>
      </x:c>
      <x:c r="AB783" s="6">
        <x:v>46256.569025</x:v>
      </x:c>
      <x:c r="AC783" t="n" s="2">
        <x:v>39223</x:v>
      </x:c>
      <x:c r="AD783" t="str" s="2">
        <x:v>Singlewide</x:v>
      </x:c>
      <x:c r="AE783" s="0"/>
      <x:c r="AF783" s="0"/>
      <x:c r="AG783" s="7">
        <x:v>5500</x:v>
      </x:c>
      <x:c r="AH783" s="0"/>
      <x:c r="AI783" t="str" s="2">
        <x:v>702</x:v>
      </x:c>
      <x:c r="AJ783" s="0"/>
      <x:c r="AK783" s="0"/>
    </x:row>
    <x:row r="784">
      <x:c r="A784" t="str" s="2">
        <x:f>=HYPERLINK("https://rsms.futurehomex.com/lead/39224", "Marla Cotter")</x:f>
      </x:c>
      <x:c r="B784" t="n" s="2">
        <x:v>57</x:v>
      </x:c>
      <x:c r="C784" t="str" s="2">
        <x:v/>
      </x:c>
      <x:c r="D784" t="str" s="2">
        <x:f>=""</x:f>
      </x:c>
      <x:c r="E784" s="0"/>
      <x:c r="F784" t="str" s="2">
        <x:v>Facebook Messenger</x:v>
      </x:c>
      <x:c r="G784" t="str" s="2">
        <x:v>Heritage Housing of Canton</x:v>
      </x:c>
      <x:c r="H784" t="str" s="2">
        <x:v>Jacob Hatten</x:v>
      </x:c>
      <x:c r="I784" s="0"/>
      <x:c r="J784" t="str" s="2">
        <x:v>Jacob Hatten</x:v>
      </x:c>
      <x:c r="K784" t="n" s="2">
        <x:v>5</x:v>
      </x:c>
      <x:c r="L784" t="str" s="2">
        <x:v>1.1</x:v>
      </x:c>
      <x:c r="M784" t="str" s="2">
        <x:v>Dead</x:v>
      </x:c>
      <x:c r="N784" t="str" s="2">
        <x:v>Deal Created</x:v>
      </x:c>
      <x:c r="O784" s="0"/>
      <x:c r="P784" s="6">
        <x:v>46251</x:v>
      </x:c>
      <x:c r="Q784" s="6">
        <x:v>46251.89028260417</x:v>
      </x:c>
      <x:c r="R784" s="0"/>
      <x:c r="S784" s="0"/>
      <x:c r="T784" s="0"/>
      <x:c r="U784" s="0"/>
      <x:c r="V784" s="0"/>
      <x:c r="W784" s="0"/>
      <x:c r="X784" t="str" s="2">
        <x:v>9726580158</x:v>
      </x:c>
      <x:c r="Y784" t="str" s="2">
        <x:v>mc6707@yahoo.com</x:v>
      </x:c>
      <x:c r="Z784" s="6">
        <x:v>46253.64563225694</x:v>
      </x:c>
      <x:c r="AA784" t="str" s="2">
        <x:v>Jacob Hatten</x:v>
      </x:c>
      <x:c r="AB784" s="6">
        <x:v>46251.89028417824</x:v>
      </x:c>
      <x:c r="AC784" t="n" s="2">
        <x:v>39224</x:v>
      </x:c>
      <x:c r="AD784" s="0"/>
      <x:c r="AE784" s="0"/>
      <x:c r="AF784" s="0"/>
      <x:c r="AG784" s="0"/>
      <x:c r="AH784" s="7">
        <x:v>500</x:v>
      </x:c>
      <x:c r="AI784" s="0"/>
      <x:c r="AJ784" s="0"/>
      <x:c r="AK784" s="0"/>
    </x:row>
    <x:row r="785">
      <x:c r="A785" t="str" s="2">
        <x:f>=HYPERLINK("https://rsms.futurehomex.com/lead/39226", "Jerrod David Dodd")</x:f>
      </x:c>
      <x:c r="B785" t="n" s="2">
        <x:v>57</x:v>
      </x:c>
      <x:c r="C785" t="str" s="2">
        <x:v>0/3</x:v>
      </x:c>
      <x:c r="D785" t="str" s="2">
        <x:f>=""</x:f>
      </x:c>
      <x:c r="E785" s="0"/>
      <x:c r="F785" t="str" s="2">
        <x:v>Facebook Messenger</x:v>
      </x:c>
      <x:c r="G785" t="str" s="2">
        <x:v>Heritage Housing of Oklahoma City</x:v>
      </x:c>
      <x:c r="H785" t="str" s="2">
        <x:v>Alejandra Calderon</x:v>
      </x:c>
      <x:c r="I785" t="str" s="2">
        <x:v>Karol Romero</x:v>
      </x:c>
      <x:c r="J785" s="0"/>
      <x:c r="K785" t="n" s="2">
        <x:v>5</x:v>
      </x:c>
      <x:c r="L785" t="str" s="2">
        <x:v>1.1</x:v>
      </x:c>
      <x:c r="M785" t="str" s="2">
        <x:v>Tentative</x:v>
      </x:c>
      <x:c r="N785" t="str" s="2">
        <x:v>Prospect</x:v>
      </x:c>
      <x:c r="O785" s="0"/>
      <x:c r="P785" s="6">
        <x:v>46251</x:v>
      </x:c>
      <x:c r="Q785" s="6">
        <x:v>46251.92195818287</x:v>
      </x:c>
      <x:c r="R785" s="0"/>
      <x:c r="S785" s="0"/>
      <x:c r="T785" s="0"/>
      <x:c r="U785" s="0"/>
      <x:c r="V785" s="0"/>
      <x:c r="W785" s="0"/>
      <x:c r="X785" t="str" s="2">
        <x:v>5722731327</x:v>
      </x:c>
      <x:c r="Y785" t="str" s="2">
        <x:v>5722731327</x:v>
      </x:c>
      <x:c r="Z785" s="6">
        <x:v>46279.97226890046</x:v>
      </x:c>
      <x:c r="AA785" t="str" s="2">
        <x:v>Alejandra Calderon</x:v>
      </x:c>
      <x:c r="AB785" s="6">
        <x:v>46254.70419336805</x:v>
      </x:c>
      <x:c r="AC785" t="n" s="2">
        <x:v>39226</x:v>
      </x:c>
      <x:c r="AD785" s="0"/>
      <x:c r="AE785" s="0"/>
      <x:c r="AF785" s="0"/>
      <x:c r="AG785" s="0"/>
      <x:c r="AH785" s="0"/>
      <x:c r="AI785" s="0"/>
      <x:c r="AJ785" s="0"/>
      <x:c r="AK785" s="0"/>
    </x:row>
    <x:row r="786">
      <x:c r="A786" t="str" s="2">
        <x:f>=HYPERLINK("https://rsms.futurehomex.com/lead/39230", "Edenys Atencio")</x:f>
      </x:c>
      <x:c r="B786" t="n" s="2">
        <x:v>57</x:v>
      </x:c>
      <x:c r="C786" t="str" s="2">
        <x:v>0/3</x:v>
      </x:c>
      <x:c r="D786" t="str" s="2">
        <x:f>=""</x:f>
      </x:c>
      <x:c r="E786" s="0"/>
      <x:c r="F786" t="str" s="2">
        <x:v>Website</x:v>
      </x:c>
      <x:c r="G786" t="str" s="2">
        <x:v>Legacy Housing Corp. DBA Americasa</x:v>
      </x:c>
      <x:c r="H786" t="str" s="2">
        <x:v>Jose Parada</x:v>
      </x:c>
      <x:c r="I786" t="str" s="2">
        <x:v>Karol Romero</x:v>
      </x:c>
      <x:c r="J786" s="0"/>
      <x:c r="K786" t="n" s="2">
        <x:v>5</x:v>
      </x:c>
      <x:c r="L786" t="str" s="2">
        <x:v>1.1</x:v>
      </x:c>
      <x:c r="M786" t="str" s="2">
        <x:v>Tentative</x:v>
      </x:c>
      <x:c r="N786" t="str" s="2">
        <x:v>Prospect</x:v>
      </x:c>
      <x:c r="O786" s="0"/>
      <x:c r="P786" s="6">
        <x:v>46251</x:v>
      </x:c>
      <x:c r="Q786" s="6">
        <x:v>46262.90971901621</x:v>
      </x:c>
      <x:c r="R786" s="0"/>
      <x:c r="S786" s="6">
        <x:v>46250</x:v>
      </x:c>
      <x:c r="T786" s="0"/>
      <x:c r="U786" s="0"/>
      <x:c r="V786" s="0"/>
      <x:c r="W786" s="0"/>
      <x:c r="X786" t="str" s="2">
        <x:v>8328078587</x:v>
      </x:c>
      <x:c r="Y786" t="str" s="2">
        <x:v>8328078587</x:v>
      </x:c>
      <x:c r="Z786" s="6">
        <x:v>46288.75166258102</x:v>
      </x:c>
      <x:c r="AA786" t="str" s="2">
        <x:v>Jose Parada</x:v>
      </x:c>
      <x:c r="AB786" s="6">
        <x:v>46251.95376554398</x:v>
      </x:c>
      <x:c r="AC786" t="n" s="2">
        <x:v>39230</x:v>
      </x:c>
      <x:c r="AD786" s="0"/>
      <x:c r="AE786" s="0"/>
      <x:c r="AF786" s="0"/>
      <x:c r="AG786" s="0"/>
      <x:c r="AH786" s="0"/>
      <x:c r="AI786" s="0"/>
      <x:c r="AJ786" s="0"/>
      <x:c r="AK786" s="0"/>
    </x:row>
    <x:row r="787">
      <x:c r="A787" t="str" s="2">
        <x:f>=HYPERLINK("https://rsms.futurehomex.com/lead/39231", "Trevor Scott")</x:f>
      </x:c>
      <x:c r="B787" t="n" s="2">
        <x:v>56</x:v>
      </x:c>
      <x:c r="C787" t="str" s="2">
        <x:v>1/1</x:v>
      </x:c>
      <x:c r="D787" t="str" s="2">
        <x:f>=""</x:f>
      </x:c>
      <x:c r="E787" s="0"/>
      <x:c r="F787" t="str" s="2">
        <x:v>Walk-in</x:v>
      </x:c>
      <x:c r="G787" t="str" s="2">
        <x:v>Heritage Housing of Tulsa</x:v>
      </x:c>
      <x:c r="H787" t="str" s="2">
        <x:v>Jenna Fransisco</x:v>
      </x:c>
      <x:c r="I787" s="0"/>
      <x:c r="J787" s="0"/>
      <x:c r="K787" t="n" s="2">
        <x:v>5</x:v>
      </x:c>
      <x:c r="L787" t="str" s="2">
        <x:v>1.1</x:v>
      </x:c>
      <x:c r="M787" t="str" s="2">
        <x:v>Tentative</x:v>
      </x:c>
      <x:c r="N787" t="str" s="2">
        <x:v>Prospect</x:v>
      </x:c>
      <x:c r="O787" s="0"/>
      <x:c r="P787" s="6">
        <x:v>46252</x:v>
      </x:c>
      <x:c r="Q787" s="6">
        <x:v>46252.73000778935</x:v>
      </x:c>
      <x:c r="R787" s="0"/>
      <x:c r="S787" s="0"/>
      <x:c r="T787" s="0"/>
      <x:c r="U787" s="0"/>
      <x:c r="V787" s="0"/>
      <x:c r="W787" s="0"/>
      <x:c r="X787" t="str" s="2">
        <x:v>9187293382</x:v>
      </x:c>
      <x:c r="Y787" t="str" s="2">
        <x:v>destiny.kissee23@gmail.com</x:v>
      </x:c>
      <x:c r="Z787" s="0"/>
      <x:c r="AA787" s="0"/>
      <x:c r="AB787" s="6">
        <x:v>46274.57178391203</x:v>
      </x:c>
      <x:c r="AC787" t="n" s="2">
        <x:v>39231</x:v>
      </x:c>
      <x:c r="AD787" s="0"/>
      <x:c r="AE787" s="0"/>
      <x:c r="AF787" s="0"/>
      <x:c r="AG787" s="0"/>
      <x:c r="AH787" s="0"/>
      <x:c r="AI787" s="0"/>
      <x:c r="AJ787" s="0"/>
      <x:c r="AK787" s="0"/>
    </x:row>
    <x:row r="788">
      <x:c r="A788" t="str" s="2">
        <x:f>=HYPERLINK("https://rsms.futurehomex.com/lead/39232", "Karen Ziober")</x:f>
      </x:c>
      <x:c r="B788" t="n" s="2">
        <x:v>56</x:v>
      </x:c>
      <x:c r="C788" t="str" s="2">
        <x:v>0/6</x:v>
      </x:c>
      <x:c r="D788" t="str" s="2">
        <x:f>="39232"</x:f>
      </x:c>
      <x:c r="E788" s="0"/>
      <x:c r="F788" t="str" s="2">
        <x:v>Walk-in</x:v>
      </x:c>
      <x:c r="G788" t="str" s="2">
        <x:v>Heritage Housing of Minden</x:v>
      </x:c>
      <x:c r="H788" t="str" s="2">
        <x:v>Patrick Schuchart</x:v>
      </x:c>
      <x:c r="I788" t="str" s="2">
        <x:v>Karol Romero</x:v>
      </x:c>
      <x:c r="J788" t="str" s="2">
        <x:v>Kyla Brown</x:v>
      </x:c>
      <x:c r="K788" t="n" s="2">
        <x:v>59</x:v>
      </x:c>
      <x:c r="L788" t="str" s="2">
        <x:v>4.3</x:v>
      </x:c>
      <x:c r="M788" t="str" s="2">
        <x:v>Inactive</x:v>
      </x:c>
      <x:c r="N788" t="str" s="2">
        <x:v>Loan Approved</x:v>
      </x:c>
      <x:c r="O788" s="0"/>
      <x:c r="P788" s="6">
        <x:v>46252</x:v>
      </x:c>
      <x:c r="Q788" s="6">
        <x:v>46274.89875069445</x:v>
      </x:c>
      <x:c r="R788" s="0"/>
      <x:c r="S788" s="6">
        <x:v>46252</x:v>
      </x:c>
      <x:c r="T788" s="6">
        <x:v>46252</x:v>
      </x:c>
      <x:c r="U788" s="6">
        <x:v>46265</x:v>
      </x:c>
      <x:c r="V788" s="6">
        <x:v>46265</x:v>
      </x:c>
      <x:c r="W788" s="0"/>
      <x:c r="X788" t="str" s="2">
        <x:v>8177979221</x:v>
      </x:c>
      <x:c r="Y788" t="str" s="2">
        <x:v>karen@tpretx.com</x:v>
      </x:c>
      <x:c r="Z788" s="6">
        <x:v>46291.84185524305</x:v>
      </x:c>
      <x:c r="AA788" t="str" s="2">
        <x:v>Patrick Schuchart</x:v>
      </x:c>
      <x:c r="AB788" s="6">
        <x:v>46252.934408796296</x:v>
      </x:c>
      <x:c r="AC788" t="n" s="2">
        <x:v>39232</x:v>
      </x:c>
      <x:c r="AD788" t="str" s="2">
        <x:v>Singlewide</x:v>
      </x:c>
      <x:c r="AE788" t="str" s="2">
        <x:v>21st Mortgage Corporation</x:v>
      </x:c>
      <x:c r="AF788" s="7">
        <x:v>18000</x:v>
      </x:c>
      <x:c r="AG788" s="7">
        <x:v>12000</x:v>
      </x:c>
      <x:c r="AH788" s="0"/>
      <x:c r="AI788" t="str" s="2">
        <x:v>603</x:v>
      </x:c>
      <x:c r="AJ788" s="0"/>
      <x:c r="AK788" s="0"/>
    </x:row>
    <x:row r="789">
      <x:c r="A789" t="str" s="2">
        <x:f>=HYPERLINK("https://rsms.futurehomex.com/lead/39234", "James Williams")</x:f>
      </x:c>
      <x:c r="B789" t="n" s="2">
        <x:v>56</x:v>
      </x:c>
      <x:c r="C789" t="str" s="2">
        <x:v/>
      </x:c>
      <x:c r="D789" t="str" s="2">
        <x:f>=""</x:f>
      </x:c>
      <x:c r="E789" s="0"/>
      <x:c r="F789" t="str" s="2">
        <x:v>Facebook Messenger</x:v>
      </x:c>
      <x:c r="G789" t="str" s="2">
        <x:v>Heritage Housing of Minden</x:v>
      </x:c>
      <x:c r="H789" t="str" s="2">
        <x:v>Patrick Schuchart</x:v>
      </x:c>
      <x:c r="I789" t="str" s="2">
        <x:v>Karol Romero</x:v>
      </x:c>
      <x:c r="J789" t="str" s="2">
        <x:v>Patrick Schuchart</x:v>
      </x:c>
      <x:c r="K789" t="n" s="2">
        <x:v>5</x:v>
      </x:c>
      <x:c r="L789" t="str" s="2">
        <x:v>1.1</x:v>
      </x:c>
      <x:c r="M789" t="str" s="2">
        <x:v>Dead</x:v>
      </x:c>
      <x:c r="N789" t="str" s="2">
        <x:v>Deal Created</x:v>
      </x:c>
      <x:c r="O789" s="0"/>
      <x:c r="P789" s="6">
        <x:v>46252</x:v>
      </x:c>
      <x:c r="Q789" s="6">
        <x:v>46252.73805049768</x:v>
      </x:c>
      <x:c r="R789" t="str" s="2">
        <x:v>Patrick Schuchart</x:v>
      </x:c>
      <x:c r="S789" s="0"/>
      <x:c r="T789" s="0"/>
      <x:c r="U789" s="0"/>
      <x:c r="V789" s="0"/>
      <x:c r="W789" s="0"/>
      <x:c r="X789" t="str" s="2">
        <x:v>3182860406</x:v>
      </x:c>
      <x:c r="Y789" t="str" s="2">
        <x:v>3182860406</x:v>
      </x:c>
      <x:c r="Z789" s="6">
        <x:v>46252.73926365741</x:v>
      </x:c>
      <x:c r="AA789" t="str" s="2">
        <x:v>Patrick Schuchart</x:v>
      </x:c>
      <x:c r="AB789" s="6">
        <x:v>46252.73805211805</x:v>
      </x:c>
      <x:c r="AC789" t="n" s="2">
        <x:v>39234</x:v>
      </x:c>
      <x:c r="AD789" s="0"/>
      <x:c r="AE789" s="0"/>
      <x:c r="AF789" s="0"/>
      <x:c r="AG789" s="0"/>
      <x:c r="AH789" s="0"/>
      <x:c r="AI789" s="0"/>
      <x:c r="AJ789" s="0"/>
      <x:c r="AK789" s="0"/>
    </x:row>
    <x:row r="790">
      <x:c r="A790" t="str" s="2">
        <x:f>=HYPERLINK("https://rsms.futurehomex.com/lead/39235", "Glendora Frazier")</x:f>
      </x:c>
      <x:c r="B790" t="n" s="2">
        <x:v>56</x:v>
      </x:c>
      <x:c r="C790" t="str" s="2">
        <x:v>0/1</x:v>
      </x:c>
      <x:c r="D790" t="str" s="2">
        <x:f>=""</x:f>
      </x:c>
      <x:c r="E790" s="0"/>
      <x:c r="F790" t="str" s="2">
        <x:v>Website</x:v>
      </x:c>
      <x:c r="G790" t="str" s="2">
        <x:v>Heritage Housing of Minden</x:v>
      </x:c>
      <x:c r="H790" t="str" s="2">
        <x:v>Patrick Schuchart</x:v>
      </x:c>
      <x:c r="I790" t="str" s="2">
        <x:v>Karol Romero</x:v>
      </x:c>
      <x:c r="J790" t="str" s="2">
        <x:v>Patrick Schuchart</x:v>
      </x:c>
      <x:c r="K790" t="n" s="2">
        <x:v>5</x:v>
      </x:c>
      <x:c r="L790" t="str" s="2">
        <x:v>1.1</x:v>
      </x:c>
      <x:c r="M790" t="str" s="2">
        <x:v>Tentative</x:v>
      </x:c>
      <x:c r="N790" t="str" s="2">
        <x:v>Deal Created</x:v>
      </x:c>
      <x:c r="O790" s="0"/>
      <x:c r="P790" s="6">
        <x:v>46252</x:v>
      </x:c>
      <x:c r="Q790" s="6">
        <x:v>46263.85841400463</x:v>
      </x:c>
      <x:c r="R790" t="str" s="2">
        <x:v>Patrick Schuchart</x:v>
      </x:c>
      <x:c r="S790" s="0"/>
      <x:c r="T790" s="0"/>
      <x:c r="U790" s="0"/>
      <x:c r="V790" s="0"/>
      <x:c r="W790" s="0"/>
      <x:c r="X790" t="str" s="2">
        <x:v>3182052419</x:v>
      </x:c>
      <x:c r="Y790" t="str" s="2">
        <x:v>3182052419</x:v>
      </x:c>
      <x:c r="Z790" s="6">
        <x:v>46288.73528515046</x:v>
      </x:c>
      <x:c r="AA790" t="str" s="2">
        <x:v>Patrick Schuchart</x:v>
      </x:c>
      <x:c r="AB790" s="6">
        <x:v>46252.74119533565</x:v>
      </x:c>
      <x:c r="AC790" t="n" s="2">
        <x:v>39235</x:v>
      </x:c>
      <x:c r="AD790" s="0"/>
      <x:c r="AE790" s="0"/>
      <x:c r="AF790" s="0"/>
      <x:c r="AG790" s="0"/>
      <x:c r="AH790" s="0"/>
      <x:c r="AI790" s="0"/>
      <x:c r="AJ790" s="0"/>
      <x:c r="AK790" s="0"/>
    </x:row>
    <x:row r="791">
      <x:c r="A791" t="str" s="2">
        <x:f>=HYPERLINK("https://rsms.futurehomex.com/lead/39236", "Juan Martinez")</x:f>
      </x:c>
      <x:c r="B791" t="n" s="2">
        <x:v>56</x:v>
      </x:c>
      <x:c r="C791" t="str" s="2">
        <x:v/>
      </x:c>
      <x:c r="D791" t="str" s="2">
        <x:f>=""</x:f>
      </x:c>
      <x:c r="E791" s="0"/>
      <x:c r="F791" t="str" s="2">
        <x:v>Meta Marketplace</x:v>
      </x:c>
      <x:c r="G791" t="str" s="2">
        <x:v>Heritage Housing Mt Pleasant</x:v>
      </x:c>
      <x:c r="H791" t="str" s="2">
        <x:v>Sandra Saldana</x:v>
      </x:c>
      <x:c r="I791" s="0"/>
      <x:c r="J791" t="str" s="2">
        <x:v>Sandra Saldana</x:v>
      </x:c>
      <x:c r="K791" t="n" s="2">
        <x:v>5</x:v>
      </x:c>
      <x:c r="L791" t="str" s="2">
        <x:v>1.1</x:v>
      </x:c>
      <x:c r="M791" t="str" s="2">
        <x:v>Tentative</x:v>
      </x:c>
      <x:c r="N791" t="str" s="2">
        <x:v>Deal Created</x:v>
      </x:c>
      <x:c r="O791" s="0"/>
      <x:c r="P791" s="6">
        <x:v>46252</x:v>
      </x:c>
      <x:c r="Q791" s="6">
        <x:v>46253.83985532408</x:v>
      </x:c>
      <x:c r="R791" s="0"/>
      <x:c r="S791" s="0"/>
      <x:c r="T791" s="0"/>
      <x:c r="U791" s="0"/>
      <x:c r="V791" s="0"/>
      <x:c r="W791" s="0"/>
      <x:c r="X791" t="str" s="2">
        <x:v>9037080324</x:v>
      </x:c>
      <x:c r="Y791" t="str" s="2">
        <x:v>9037080324</x:v>
      </x:c>
      <x:c r="Z791" s="6">
        <x:v>46252.74888753472</x:v>
      </x:c>
      <x:c r="AA791" t="str" s="2">
        <x:v>Sandra Saldana</x:v>
      </x:c>
      <x:c r="AB791" s="6">
        <x:v>46252.74248896991</x:v>
      </x:c>
      <x:c r="AC791" t="n" s="2">
        <x:v>39236</x:v>
      </x:c>
      <x:c r="AD791" s="0"/>
      <x:c r="AE791" s="0"/>
      <x:c r="AF791" s="0"/>
      <x:c r="AG791" s="0"/>
      <x:c r="AH791" s="0"/>
      <x:c r="AI791" s="0"/>
      <x:c r="AJ791" s="0"/>
      <x:c r="AK791" s="0"/>
    </x:row>
    <x:row r="792">
      <x:c r="A792" t="str" s="2">
        <x:f>=HYPERLINK("https://rsms.futurehomex.com/lead/39237", "Samul Beal")</x:f>
      </x:c>
      <x:c r="B792" t="n" s="2">
        <x:v>56</x:v>
      </x:c>
      <x:c r="C792" t="str" s="2">
        <x:v/>
      </x:c>
      <x:c r="D792" t="str" s="2">
        <x:f>=""</x:f>
      </x:c>
      <x:c r="E792" s="0"/>
      <x:c r="F792" t="str" s="2">
        <x:v>Referrals</x:v>
      </x:c>
      <x:c r="G792" t="str" s="2">
        <x:v>Legacy Housing Corp. DBA Americasa</x:v>
      </x:c>
      <x:c r="H792" t="str" s="2">
        <x:v>Jose Parada</x:v>
      </x:c>
      <x:c r="I792" t="str" s="2">
        <x:v>Karol Romero</x:v>
      </x:c>
      <x:c r="J792" t="str" s="2">
        <x:v>Jose Parada</x:v>
      </x:c>
      <x:c r="K792" t="n" s="2">
        <x:v>5</x:v>
      </x:c>
      <x:c r="L792" t="str" s="2">
        <x:v>1.1</x:v>
      </x:c>
      <x:c r="M792" t="str" s="2">
        <x:v>Tentative</x:v>
      </x:c>
      <x:c r="N792" t="str" s="2">
        <x:v>Deal Created</x:v>
      </x:c>
      <x:c r="O792" s="0"/>
      <x:c r="P792" s="6">
        <x:v>46252</x:v>
      </x:c>
      <x:c r="Q792" s="6">
        <x:v>46253.54954583333</x:v>
      </x:c>
      <x:c r="R792" s="0"/>
      <x:c r="S792" s="0"/>
      <x:c r="T792" s="0"/>
      <x:c r="U792" s="0"/>
      <x:c r="V792" s="0"/>
      <x:c r="W792" s="0"/>
      <x:c r="X792" t="str" s="2">
        <x:v>3464209066</x:v>
      </x:c>
      <x:c r="Y792" t="str" s="2">
        <x:v>samulbeal@gmail.com</x:v>
      </x:c>
      <x:c r="Z792" s="6">
        <x:v>46253.54912739583</x:v>
      </x:c>
      <x:c r="AA792" t="str" s="2">
        <x:v>Jose Parada</x:v>
      </x:c>
      <x:c r="AB792" s="6">
        <x:v>46252.75893642361</x:v>
      </x:c>
      <x:c r="AC792" t="n" s="2">
        <x:v>39237</x:v>
      </x:c>
      <x:c r="AD792" s="0"/>
      <x:c r="AE792" s="0"/>
      <x:c r="AF792" s="0"/>
      <x:c r="AG792" s="0"/>
      <x:c r="AH792" s="0"/>
      <x:c r="AI792" s="0"/>
      <x:c r="AJ792" s="0"/>
      <x:c r="AK792" s="0"/>
    </x:row>
    <x:row r="793">
      <x:c r="A793" t="str" s="2">
        <x:f>=HYPERLINK("https://rsms.futurehomex.com/lead/39238", "Giezi Daniel Aguillon Oviedo")</x:f>
      </x:c>
      <x:c r="B793" t="n" s="2">
        <x:v>56</x:v>
      </x:c>
      <x:c r="C793" t="str" s="2">
        <x:v>0/2</x:v>
      </x:c>
      <x:c r="D793" t="str" s="2">
        <x:f>=""</x:f>
      </x:c>
      <x:c r="E793" s="0"/>
      <x:c r="F793" t="str" s="2">
        <x:v>Facebook Messenger</x:v>
      </x:c>
      <x:c r="G793" t="str" s="2">
        <x:v>Heritage Housing of Greenville</x:v>
      </x:c>
      <x:c r="H793" t="str" s="2">
        <x:v>Ana Garcia</x:v>
      </x:c>
      <x:c r="I793" s="0"/>
      <x:c r="J793" t="str" s="2">
        <x:v>Ana Garcia</x:v>
      </x:c>
      <x:c r="K793" t="n" s="2">
        <x:v>48</x:v>
      </x:c>
      <x:c r="L793" t="str" s="2">
        <x:v>3.7</x:v>
      </x:c>
      <x:c r="M793" t="str" s="2">
        <x:v>Active</x:v>
      </x:c>
      <x:c r="N793" t="str" s="2">
        <x:v>Loan Submitted</x:v>
      </x:c>
      <x:c r="O793" s="0"/>
      <x:c r="P793" s="6">
        <x:v>46252</x:v>
      </x:c>
      <x:c r="Q793" s="6">
        <x:v>46291.561748645836</x:v>
      </x:c>
      <x:c r="R793" s="0"/>
      <x:c r="S793" s="6">
        <x:v>46252</x:v>
      </x:c>
      <x:c r="T793" s="6">
        <x:v>46252</x:v>
      </x:c>
      <x:c r="U793" s="6">
        <x:v>46300</x:v>
      </x:c>
      <x:c r="V793" s="0"/>
      <x:c r="W793" s="0"/>
      <x:c r="X793" t="str" s="2">
        <x:v>4302353991</x:v>
      </x:c>
      <x:c r="Y793" t="str" s="2">
        <x:v>Danielaguillon022@gmail.com</x:v>
      </x:c>
      <x:c r="Z793" s="6">
        <x:v>46300.76019811343</x:v>
      </x:c>
      <x:c r="AA793" t="str" s="2">
        <x:v>Brandie Sartor</x:v>
      </x:c>
      <x:c r="AB793" s="6">
        <x:v>46252.769867905095</x:v>
      </x:c>
      <x:c r="AC793" t="n" s="2">
        <x:v>39238</x:v>
      </x:c>
      <x:c r="AD793" t="str" s="2">
        <x:v>Singlewide</x:v>
      </x:c>
      <x:c r="AE793" t="str" s="2">
        <x:v>Legacy Housing Corporation</x:v>
      </x:c>
      <x:c r="AF793" s="7">
        <x:v>8810</x:v>
      </x:c>
      <x:c r="AG793" s="7">
        <x:v>5500</x:v>
      </x:c>
      <x:c r="AH793" s="7">
        <x:v>5000</x:v>
      </x:c>
      <x:c r="AI793" t="str" s="2">
        <x:v>0</x:v>
      </x:c>
      <x:c r="AJ793" s="0"/>
      <x:c r="AK793" s="0"/>
    </x:row>
    <x:row r="794">
      <x:c r="A794" t="str" s="2">
        <x:f>=HYPERLINK("https://rsms.futurehomex.com/lead/39239", "Steve Taylor")</x:f>
      </x:c>
      <x:c r="B794" t="n" s="2">
        <x:v>56</x:v>
      </x:c>
      <x:c r="C794" t="str" s="2">
        <x:v>1/1</x:v>
      </x:c>
      <x:c r="D794" t="str" s="2">
        <x:f>=""</x:f>
      </x:c>
      <x:c r="E794" s="0"/>
      <x:c r="F794" t="str" s="2">
        <x:v>Facebook Messenger</x:v>
      </x:c>
      <x:c r="G794" t="str" s="2">
        <x:v>Heritage Housing of Oklahoma City</x:v>
      </x:c>
      <x:c r="H794" t="str" s="2">
        <x:v>Trey Rixleben</x:v>
      </x:c>
      <x:c r="I794" t="str" s="2">
        <x:v>Karol Romero</x:v>
      </x:c>
      <x:c r="J794" t="str" s="2">
        <x:v>Trey Rixleben</x:v>
      </x:c>
      <x:c r="K794" t="n" s="2">
        <x:v>5</x:v>
      </x:c>
      <x:c r="L794" t="str" s="2">
        <x:v>1.1</x:v>
      </x:c>
      <x:c r="M794" t="str" s="2">
        <x:v>Tentative</x:v>
      </x:c>
      <x:c r="N794" t="str" s="2">
        <x:v>Deal Created</x:v>
      </x:c>
      <x:c r="O794" s="0"/>
      <x:c r="P794" s="6">
        <x:v>46252</x:v>
      </x:c>
      <x:c r="Q794" s="6">
        <x:v>46275.01804953704</x:v>
      </x:c>
      <x:c r="R794" s="0"/>
      <x:c r="S794" s="0"/>
      <x:c r="T794" s="0"/>
      <x:c r="U794" s="0"/>
      <x:c r="V794" s="0"/>
      <x:c r="W794" s="0"/>
      <x:c r="X794" t="str" s="2">
        <x:v>4059995761</x:v>
      </x:c>
      <x:c r="Y794" t="str" s="2">
        <x:v>sttaylorok@gmail.com</x:v>
      </x:c>
      <x:c r="Z794" s="6">
        <x:v>46296.883106678244</x:v>
      </x:c>
      <x:c r="AA794" t="str" s="2">
        <x:v>Trey Rixleben</x:v>
      </x:c>
      <x:c r="AB794" s="6">
        <x:v>46252.770990972225</x:v>
      </x:c>
      <x:c r="AC794" t="n" s="2">
        <x:v>39239</x:v>
      </x:c>
      <x:c r="AD794" s="0"/>
      <x:c r="AE794" s="0"/>
      <x:c r="AF794" s="0"/>
      <x:c r="AG794" s="0"/>
      <x:c r="AH794" s="0"/>
      <x:c r="AI794" s="0"/>
      <x:c r="AJ794" s="0"/>
      <x:c r="AK794" s="0"/>
    </x:row>
    <x:row r="795">
      <x:c r="A795" t="str" s="2">
        <x:f>=HYPERLINK("https://rsms.futurehomex.com/lead/39240", "Martha Mendoza")</x:f>
      </x:c>
      <x:c r="B795" t="n" s="2">
        <x:v>56</x:v>
      </x:c>
      <x:c r="C795" t="str" s="2">
        <x:v/>
      </x:c>
      <x:c r="D795" t="str" s="2">
        <x:f>=""</x:f>
      </x:c>
      <x:c r="E795" s="0"/>
      <x:c r="F795" t="str" s="2">
        <x:v>Other</x:v>
      </x:c>
      <x:c r="G795" t="str" s="2">
        <x:v>Heritage Housing Mt Pleasant</x:v>
      </x:c>
      <x:c r="H795" t="str" s="2">
        <x:v>Sandra Saldana</x:v>
      </x:c>
      <x:c r="I795" s="0"/>
      <x:c r="J795" t="str" s="2">
        <x:v>Sandra Saldana</x:v>
      </x:c>
      <x:c r="K795" t="n" s="2">
        <x:v>5</x:v>
      </x:c>
      <x:c r="L795" t="str" s="2">
        <x:v>1.1</x:v>
      </x:c>
      <x:c r="M795" t="str" s="2">
        <x:v>Tentative</x:v>
      </x:c>
      <x:c r="N795" t="str" s="2">
        <x:v>Deal Created</x:v>
      </x:c>
      <x:c r="O795" s="0"/>
      <x:c r="P795" s="6">
        <x:v>46252</x:v>
      </x:c>
      <x:c r="Q795" s="6">
        <x:v>46252.775738344906</x:v>
      </x:c>
      <x:c r="R795" s="0"/>
      <x:c r="S795" s="0"/>
      <x:c r="T795" s="0"/>
      <x:c r="U795" s="0"/>
      <x:c r="V795" s="0"/>
      <x:c r="W795" s="0"/>
      <x:c r="X795" t="str" s="2">
        <x:v>9037080394</x:v>
      </x:c>
      <x:c r="Y795" t="str" s="2">
        <x:v>9037080394</x:v>
      </x:c>
      <x:c r="Z795" s="6">
        <x:v>46252.95131975695</x:v>
      </x:c>
      <x:c r="AA795" t="str" s="2">
        <x:v>Sandra Saldana</x:v>
      </x:c>
      <x:c r="AB795" s="6">
        <x:v>46252.77573981482</x:v>
      </x:c>
      <x:c r="AC795" t="n" s="2">
        <x:v>39240</x:v>
      </x:c>
      <x:c r="AD795" s="0"/>
      <x:c r="AE795" s="0"/>
      <x:c r="AF795" s="0"/>
      <x:c r="AG795" s="0"/>
      <x:c r="AH795" s="0"/>
      <x:c r="AI795" s="0"/>
      <x:c r="AJ795" s="0"/>
      <x:c r="AK795" s="0"/>
    </x:row>
    <x:row r="796">
      <x:c r="A796" t="str" s="2">
        <x:f>=HYPERLINK("https://rsms.futurehomex.com/lead/39241", "Michael Walton")</x:f>
      </x:c>
      <x:c r="B796" t="n" s="2">
        <x:v>56</x:v>
      </x:c>
      <x:c r="C796" t="str" s="2">
        <x:v/>
      </x:c>
      <x:c r="D796" t="str" s="2">
        <x:f>=""</x:f>
      </x:c>
      <x:c r="E796" s="0"/>
      <x:c r="F796" t="str" s="2">
        <x:v>Other</x:v>
      </x:c>
      <x:c r="G796" t="str" s="2">
        <x:v>Heritage Housing Mt Pleasant</x:v>
      </x:c>
      <x:c r="H796" t="str" s="2">
        <x:v>Yarelis Torres</x:v>
      </x:c>
      <x:c r="I796" s="0"/>
      <x:c r="J796" t="str" s="2">
        <x:v>Yarelis Torres</x:v>
      </x:c>
      <x:c r="K796" t="n" s="2">
        <x:v>5</x:v>
      </x:c>
      <x:c r="L796" t="str" s="2">
        <x:v>1.1</x:v>
      </x:c>
      <x:c r="M796" t="str" s="2">
        <x:v>Tentative</x:v>
      </x:c>
      <x:c r="N796" t="str" s="2">
        <x:v>Deal Created</x:v>
      </x:c>
      <x:c r="O796" s="0"/>
      <x:c r="P796" s="6">
        <x:v>46252</x:v>
      </x:c>
      <x:c r="Q796" s="6">
        <x:v>46252.800321793984</x:v>
      </x:c>
      <x:c r="R796" s="0"/>
      <x:c r="S796" s="0"/>
      <x:c r="T796" s="0"/>
      <x:c r="U796" s="0"/>
      <x:c r="V796" s="0"/>
      <x:c r="W796" s="0"/>
      <x:c r="X796" t="str" s="2">
        <x:v>9405777843</x:v>
      </x:c>
      <x:c r="Y796" t="str" s="2">
        <x:v>9405777843</x:v>
      </x:c>
      <x:c r="Z796" s="6">
        <x:v>46252.93115648148</x:v>
      </x:c>
      <x:c r="AA796" t="str" s="2">
        <x:v>Yarelis Torres</x:v>
      </x:c>
      <x:c r="AB796" s="6">
        <x:v>46252.80032303241</x:v>
      </x:c>
      <x:c r="AC796" t="n" s="2">
        <x:v>39241</x:v>
      </x:c>
      <x:c r="AD796" s="0"/>
      <x:c r="AE796" s="0"/>
      <x:c r="AF796" s="0"/>
      <x:c r="AG796" s="0"/>
      <x:c r="AH796" s="0"/>
      <x:c r="AI796" s="0"/>
      <x:c r="AJ796" s="0"/>
      <x:c r="AK796" s="0"/>
    </x:row>
    <x:row r="797">
      <x:c r="A797" t="str" s="2">
        <x:f>=HYPERLINK("https://rsms.futurehomex.com/lead/39242", "Chandra Kirksey")</x:f>
      </x:c>
      <x:c r="B797" t="n" s="2">
        <x:v>56</x:v>
      </x:c>
      <x:c r="C797" t="str" s="2">
        <x:v>0/2</x:v>
      </x:c>
      <x:c r="D797" t="str" s="2">
        <x:f>=""</x:f>
      </x:c>
      <x:c r="E797" s="0"/>
      <x:c r="F797" t="str" s="2">
        <x:v>Walk-in</x:v>
      </x:c>
      <x:c r="G797" t="str" s="2">
        <x:v>Heritage Housing of Oklahoma City</x:v>
      </x:c>
      <x:c r="H797" t="str" s="2">
        <x:v>Steve Castell</x:v>
      </x:c>
      <x:c r="I797" s="0"/>
      <x:c r="J797" t="str" s="2">
        <x:v>Steve Castell</x:v>
      </x:c>
      <x:c r="K797" t="n" s="2">
        <x:v>5</x:v>
      </x:c>
      <x:c r="L797" t="str" s="2">
        <x:v>1.1</x:v>
      </x:c>
      <x:c r="M797" t="str" s="2">
        <x:v>Inactive</x:v>
      </x:c>
      <x:c r="N797" t="str" s="2">
        <x:v>Deal Created</x:v>
      </x:c>
      <x:c r="O797" s="0"/>
      <x:c r="P797" s="6">
        <x:v>46252</x:v>
      </x:c>
      <x:c r="Q797" s="6">
        <x:v>46252.81178229167</x:v>
      </x:c>
      <x:c r="R797" s="0"/>
      <x:c r="S797" s="6">
        <x:v>46252</x:v>
      </x:c>
      <x:c r="T797" s="0"/>
      <x:c r="U797" s="0"/>
      <x:c r="V797" s="0"/>
      <x:c r="W797" s="0"/>
      <x:c r="X797" t="str" s="2">
        <x:v>9188430987</x:v>
      </x:c>
      <x:c r="Y797" t="str" s="2">
        <x:v>chandrakirksey38@gmail.com</x:v>
      </x:c>
      <x:c r="Z797" s="6">
        <x:v>46304.042177233794</x:v>
      </x:c>
      <x:c r="AA797" t="str" s="2">
        <x:v>Steve Castell</x:v>
      </x:c>
      <x:c r="AB797" s="6">
        <x:v>46252.80960644676</x:v>
      </x:c>
      <x:c r="AC797" t="n" s="2">
        <x:v>39242</x:v>
      </x:c>
      <x:c r="AD797" s="0"/>
      <x:c r="AE797" s="0"/>
      <x:c r="AF797" s="0"/>
      <x:c r="AG797" s="0"/>
      <x:c r="AH797" s="0"/>
      <x:c r="AI797" s="0"/>
      <x:c r="AJ797" s="0"/>
      <x:c r="AK797" s="0"/>
    </x:row>
    <x:row r="798">
      <x:c r="A798" t="str" s="2">
        <x:f>=HYPERLINK("https://rsms.futurehomex.com/lead/39243", "Barbara Joyce")</x:f>
      </x:c>
      <x:c r="B798" t="n" s="2">
        <x:v>56</x:v>
      </x:c>
      <x:c r="C798" t="str" s="2">
        <x:v>1/3</x:v>
      </x:c>
      <x:c r="D798" t="str" s="2">
        <x:f>=""</x:f>
      </x:c>
      <x:c r="E798" s="0"/>
      <x:c r="F798" t="str" s="2">
        <x:v>Walk-in</x:v>
      </x:c>
      <x:c r="G798" t="str" s="2">
        <x:v>Heritage Housing of Oklahoma City</x:v>
      </x:c>
      <x:c r="H798" t="str" s="2">
        <x:v>Steve Castell</x:v>
      </x:c>
      <x:c r="I798" s="0"/>
      <x:c r="J798" t="str" s="2">
        <x:v>Steve Castell</x:v>
      </x:c>
      <x:c r="K798" t="n" s="2">
        <x:v>5</x:v>
      </x:c>
      <x:c r="L798" t="str" s="2">
        <x:v>1.1</x:v>
      </x:c>
      <x:c r="M798" t="str" s="2">
        <x:v>Tentative</x:v>
      </x:c>
      <x:c r="N798" t="str" s="2">
        <x:v>Deal Created</x:v>
      </x:c>
      <x:c r="O798" s="0"/>
      <x:c r="P798" s="6">
        <x:v>46252</x:v>
      </x:c>
      <x:c r="Q798" s="6">
        <x:v>46252.81455193287</x:v>
      </x:c>
      <x:c r="R798" s="0"/>
      <x:c r="S798" s="6">
        <x:v>46252</x:v>
      </x:c>
      <x:c r="T798" s="0"/>
      <x:c r="U798" s="0"/>
      <x:c r="V798" s="0"/>
      <x:c r="W798" s="0"/>
      <x:c r="X798" t="str" s="2">
        <x:v>4054067848</x:v>
      </x:c>
      <x:c r="Y798" t="str" s="2">
        <x:v>sallyb29@yahoo.com</x:v>
      </x:c>
      <x:c r="Z798" s="6">
        <x:v>46287.97932283565</x:v>
      </x:c>
      <x:c r="AA798" t="str" s="2">
        <x:v>Steve Castell</x:v>
      </x:c>
      <x:c r="AB798" s="6">
        <x:v>46252.81294556713</x:v>
      </x:c>
      <x:c r="AC798" t="n" s="2">
        <x:v>39243</x:v>
      </x:c>
      <x:c r="AD798" s="0"/>
      <x:c r="AE798" s="0"/>
      <x:c r="AF798" s="0"/>
      <x:c r="AG798" s="0"/>
      <x:c r="AH798" s="0"/>
      <x:c r="AI798" s="0"/>
      <x:c r="AJ798" s="0"/>
      <x:c r="AK798" s="0"/>
    </x:row>
    <x:row r="799">
      <x:c r="A799" t="str" s="2">
        <x:f>=HYPERLINK("https://rsms.futurehomex.com/lead/39245", "Roberto Garcia Aguirre")</x:f>
      </x:c>
      <x:c r="B799" t="n" s="2">
        <x:v>56</x:v>
      </x:c>
      <x:c r="C799" t="str" s="2">
        <x:v>1/2</x:v>
      </x:c>
      <x:c r="D799" t="str" s="2">
        <x:f>=""</x:f>
      </x:c>
      <x:c r="E799" s="0"/>
      <x:c r="F799" t="str" s="2">
        <x:v>Referrals</x:v>
      </x:c>
      <x:c r="G799" t="str" s="2">
        <x:v>Legacy Housing Corp. DBA Americasa</x:v>
      </x:c>
      <x:c r="H799" t="str" s="2">
        <x:v>Joey Marquez</x:v>
      </x:c>
      <x:c r="I799" t="str" s="2">
        <x:v>Karol Romero</x:v>
      </x:c>
      <x:c r="J799" t="str" s="2">
        <x:v>Rodrigo Ramirez</x:v>
      </x:c>
      <x:c r="K799" t="n" s="2">
        <x:v>5</x:v>
      </x:c>
      <x:c r="L799" t="str" s="2">
        <x:v>1.1</x:v>
      </x:c>
      <x:c r="M799" t="str" s="2">
        <x:v>Inactive</x:v>
      </x:c>
      <x:c r="N799" t="str" s="2">
        <x:v>Deal Created</x:v>
      </x:c>
      <x:c r="O799" s="0"/>
      <x:c r="P799" s="6">
        <x:v>46252</x:v>
      </x:c>
      <x:c r="Q799" s="6">
        <x:v>46252.92837184028</x:v>
      </x:c>
      <x:c r="R799" s="0"/>
      <x:c r="S799" s="0"/>
      <x:c r="T799" s="0"/>
      <x:c r="U799" s="0"/>
      <x:c r="V799" s="0"/>
      <x:c r="W799" s="0"/>
      <x:c r="X799" t="str" s="2">
        <x:v>3467572742</x:v>
      </x:c>
      <x:c r="Y799" t="str" s="2">
        <x:v>3467572742</x:v>
      </x:c>
      <x:c r="Z799" s="6">
        <x:v>46308.59670991898</x:v>
      </x:c>
      <x:c r="AA799" t="str" s="2">
        <x:v>Joey Marquez</x:v>
      </x:c>
      <x:c r="AB799" s="6">
        <x:v>46252.928373414354</x:v>
      </x:c>
      <x:c r="AC799" t="n" s="2">
        <x:v>39245</x:v>
      </x:c>
      <x:c r="AD799" s="0"/>
      <x:c r="AE799" s="0"/>
      <x:c r="AF799" s="0"/>
      <x:c r="AG799" s="0"/>
      <x:c r="AH799" s="0"/>
      <x:c r="AI799" s="0"/>
      <x:c r="AJ799" s="0"/>
      <x:c r="AK799" s="0"/>
    </x:row>
    <x:row r="800">
      <x:c r="A800" t="str" s="2">
        <x:f>=HYPERLINK("https://rsms.futurehomex.com/lead/39246", "Ayden Hofs")</x:f>
      </x:c>
      <x:c r="B800" t="n" s="2">
        <x:v>56</x:v>
      </x:c>
      <x:c r="C800" t="str" s="2">
        <x:v>0/3</x:v>
      </x:c>
      <x:c r="D800" t="str" s="2">
        <x:f>=""</x:f>
      </x:c>
      <x:c r="E800" s="0"/>
      <x:c r="F800" t="str" s="2">
        <x:v>Meta Ads - Messenger</x:v>
      </x:c>
      <x:c r="G800" t="str" s="2">
        <x:v>Heritage Housing of Oklahoma City</x:v>
      </x:c>
      <x:c r="H800" t="str" s="2">
        <x:v>Alejandra Calderon</x:v>
      </x:c>
      <x:c r="I800" t="str" s="2">
        <x:v>Karol Romero</x:v>
      </x:c>
      <x:c r="J800" t="str" s="2">
        <x:v>Steve Castell</x:v>
      </x:c>
      <x:c r="K800" t="n" s="2">
        <x:v>5</x:v>
      </x:c>
      <x:c r="L800" t="str" s="2">
        <x:v>1.1</x:v>
      </x:c>
      <x:c r="M800" t="str" s="2">
        <x:v>Dead</x:v>
      </x:c>
      <x:c r="N800" t="str" s="2">
        <x:v>Deal Created</x:v>
      </x:c>
      <x:c r="O800" s="0"/>
      <x:c r="P800" s="6">
        <x:v>46252</x:v>
      </x:c>
      <x:c r="Q800" s="6">
        <x:v>46252.929549305554</x:v>
      </x:c>
      <x:c r="R800" s="0"/>
      <x:c r="S800" s="0"/>
      <x:c r="T800" s="0"/>
      <x:c r="U800" s="0"/>
      <x:c r="V800" s="0"/>
      <x:c r="W800" s="0"/>
      <x:c r="X800" t="str" s="2">
        <x:v>4058273505</x:v>
      </x:c>
      <x:c r="Y800" t="str" s="2">
        <x:v>4058273505</x:v>
      </x:c>
      <x:c r="Z800" s="6">
        <x:v>46273.886527511575</x:v>
      </x:c>
      <x:c r="AA800" t="str" s="2">
        <x:v>Richard Bell</x:v>
      </x:c>
      <x:c r="AB800" s="6">
        <x:v>46254.625481331015</x:v>
      </x:c>
      <x:c r="AC800" t="n" s="2">
        <x:v>39246</x:v>
      </x:c>
      <x:c r="AD800" s="0"/>
      <x:c r="AE800" s="0"/>
      <x:c r="AF800" s="0"/>
      <x:c r="AG800" s="0"/>
      <x:c r="AH800" s="0"/>
      <x:c r="AI800" s="0"/>
      <x:c r="AJ800" s="0"/>
      <x:c r="AK800" s="0"/>
    </x:row>
    <x:row r="801">
      <x:c r="A801" t="str" s="2">
        <x:f>=HYPERLINK("https://rsms.futurehomex.com/lead/39247", "Ty Mc Nutt")</x:f>
      </x:c>
      <x:c r="B801" t="n" s="2">
        <x:v>56</x:v>
      </x:c>
      <x:c r="C801" t="str" s="2">
        <x:v/>
      </x:c>
      <x:c r="D801" t="str" s="2">
        <x:f>=""</x:f>
      </x:c>
      <x:c r="E801" s="0"/>
      <x:c r="F801" t="str" s="2">
        <x:v>Office Hot Calls</x:v>
      </x:c>
      <x:c r="G801" t="str" s="2">
        <x:v>Heritage Housing Mt Pleasant</x:v>
      </x:c>
      <x:c r="H801" t="str" s="2">
        <x:v>Yarelis Torres</x:v>
      </x:c>
      <x:c r="I801" s="0"/>
      <x:c r="J801" t="str" s="2">
        <x:v>Yarelis Torres</x:v>
      </x:c>
      <x:c r="K801" t="n" s="2">
        <x:v>5</x:v>
      </x:c>
      <x:c r="L801" t="str" s="2">
        <x:v>1.1</x:v>
      </x:c>
      <x:c r="M801" t="str" s="2">
        <x:v>Dead</x:v>
      </x:c>
      <x:c r="N801" t="str" s="2">
        <x:v>Deal Created</x:v>
      </x:c>
      <x:c r="O801" s="0"/>
      <x:c r="P801" s="6">
        <x:v>46252</x:v>
      </x:c>
      <x:c r="Q801" s="6">
        <x:v>46252.97174259259</x:v>
      </x:c>
      <x:c r="R801" s="0"/>
      <x:c r="S801" s="0"/>
      <x:c r="T801" s="0"/>
      <x:c r="U801" s="0"/>
      <x:c r="V801" s="0"/>
      <x:c r="W801" s="0"/>
      <x:c r="X801" t="str" s="2">
        <x:v>9039460882</x:v>
      </x:c>
      <x:c r="Y801" t="str" s="2">
        <x:v>mcnutt1580@icloud.com</x:v>
      </x:c>
      <x:c r="Z801" s="6">
        <x:v>46262.99768341435</x:v>
      </x:c>
      <x:c r="AA801" t="str" s="2">
        <x:v>Yarelis Torres</x:v>
      </x:c>
      <x:c r="AB801" s="6">
        <x:v>46252.971745601855</x:v>
      </x:c>
      <x:c r="AC801" t="n" s="2">
        <x:v>39247</x:v>
      </x:c>
      <x:c r="AD801" s="0"/>
      <x:c r="AE801" s="0"/>
      <x:c r="AF801" s="0"/>
      <x:c r="AG801" s="0"/>
      <x:c r="AH801" s="0"/>
      <x:c r="AI801" s="0"/>
      <x:c r="AJ801" s="0"/>
      <x:c r="AK801" s="0"/>
    </x:row>
    <x:row r="802">
      <x:c r="A802" t="str" s="2">
        <x:f>=HYPERLINK("https://rsms.futurehomex.com/lead/39248", "Darla Lopez")</x:f>
      </x:c>
      <x:c r="B802" t="n" s="2">
        <x:v>55</x:v>
      </x:c>
      <x:c r="C802" t="str" s="2">
        <x:v/>
      </x:c>
      <x:c r="D802" t="str" s="2">
        <x:f>=""</x:f>
      </x:c>
      <x:c r="E802" s="0"/>
      <x:c r="F802" t="str" s="2">
        <x:v>Walk-in</x:v>
      </x:c>
      <x:c r="G802" t="str" s="2">
        <x:v>Heritage Housing of Athens</x:v>
      </x:c>
      <x:c r="H802" t="str" s="2">
        <x:v>Nathan Bishop</x:v>
      </x:c>
      <x:c r="I802" s="0"/>
      <x:c r="J802" t="str" s="2">
        <x:v>Nathan Bishop</x:v>
      </x:c>
      <x:c r="K802" t="n" s="2">
        <x:v>5</x:v>
      </x:c>
      <x:c r="L802" t="str" s="2">
        <x:v>1.1</x:v>
      </x:c>
      <x:c r="M802" t="str" s="2">
        <x:v>Dead</x:v>
      </x:c>
      <x:c r="N802" t="str" s="2">
        <x:v>Deal Created</x:v>
      </x:c>
      <x:c r="O802" s="0"/>
      <x:c r="P802" s="6">
        <x:v>46253</x:v>
      </x:c>
      <x:c r="Q802" s="6">
        <x:v>46253.5720022338</x:v>
      </x:c>
      <x:c r="R802" s="0"/>
      <x:c r="S802" s="0"/>
      <x:c r="T802" s="0"/>
      <x:c r="U802" s="0"/>
      <x:c r="V802" s="0"/>
      <x:c r="W802" s="0"/>
      <x:c r="X802" t="str" s="2">
        <x:v>6789433434</x:v>
      </x:c>
      <x:c r="Y802" t="str" s="2">
        <x:v>6789433434</x:v>
      </x:c>
      <x:c r="Z802" s="6">
        <x:v>46253.57354128472</x:v>
      </x:c>
      <x:c r="AA802" t="str" s="2">
        <x:v>Timothy Postlethwait</x:v>
      </x:c>
      <x:c r="AB802" s="6">
        <x:v>46253.57200396991</x:v>
      </x:c>
      <x:c r="AC802" t="n" s="2">
        <x:v>39248</x:v>
      </x:c>
      <x:c r="AD802" s="0"/>
      <x:c r="AE802" s="0"/>
      <x:c r="AF802" s="0"/>
      <x:c r="AG802" s="0"/>
      <x:c r="AH802" s="0"/>
      <x:c r="AI802" s="0"/>
      <x:c r="AJ802" s="0"/>
      <x:c r="AK802" s="0"/>
    </x:row>
    <x:row r="803">
      <x:c r="A803" t="str" s="2">
        <x:f>=HYPERLINK("https://rsms.futurehomex.com/lead/39250", "Nayeli Torres")</x:f>
      </x:c>
      <x:c r="B803" t="n" s="2">
        <x:v>55</x:v>
      </x:c>
      <x:c r="C803" t="str" s="2">
        <x:v/>
      </x:c>
      <x:c r="D803" t="str" s="2">
        <x:f>=""</x:f>
      </x:c>
      <x:c r="E803" s="0"/>
      <x:c r="F803" t="str" s="2">
        <x:v>Facebook Messenger</x:v>
      </x:c>
      <x:c r="G803" t="str" s="2">
        <x:v>Heritage Housing of Asheboro</x:v>
      </x:c>
      <x:c r="H803" t="str" s="2">
        <x:v>Maria Lopez</x:v>
      </x:c>
      <x:c r="I803" s="0"/>
      <x:c r="J803" s="0"/>
      <x:c r="K803" t="n" s="2">
        <x:v>21</x:v>
      </x:c>
      <x:c r="L803" t="str" s="2">
        <x:v>2.1</x:v>
      </x:c>
      <x:c r="M803" t="str" s="2">
        <x:v>Tentative</x:v>
      </x:c>
      <x:c r="N803" t="str" s="2">
        <x:v>Qualified</x:v>
      </x:c>
      <x:c r="O803" s="0"/>
      <x:c r="P803" s="6">
        <x:v>46253</x:v>
      </x:c>
      <x:c r="Q803" s="6">
        <x:v>46256.80621508102</x:v>
      </x:c>
      <x:c r="R803" s="0"/>
      <x:c r="S803" s="0"/>
      <x:c r="T803" s="0"/>
      <x:c r="U803" s="0"/>
      <x:c r="V803" s="0"/>
      <x:c r="W803" s="0"/>
      <x:c r="X803" t="str" s="2">
        <x:v>3362673006</x:v>
      </x:c>
      <x:c r="Y803" t="str" s="2">
        <x:v>Nayeli.ctorres@gmail.com</x:v>
      </x:c>
      <x:c r="Z803" s="6">
        <x:v>46256.80620454861</x:v>
      </x:c>
      <x:c r="AA803" t="str" s="2">
        <x:v>Jeremy Jacques</x:v>
      </x:c>
      <x:c r="AB803" s="6">
        <x:v>46253.58988472222</x:v>
      </x:c>
      <x:c r="AC803" t="n" s="2">
        <x:v>39250</x:v>
      </x:c>
      <x:c r="AD803" s="0"/>
      <x:c r="AE803" s="0"/>
      <x:c r="AF803" s="0"/>
      <x:c r="AG803" s="0"/>
      <x:c r="AH803" s="0"/>
      <x:c r="AI803" s="0"/>
      <x:c r="AJ803" s="0"/>
      <x:c r="AK803" s="0"/>
    </x:row>
    <x:row r="804">
      <x:c r="A804" t="str" s="2">
        <x:f>=HYPERLINK("https://rsms.futurehomex.com/lead/39252", "Josephine Brown")</x:f>
      </x:c>
      <x:c r="B804" t="n" s="2">
        <x:v>55</x:v>
      </x:c>
      <x:c r="C804" t="str" s="2">
        <x:v/>
      </x:c>
      <x:c r="D804" t="str" s="2">
        <x:f>=""</x:f>
      </x:c>
      <x:c r="E804" s="0"/>
      <x:c r="F804" t="str" s="2">
        <x:v>Walk-in</x:v>
      </x:c>
      <x:c r="G804" t="str" s="2">
        <x:v>Heritage Housing of Augusta</x:v>
      </x:c>
      <x:c r="H804" t="str" s="2">
        <x:v>Faye Lively</x:v>
      </x:c>
      <x:c r="I804" t="str" s="2">
        <x:v>Karol Romero</x:v>
      </x:c>
      <x:c r="J804" t="str" s="2">
        <x:v>Faye Lively</x:v>
      </x:c>
      <x:c r="K804" t="n" s="2">
        <x:v>5</x:v>
      </x:c>
      <x:c r="L804" t="str" s="2">
        <x:v>1.1</x:v>
      </x:c>
      <x:c r="M804" t="str" s="2">
        <x:v>Active</x:v>
      </x:c>
      <x:c r="N804" t="str" s="2">
        <x:v>Deal Created</x:v>
      </x:c>
      <x:c r="O804" s="0"/>
      <x:c r="P804" s="6">
        <x:v>46253</x:v>
      </x:c>
      <x:c r="Q804" s="6">
        <x:v>46274.63426608796</x:v>
      </x:c>
      <x:c r="R804" s="0"/>
      <x:c r="S804" s="6">
        <x:v>46265</x:v>
      </x:c>
      <x:c r="T804" s="6">
        <x:v>46274</x:v>
      </x:c>
      <x:c r="U804" s="0"/>
      <x:c r="V804" s="0"/>
      <x:c r="W804" s="0"/>
      <x:c r="X804" t="str" s="2">
        <x:v>7062944724</x:v>
      </x:c>
      <x:c r="Y804" t="str" s="2">
        <x:v>josephinebrown2000@yahoo.com</x:v>
      </x:c>
      <x:c r="Z804" s="0"/>
      <x:c r="AA804" s="0"/>
      <x:c r="AB804" s="6">
        <x:v>46253.61095069444</x:v>
      </x:c>
      <x:c r="AC804" t="n" s="2">
        <x:v>39252</x:v>
      </x:c>
      <x:c r="AD804" s="0"/>
      <x:c r="AE804" s="0"/>
      <x:c r="AF804" s="0"/>
      <x:c r="AG804" s="7">
        <x:v>5000</x:v>
      </x:c>
      <x:c r="AH804" s="0"/>
      <x:c r="AI804" t="str" s="2">
        <x:v>607</x:v>
      </x:c>
      <x:c r="AJ804" s="0"/>
      <x:c r="AK804" s="0"/>
    </x:row>
    <x:row r="805">
      <x:c r="A805" t="str" s="2">
        <x:f>=HYPERLINK("https://rsms.futurehomex.com/lead/39253", "Ana Perez")</x:f>
      </x:c>
      <x:c r="B805" t="n" s="2">
        <x:v>55</x:v>
      </x:c>
      <x:c r="C805" t="str" s="2">
        <x:v/>
      </x:c>
      <x:c r="D805" t="str" s="2">
        <x:f>=""</x:f>
      </x:c>
      <x:c r="E805" s="0"/>
      <x:c r="F805" t="str" s="2">
        <x:v>Other</x:v>
      </x:c>
      <x:c r="G805" t="str" s="2">
        <x:v>Heritage Housing Mt Pleasant</x:v>
      </x:c>
      <x:c r="H805" t="str" s="2">
        <x:v>Sandra Saldana</x:v>
      </x:c>
      <x:c r="I805" s="0"/>
      <x:c r="J805" t="str" s="2">
        <x:v>Sandra Saldana</x:v>
      </x:c>
      <x:c r="K805" t="n" s="2">
        <x:v>5</x:v>
      </x:c>
      <x:c r="L805" t="str" s="2">
        <x:v>1.1</x:v>
      </x:c>
      <x:c r="M805" t="str" s="2">
        <x:v>Tentative</x:v>
      </x:c>
      <x:c r="N805" t="str" s="2">
        <x:v>Deal Created</x:v>
      </x:c>
      <x:c r="O805" s="0"/>
      <x:c r="P805" s="6">
        <x:v>46253</x:v>
      </x:c>
      <x:c r="Q805" s="6">
        <x:v>46253.63047103009</x:v>
      </x:c>
      <x:c r="R805" s="0"/>
      <x:c r="S805" s="0"/>
      <x:c r="T805" s="0"/>
      <x:c r="U805" s="0"/>
      <x:c r="V805" s="0"/>
      <x:c r="W805" s="0"/>
      <x:c r="X805" t="str" s="2">
        <x:v>9033808575</x:v>
      </x:c>
      <x:c r="Y805" t="str" s="2">
        <x:v>9033808575</x:v>
      </x:c>
      <x:c r="Z805" s="6">
        <x:v>46253.75440258102</x:v>
      </x:c>
      <x:c r="AA805" t="str" s="2">
        <x:v>Sandra Saldana</x:v>
      </x:c>
      <x:c r="AB805" s="6">
        <x:v>46253.630472488425</x:v>
      </x:c>
      <x:c r="AC805" t="n" s="2">
        <x:v>39253</x:v>
      </x:c>
      <x:c r="AD805" s="0"/>
      <x:c r="AE805" s="0"/>
      <x:c r="AF805" s="0"/>
      <x:c r="AG805" s="0"/>
      <x:c r="AH805" s="0"/>
      <x:c r="AI805" s="0"/>
      <x:c r="AJ805" s="0"/>
      <x:c r="AK805" s="0"/>
    </x:row>
    <x:row r="806">
      <x:c r="A806" t="str" s="2">
        <x:f>=HYPERLINK("https://rsms.futurehomex.com/lead/39254", "Perry Wilson")</x:f>
      </x:c>
      <x:c r="B806" t="n" s="2">
        <x:v>55</x:v>
      </x:c>
      <x:c r="C806" t="str" s="2">
        <x:v/>
      </x:c>
      <x:c r="D806" t="str" s="2">
        <x:f>=""</x:f>
      </x:c>
      <x:c r="E806" s="0"/>
      <x:c r="F806" t="str" s="2">
        <x:v>Facebook Messenger</x:v>
      </x:c>
      <x:c r="G806" t="str" s="2">
        <x:v>Heritage Housing of Athens</x:v>
      </x:c>
      <x:c r="H806" t="str" s="2">
        <x:v>Nathan Bishop</x:v>
      </x:c>
      <x:c r="I806" s="0"/>
      <x:c r="J806" t="str" s="2">
        <x:v>Nathan Bishop</x:v>
      </x:c>
      <x:c r="K806" t="n" s="2">
        <x:v>5</x:v>
      </x:c>
      <x:c r="L806" t="str" s="2">
        <x:v>1.1</x:v>
      </x:c>
      <x:c r="M806" t="str" s="2">
        <x:v>Tentative</x:v>
      </x:c>
      <x:c r="N806" t="str" s="2">
        <x:v>Deal Created</x:v>
      </x:c>
      <x:c r="O806" s="0"/>
      <x:c r="P806" s="6">
        <x:v>46253</x:v>
      </x:c>
      <x:c r="Q806" s="6">
        <x:v>46253.63564699074</x:v>
      </x:c>
      <x:c r="R806" s="0"/>
      <x:c r="S806" s="0"/>
      <x:c r="T806" s="0"/>
      <x:c r="U806" s="0"/>
      <x:c r="V806" s="0"/>
      <x:c r="W806" s="0"/>
      <x:c r="X806" t="str" s="2">
        <x:v>9432599216</x:v>
      </x:c>
      <x:c r="Y806" t="str" s="2">
        <x:v>9432599216</x:v>
      </x:c>
      <x:c r="Z806" s="6">
        <x:v>46253.636244988425</x:v>
      </x:c>
      <x:c r="AA806" t="str" s="2">
        <x:v>Timothy Postlethwait</x:v>
      </x:c>
      <x:c r="AB806" s="6">
        <x:v>46253.63384918981</x:v>
      </x:c>
      <x:c r="AC806" t="n" s="2">
        <x:v>39254</x:v>
      </x:c>
      <x:c r="AD806" s="0"/>
      <x:c r="AE806" s="0"/>
      <x:c r="AF806" s="0"/>
      <x:c r="AG806" s="0"/>
      <x:c r="AH806" s="0"/>
      <x:c r="AI806" s="0"/>
      <x:c r="AJ806" s="0"/>
      <x:c r="AK806" s="0"/>
    </x:row>
    <x:row r="807">
      <x:c r="A807" t="str" s="2">
        <x:f>=HYPERLINK("https://rsms.futurehomex.com/lead/39255", "Evelyn Holt")</x:f>
      </x:c>
      <x:c r="B807" t="n" s="2">
        <x:v>55</x:v>
      </x:c>
      <x:c r="C807" t="str" s="2">
        <x:v>0/2</x:v>
      </x:c>
      <x:c r="D807" t="str" s="2">
        <x:f>=""</x:f>
      </x:c>
      <x:c r="E807" s="0"/>
      <x:c r="F807" t="str" s="2">
        <x:v>Facebook Messenger</x:v>
      </x:c>
      <x:c r="G807" t="str" s="2">
        <x:v>Heritage Housing of Canton</x:v>
      </x:c>
      <x:c r="H807" t="str" s="2">
        <x:v>Jacob Hatten</x:v>
      </x:c>
      <x:c r="I807" s="0"/>
      <x:c r="J807" t="str" s="2">
        <x:v>Jacob Hatten</x:v>
      </x:c>
      <x:c r="K807" t="n" s="2">
        <x:v>38</x:v>
      </x:c>
      <x:c r="L807" t="str" s="2">
        <x:v>3.2</x:v>
      </x:c>
      <x:c r="M807" t="str" s="2">
        <x:v>Dead</x:v>
      </x:c>
      <x:c r="N807" t="str" s="2">
        <x:v>Application</x:v>
      </x:c>
      <x:c r="O807" s="0"/>
      <x:c r="P807" s="6">
        <x:v>46253</x:v>
      </x:c>
      <x:c r="Q807" s="6">
        <x:v>46258.828278622685</x:v>
      </x:c>
      <x:c r="R807" s="0"/>
      <x:c r="S807" s="0"/>
      <x:c r="T807" s="0"/>
      <x:c r="U807" s="0"/>
      <x:c r="V807" s="0"/>
      <x:c r="W807" s="0"/>
      <x:c r="X807" t="str" s="2">
        <x:v>9032887560</x:v>
      </x:c>
      <x:c r="Y807" t="str" s="2">
        <x:v>evholt321@gmail.com</x:v>
      </x:c>
      <x:c r="Z807" s="6">
        <x:v>46279.61291172454</x:v>
      </x:c>
      <x:c r="AA807" t="str" s="2">
        <x:v>Jacob Hatten</x:v>
      </x:c>
      <x:c r="AB807" s="6">
        <x:v>46253.634498148145</x:v>
      </x:c>
      <x:c r="AC807" t="n" s="2">
        <x:v>39255</x:v>
      </x:c>
      <x:c r="AD807" t="str" s="2">
        <x:v>Singlewide</x:v>
      </x:c>
      <x:c r="AE807" t="str" s="2">
        <x:v>Legacy Housing Corporation</x:v>
      </x:c>
      <x:c r="AF807" s="0"/>
      <x:c r="AG807" s="7">
        <x:v>10500</x:v>
      </x:c>
      <x:c r="AH807" s="0"/>
      <x:c r="AI807" t="str" s="2">
        <x:v>653</x:v>
      </x:c>
      <x:c r="AJ807" s="0"/>
      <x:c r="AK807" s="0"/>
    </x:row>
    <x:row r="808">
      <x:c r="A808" t="str" s="2">
        <x:f>=HYPERLINK("https://rsms.futurehomex.com/lead/39256", "Jailyn Owens")</x:f>
      </x:c>
      <x:c r="B808" t="n" s="2">
        <x:v>55</x:v>
      </x:c>
      <x:c r="C808" t="str" s="2">
        <x:v>0/2</x:v>
      </x:c>
      <x:c r="D808" t="str" s="2">
        <x:f>=""</x:f>
      </x:c>
      <x:c r="E808" s="0"/>
      <x:c r="F808" t="str" s="2">
        <x:v>Financing Form</x:v>
      </x:c>
      <x:c r="G808" t="str" s="2">
        <x:v>Heritage Housing of Oklahoma City</x:v>
      </x:c>
      <x:c r="H808" t="str" s="2">
        <x:v>Trey Rixleben</x:v>
      </x:c>
      <x:c r="I808" s="0"/>
      <x:c r="J808" s="0"/>
      <x:c r="K808" t="n" s="2">
        <x:v>5</x:v>
      </x:c>
      <x:c r="L808" t="str" s="2">
        <x:v>1.1</x:v>
      </x:c>
      <x:c r="M808" t="str" s="2">
        <x:v>Dead</x:v>
      </x:c>
      <x:c r="N808" t="str" s="2">
        <x:v>Prospect</x:v>
      </x:c>
      <x:c r="O808" s="0"/>
      <x:c r="P808" s="6">
        <x:v>46253</x:v>
      </x:c>
      <x:c r="Q808" s="6">
        <x:v>46253.65539545139</x:v>
      </x:c>
      <x:c r="R808" t="str" s="2">
        <x:v>Karla Brizuela</x:v>
      </x:c>
      <x:c r="S808" s="6">
        <x:v>46253</x:v>
      </x:c>
      <x:c r="T808" s="0"/>
      <x:c r="U808" s="0"/>
      <x:c r="V808" s="0"/>
      <x:c r="W808" s="0"/>
      <x:c r="X808" t="str" s="2">
        <x:v>3174470527</x:v>
      </x:c>
      <x:c r="Y808" t="str" s="2">
        <x:v>jayowen97@icloud.com</x:v>
      </x:c>
      <x:c r="Z808" s="6">
        <x:v>46265.74103105324</x:v>
      </x:c>
      <x:c r="AA808" t="str" s="2">
        <x:v>Richard Bell</x:v>
      </x:c>
      <x:c r="AB808" s="6">
        <x:v>46253.65539652778</x:v>
      </x:c>
      <x:c r="AC808" t="n" s="2">
        <x:v>39256</x:v>
      </x:c>
      <x:c r="AD808" s="0"/>
      <x:c r="AE808" s="0"/>
      <x:c r="AF808" s="0"/>
      <x:c r="AG808" s="0"/>
      <x:c r="AH808" s="0"/>
      <x:c r="AI808" s="0"/>
      <x:c r="AJ808" s="0"/>
      <x:c r="AK808" s="0"/>
    </x:row>
    <x:row r="809">
      <x:c r="A809" t="str" s="2">
        <x:f>=HYPERLINK("https://rsms.futurehomex.com/lead/39257", "Latashia P")</x:f>
      </x:c>
      <x:c r="B809" t="n" s="2">
        <x:v>55</x:v>
      </x:c>
      <x:c r="C809" t="str" s="2">
        <x:v/>
      </x:c>
      <x:c r="D809" t="str" s="2">
        <x:f>=""</x:f>
      </x:c>
      <x:c r="E809" s="0"/>
      <x:c r="F809" t="str" s="2">
        <x:v>Meta Ads - Forms</x:v>
      </x:c>
      <x:c r="G809" t="str" s="2">
        <x:v>Heritage Housing of Athens</x:v>
      </x:c>
      <x:c r="H809" t="str" s="2">
        <x:v>Nathan Bishop</x:v>
      </x:c>
      <x:c r="I809" s="0"/>
      <x:c r="J809" t="str" s="2">
        <x:v>Nathan Bishop</x:v>
      </x:c>
      <x:c r="K809" t="n" s="2">
        <x:v>5</x:v>
      </x:c>
      <x:c r="L809" t="str" s="2">
        <x:v>1.1</x:v>
      </x:c>
      <x:c r="M809" t="str" s="2">
        <x:v>Tentative</x:v>
      </x:c>
      <x:c r="N809" t="str" s="2">
        <x:v>Prospect</x:v>
      </x:c>
      <x:c r="O809" s="0"/>
      <x:c r="P809" s="6">
        <x:v>46253</x:v>
      </x:c>
      <x:c r="Q809" s="6">
        <x:v>46253.66029684028</x:v>
      </x:c>
      <x:c r="R809" s="0"/>
      <x:c r="S809" s="0"/>
      <x:c r="T809" s="0"/>
      <x:c r="U809" s="0"/>
      <x:c r="V809" s="0"/>
      <x:c r="W809" s="0"/>
      <x:c r="X809" t="str" s="2">
        <x:v>16783572851</x:v>
      </x:c>
      <x:c r="Y809" t="str" s="2">
        <x:v>lamiperry@gmail.com</x:v>
      </x:c>
      <x:c r="Z809" s="0"/>
      <x:c r="AA809" s="0"/>
      <x:c r="AB809" s="6">
        <x:v>46253.66029730324</x:v>
      </x:c>
      <x:c r="AC809" t="n" s="2">
        <x:v>39257</x:v>
      </x:c>
      <x:c r="AD809" s="0"/>
      <x:c r="AE809" s="0"/>
      <x:c r="AF809" s="0"/>
      <x:c r="AG809" s="0"/>
      <x:c r="AH809" s="0"/>
      <x:c r="AI809" s="0"/>
      <x:c r="AJ809" s="0"/>
      <x:c r="AK809" s="0"/>
    </x:row>
    <x:row r="810">
      <x:c r="A810" t="str" s="2">
        <x:f>=HYPERLINK("https://rsms.futurehomex.com/lead/39258", "Jeff Erwin")</x:f>
      </x:c>
      <x:c r="B810" t="n" s="2">
        <x:v>55</x:v>
      </x:c>
      <x:c r="C810" t="str" s="2">
        <x:v/>
      </x:c>
      <x:c r="D810" t="str" s="2">
        <x:f>=""</x:f>
      </x:c>
      <x:c r="E810" s="0"/>
      <x:c r="F810" t="str" s="2">
        <x:v>Walk-in</x:v>
      </x:c>
      <x:c r="G810" t="str" s="2">
        <x:v>Heritage Housing of Augusta</x:v>
      </x:c>
      <x:c r="H810" t="str" s="2">
        <x:v>Faye Lively</x:v>
      </x:c>
      <x:c r="I810" t="str" s="2">
        <x:v>Karol Romero</x:v>
      </x:c>
      <x:c r="J810" t="str" s="2">
        <x:v>Faye Lively</x:v>
      </x:c>
      <x:c r="K810" t="n" s="2">
        <x:v>5</x:v>
      </x:c>
      <x:c r="L810" t="str" s="2">
        <x:v>1.1</x:v>
      </x:c>
      <x:c r="M810" t="str" s="2">
        <x:v>Tentative</x:v>
      </x:c>
      <x:c r="N810" t="str" s="2">
        <x:v>Deal Created</x:v>
      </x:c>
      <x:c r="O810" s="0"/>
      <x:c r="P810" s="6">
        <x:v>46253</x:v>
      </x:c>
      <x:c r="Q810" s="6">
        <x:v>46253.67091234954</x:v>
      </x:c>
      <x:c r="R810" s="0"/>
      <x:c r="S810" s="0"/>
      <x:c r="T810" s="0"/>
      <x:c r="U810" s="0"/>
      <x:c r="V810" s="0"/>
      <x:c r="W810" s="0"/>
      <x:c r="X810" t="str" s="2">
        <x:v>9159229716</x:v>
      </x:c>
      <x:c r="Y810" t="str" s="2">
        <x:v>jefferwin83@gmail.com</x:v>
      </x:c>
      <x:c r="Z810" s="0"/>
      <x:c r="AA810" s="0"/>
      <x:c r="AB810" s="6">
        <x:v>46253.67091380787</x:v>
      </x:c>
      <x:c r="AC810" t="n" s="2">
        <x:v>39258</x:v>
      </x:c>
      <x:c r="AD810" s="0"/>
      <x:c r="AE810" s="0"/>
      <x:c r="AF810" s="0"/>
      <x:c r="AG810" s="0"/>
      <x:c r="AH810" s="0"/>
      <x:c r="AI810" s="0"/>
      <x:c r="AJ810" s="0"/>
      <x:c r="AK810" s="0"/>
    </x:row>
    <x:row r="811">
      <x:c r="A811" t="str" s="2">
        <x:f>=HYPERLINK("https://rsms.futurehomex.com/lead/39259", "Gabriela Vaquera")</x:f>
      </x:c>
      <x:c r="B811" t="n" s="2">
        <x:v>55</x:v>
      </x:c>
      <x:c r="C811" t="str" s="2">
        <x:v/>
      </x:c>
      <x:c r="D811" t="str" s="2">
        <x:f>=""</x:f>
      </x:c>
      <x:c r="E811" s="0"/>
      <x:c r="F811" t="str" s="2">
        <x:v>Other</x:v>
      </x:c>
      <x:c r="G811" t="str" s="2">
        <x:v>Heritage Housing Mt Pleasant</x:v>
      </x:c>
      <x:c r="H811" t="str" s="2">
        <x:v>Sandra Saldana</x:v>
      </x:c>
      <x:c r="I811" s="0"/>
      <x:c r="J811" t="str" s="2">
        <x:v>Sandra Saldana</x:v>
      </x:c>
      <x:c r="K811" t="n" s="2">
        <x:v>5</x:v>
      </x:c>
      <x:c r="L811" t="str" s="2">
        <x:v>1.1</x:v>
      </x:c>
      <x:c r="M811" t="str" s="2">
        <x:v>Tentative</x:v>
      </x:c>
      <x:c r="N811" t="str" s="2">
        <x:v>Deal Created</x:v>
      </x:c>
      <x:c r="O811" s="0"/>
      <x:c r="P811" s="6">
        <x:v>46253</x:v>
      </x:c>
      <x:c r="Q811" s="6">
        <x:v>46253.70243572917</x:v>
      </x:c>
      <x:c r="R811" s="0"/>
      <x:c r="S811" s="0"/>
      <x:c r="T811" s="0"/>
      <x:c r="U811" s="0"/>
      <x:c r="V811" s="0"/>
      <x:c r="W811" s="0"/>
      <x:c r="X811" t="str" s="2">
        <x:v>9032041651</x:v>
      </x:c>
      <x:c r="Y811" t="str" s="2">
        <x:v>9032041651</x:v>
      </x:c>
      <x:c r="Z811" s="6">
        <x:v>46253.753378622685</x:v>
      </x:c>
      <x:c r="AA811" t="str" s="2">
        <x:v>Sandra Saldana</x:v>
      </x:c>
      <x:c r="AB811" s="6">
        <x:v>46253.70243726852</x:v>
      </x:c>
      <x:c r="AC811" t="n" s="2">
        <x:v>39259</x:v>
      </x:c>
      <x:c r="AD811" s="0"/>
      <x:c r="AE811" s="0"/>
      <x:c r="AF811" s="0"/>
      <x:c r="AG811" s="0"/>
      <x:c r="AH811" s="0"/>
      <x:c r="AI811" s="0"/>
      <x:c r="AJ811" s="0"/>
      <x:c r="AK811" s="0"/>
    </x:row>
    <x:row r="812">
      <x:c r="A812" t="str" s="2">
        <x:f>=HYPERLINK("https://rsms.futurehomex.com/lead/39260", "Donna Weddle")</x:f>
      </x:c>
      <x:c r="B812" t="n" s="2">
        <x:v>55</x:v>
      </x:c>
      <x:c r="C812" t="str" s="2">
        <x:v>0/1</x:v>
      </x:c>
      <x:c r="D812" t="str" s="2">
        <x:f>=""</x:f>
      </x:c>
      <x:c r="E812" s="0"/>
      <x:c r="F812" t="str" s="2">
        <x:v>Facebook Messenger</x:v>
      </x:c>
      <x:c r="G812" t="str" s="2">
        <x:v>Legacy Housing Corp. DBA Americasa</x:v>
      </x:c>
      <x:c r="H812" t="str" s="2">
        <x:v>Jose Parada</x:v>
      </x:c>
      <x:c r="I812" t="str" s="2">
        <x:v>Karol Romero</x:v>
      </x:c>
      <x:c r="J812" s="0"/>
      <x:c r="K812" t="n" s="2">
        <x:v>5</x:v>
      </x:c>
      <x:c r="L812" t="str" s="2">
        <x:v>1.1</x:v>
      </x:c>
      <x:c r="M812" t="str" s="2">
        <x:v>Inactive</x:v>
      </x:c>
      <x:c r="N812" t="str" s="2">
        <x:v>Prospect</x:v>
      </x:c>
      <x:c r="O812" s="0"/>
      <x:c r="P812" s="6">
        <x:v>46253</x:v>
      </x:c>
      <x:c r="Q812" s="6">
        <x:v>46253.73247662037</x:v>
      </x:c>
      <x:c r="R812" s="0"/>
      <x:c r="S812" s="0"/>
      <x:c r="T812" s="0"/>
      <x:c r="U812" s="0"/>
      <x:c r="V812" s="0"/>
      <x:c r="W812" s="0"/>
      <x:c r="X812" t="str" s="2">
        <x:v>8325392113</x:v>
      </x:c>
      <x:c r="Y812" t="str" s="2">
        <x:v>8325392113</x:v>
      </x:c>
      <x:c r="Z812" s="6">
        <x:v>46256.78422025463</x:v>
      </x:c>
      <x:c r="AA812" t="str" s="2">
        <x:v>Angelica Mendoza </x:v>
      </x:c>
      <x:c r="AB812" s="6">
        <x:v>46253.73247873843</x:v>
      </x:c>
      <x:c r="AC812" t="n" s="2">
        <x:v>39260</x:v>
      </x:c>
      <x:c r="AD812" s="0"/>
      <x:c r="AE812" s="0"/>
      <x:c r="AF812" s="0"/>
      <x:c r="AG812" s="0"/>
      <x:c r="AH812" s="0"/>
      <x:c r="AI812" s="0"/>
      <x:c r="AJ812" s="0"/>
      <x:c r="AK812" s="0"/>
    </x:row>
    <x:row r="813">
      <x:c r="A813" t="str" s="2">
        <x:f>=HYPERLINK("https://rsms.futurehomex.com/lead/39263", "Teresa Lott")</x:f>
      </x:c>
      <x:c r="B813" t="n" s="2">
        <x:v>55</x:v>
      </x:c>
      <x:c r="C813" t="str" s="2">
        <x:v/>
      </x:c>
      <x:c r="D813" t="str" s="2">
        <x:f>=""</x:f>
      </x:c>
      <x:c r="E813" s="0"/>
      <x:c r="F813" t="str" s="2">
        <x:v>Website</x:v>
      </x:c>
      <x:c r="G813" t="str" s="2">
        <x:v>Heritage Housing of Athens</x:v>
      </x:c>
      <x:c r="H813" t="str" s="2">
        <x:v>Nathan Bishop</x:v>
      </x:c>
      <x:c r="I813" s="0"/>
      <x:c r="J813" t="str" s="2">
        <x:v>Nathan Bishop</x:v>
      </x:c>
      <x:c r="K813" t="n" s="2">
        <x:v>5</x:v>
      </x:c>
      <x:c r="L813" t="str" s="2">
        <x:v>1.1</x:v>
      </x:c>
      <x:c r="M813" t="str" s="2">
        <x:v>Tentative</x:v>
      </x:c>
      <x:c r="N813" t="str" s="2">
        <x:v>Prospect</x:v>
      </x:c>
      <x:c r="O813" s="0"/>
      <x:c r="P813" s="6">
        <x:v>46253</x:v>
      </x:c>
      <x:c r="Q813" s="6">
        <x:v>46253.77307519676</x:v>
      </x:c>
      <x:c r="R813" s="0"/>
      <x:c r="S813" s="0"/>
      <x:c r="T813" s="0"/>
      <x:c r="U813" s="0"/>
      <x:c r="V813" s="0"/>
      <x:c r="W813" s="0"/>
      <x:c r="X813" t="str" s="2">
        <x:v>7067137012</x:v>
      </x:c>
      <x:c r="Y813" t="str" s="2">
        <x:v>teresalott74@gmail.com</x:v>
      </x:c>
      <x:c r="Z813" s="6">
        <x:v>46255.58066334491</x:v>
      </x:c>
      <x:c r="AA813" t="str" s="2">
        <x:v>Timothy Postlethwait</x:v>
      </x:c>
      <x:c r="AB813" s="6">
        <x:v>46253.77307565972</x:v>
      </x:c>
      <x:c r="AC813" t="n" s="2">
        <x:v>39263</x:v>
      </x:c>
      <x:c r="AD813" s="0"/>
      <x:c r="AE813" s="0"/>
      <x:c r="AF813" s="0"/>
      <x:c r="AG813" s="0"/>
      <x:c r="AH813" s="0"/>
      <x:c r="AI813" s="0"/>
      <x:c r="AJ813" s="0"/>
      <x:c r="AK813" s="0"/>
    </x:row>
    <x:row r="814">
      <x:c r="A814" t="str" s="2">
        <x:f>=HYPERLINK("https://rsms.futurehomex.com/lead/39264", "Elese Rivers")</x:f>
      </x:c>
      <x:c r="B814" t="n" s="2">
        <x:v>55</x:v>
      </x:c>
      <x:c r="C814" t="str" s="2">
        <x:v>0/1</x:v>
      </x:c>
      <x:c r="D814" t="str" s="2">
        <x:f>=""</x:f>
      </x:c>
      <x:c r="E814" s="0"/>
      <x:c r="F814" t="str" s="2">
        <x:v>Facebook Messenger</x:v>
      </x:c>
      <x:c r="G814" t="str" s="2">
        <x:v>Heritage Housing of Minden</x:v>
      </x:c>
      <x:c r="H814" t="str" s="2">
        <x:v>Patrick Schuchart</x:v>
      </x:c>
      <x:c r="I814" t="str" s="2">
        <x:v>Karol Romero</x:v>
      </x:c>
      <x:c r="J814" t="str" s="2">
        <x:v>Patrick Schuchart</x:v>
      </x:c>
      <x:c r="K814" t="n" s="2">
        <x:v>5</x:v>
      </x:c>
      <x:c r="L814" t="str" s="2">
        <x:v>1.1</x:v>
      </x:c>
      <x:c r="M814" t="str" s="2">
        <x:v>Tentative</x:v>
      </x:c>
      <x:c r="N814" t="str" s="2">
        <x:v>Deal Created</x:v>
      </x:c>
      <x:c r="O814" s="0"/>
      <x:c r="P814" s="6">
        <x:v>46253</x:v>
      </x:c>
      <x:c r="Q814" s="6">
        <x:v>46253.79380755787</x:v>
      </x:c>
      <x:c r="R814" t="str" s="2">
        <x:v>Patrick Schuchart</x:v>
      </x:c>
      <x:c r="S814" s="0"/>
      <x:c r="T814" s="0"/>
      <x:c r="U814" s="0"/>
      <x:c r="V814" s="0"/>
      <x:c r="W814" s="0"/>
      <x:c r="X814" t="str" s="2">
        <x:v>3183710733</x:v>
      </x:c>
      <x:c r="Y814" t="str" s="2">
        <x:v>3183710733</x:v>
      </x:c>
      <x:c r="Z814" s="6">
        <x:v>46296.610745868056</x:v>
      </x:c>
      <x:c r="AA814" t="str" s="2">
        <x:v>Kyla Brown</x:v>
      </x:c>
      <x:c r="AB814" s="6">
        <x:v>46253.79380925926</x:v>
      </x:c>
      <x:c r="AC814" t="n" s="2">
        <x:v>39264</x:v>
      </x:c>
      <x:c r="AD814" s="0"/>
      <x:c r="AE814" s="0"/>
      <x:c r="AF814" s="0"/>
      <x:c r="AG814" s="0"/>
      <x:c r="AH814" s="0"/>
      <x:c r="AI814" s="0"/>
      <x:c r="AJ814" s="0"/>
      <x:c r="AK814" s="0"/>
    </x:row>
    <x:row r="815">
      <x:c r="A815" t="str" s="2">
        <x:f>=HYPERLINK("https://rsms.futurehomex.com/lead/39265", "Will Burgess")</x:f>
      </x:c>
      <x:c r="B815" t="n" s="2">
        <x:v>55</x:v>
      </x:c>
      <x:c r="C815" t="str" s="2">
        <x:v>0/2</x:v>
      </x:c>
      <x:c r="D815" t="str" s="2">
        <x:f>=""</x:f>
      </x:c>
      <x:c r="E815" s="0"/>
      <x:c r="F815" t="str" s="2">
        <x:v>Facebook Messenger</x:v>
      </x:c>
      <x:c r="G815" t="str" s="2">
        <x:v>Heritage Housing of Oklahoma City</x:v>
      </x:c>
      <x:c r="H815" t="str" s="2">
        <x:v>Trey Rixleben</x:v>
      </x:c>
      <x:c r="I815" s="0"/>
      <x:c r="J815" s="0"/>
      <x:c r="K815" t="n" s="2">
        <x:v>5</x:v>
      </x:c>
      <x:c r="L815" t="str" s="2">
        <x:v>1.1</x:v>
      </x:c>
      <x:c r="M815" t="str" s="2">
        <x:v>Dead</x:v>
      </x:c>
      <x:c r="N815" t="str" s="2">
        <x:v>Deal Created</x:v>
      </x:c>
      <x:c r="O815" s="0"/>
      <x:c r="P815" s="6">
        <x:v>46253</x:v>
      </x:c>
      <x:c r="Q815" s="6">
        <x:v>46261.87423032407</x:v>
      </x:c>
      <x:c r="R815" s="0"/>
      <x:c r="S815" s="6">
        <x:v>46253</x:v>
      </x:c>
      <x:c r="T815" s="0"/>
      <x:c r="U815" s="0"/>
      <x:c r="V815" s="0"/>
      <x:c r="W815" s="0"/>
      <x:c r="X815" t="str" s="2">
        <x:v>4052055315</x:v>
      </x:c>
      <x:c r="Y815" t="str" s="2">
        <x:v>Will@rosehillbuilders.com</x:v>
      </x:c>
      <x:c r="Z815" s="6">
        <x:v>46267.06345810185</x:v>
      </x:c>
      <x:c r="AA815" t="str" s="2">
        <x:v>Steve Castell</x:v>
      </x:c>
      <x:c r="AB815" s="6">
        <x:v>46253.82981030093</x:v>
      </x:c>
      <x:c r="AC815" t="n" s="2">
        <x:v>39265</x:v>
      </x:c>
      <x:c r="AD815" s="0"/>
      <x:c r="AE815" s="0"/>
      <x:c r="AF815" s="0"/>
      <x:c r="AG815" s="0"/>
      <x:c r="AH815" s="0"/>
      <x:c r="AI815" s="0"/>
      <x:c r="AJ815" s="0"/>
      <x:c r="AK815" s="0"/>
    </x:row>
    <x:row r="816">
      <x:c r="A816" t="str" s="2">
        <x:f>=HYPERLINK("https://rsms.futurehomex.com/lead/39266", "Maria Salinas Salinas")</x:f>
      </x:c>
      <x:c r="B816" t="n" s="2">
        <x:v>55</x:v>
      </x:c>
      <x:c r="C816" t="str" s="2">
        <x:v>0/1</x:v>
      </x:c>
      <x:c r="D816" t="str" s="2">
        <x:f>=""</x:f>
      </x:c>
      <x:c r="E816" s="0"/>
      <x:c r="F816" t="str" s="2">
        <x:v>Landing_BPM</x:v>
      </x:c>
      <x:c r="G816" t="str" s="2">
        <x:v>Heritage Housing of Jennings</x:v>
      </x:c>
      <x:c r="H816" t="str" s="2">
        <x:v>Mervin Leslie Smith</x:v>
      </x:c>
      <x:c r="I816" s="0"/>
      <x:c r="J816" t="str" s="2">
        <x:v>Mervin Leslie Smith</x:v>
      </x:c>
      <x:c r="K816" t="n" s="2">
        <x:v>5</x:v>
      </x:c>
      <x:c r="L816" t="str" s="2">
        <x:v>1.1</x:v>
      </x:c>
      <x:c r="M816" t="str" s="2">
        <x:v>Tentative</x:v>
      </x:c>
      <x:c r="N816" t="str" s="2">
        <x:v>Prospect</x:v>
      </x:c>
      <x:c r="O816" s="0"/>
      <x:c r="P816" s="6">
        <x:v>46253</x:v>
      </x:c>
      <x:c r="Q816" s="6">
        <x:v>46253.836274849535</x:v>
      </x:c>
      <x:c r="R816" s="0"/>
      <x:c r="S816" s="6">
        <x:v>46256</x:v>
      </x:c>
      <x:c r="T816" s="0"/>
      <x:c r="U816" s="0"/>
      <x:c r="V816" s="0"/>
      <x:c r="W816" s="0"/>
      <x:c r="X816" t="str" s="2">
        <x:v>3377062075</x:v>
      </x:c>
      <x:c r="Y816" t="str" s="2">
        <x:v>jackie2284@aol.com</x:v>
      </x:c>
      <x:c r="Z816" s="6">
        <x:v>46266.77870960648</x:v>
      </x:c>
      <x:c r="AA816" t="str" s="2">
        <x:v>Mervin Leslie Smith</x:v>
      </x:c>
      <x:c r="AB816" s="6">
        <x:v>46253.8362753125</x:v>
      </x:c>
      <x:c r="AC816" t="n" s="2">
        <x:v>39266</x:v>
      </x:c>
      <x:c r="AD816" s="0"/>
      <x:c r="AE816" s="0"/>
      <x:c r="AF816" s="0"/>
      <x:c r="AG816" s="0"/>
      <x:c r="AH816" s="0"/>
      <x:c r="AI816" s="0"/>
      <x:c r="AJ816" s="0"/>
      <x:c r="AK816" s="0"/>
    </x:row>
    <x:row r="817">
      <x:c r="A817" t="str" s="2">
        <x:f>=HYPERLINK("https://rsms.futurehomex.com/lead/39267", "Sylvia Ayers")</x:f>
      </x:c>
      <x:c r="B817" t="n" s="2">
        <x:v>55</x:v>
      </x:c>
      <x:c r="C817" t="str" s="2">
        <x:v>0/1</x:v>
      </x:c>
      <x:c r="D817" t="str" s="2">
        <x:f>=""</x:f>
      </x:c>
      <x:c r="E817" s="0"/>
      <x:c r="F817" t="str" s="2">
        <x:v>Financing Form</x:v>
      </x:c>
      <x:c r="G817" t="str" s="2">
        <x:v>Heritage Housing of Greenville</x:v>
      </x:c>
      <x:c r="H817" t="str" s="2">
        <x:v>Brooklynn Allen</x:v>
      </x:c>
      <x:c r="I817" s="0"/>
      <x:c r="J817" t="str" s="2">
        <x:v>Brooklynn Allen</x:v>
      </x:c>
      <x:c r="K817" t="n" s="2">
        <x:v>34</x:v>
      </x:c>
      <x:c r="L817" t="str" s="2">
        <x:v>2.4</x:v>
      </x:c>
      <x:c r="M817" t="str" s="2">
        <x:v>Inactive</x:v>
      </x:c>
      <x:c r="N817" t="str" s="2">
        <x:v>Deal approval</x:v>
      </x:c>
      <x:c r="O817" s="0"/>
      <x:c r="P817" s="6">
        <x:v>46253</x:v>
      </x:c>
      <x:c r="Q817" s="6">
        <x:v>46262.69433148148</x:v>
      </x:c>
      <x:c r="R817" s="0"/>
      <x:c r="S817" s="6">
        <x:v>46253</x:v>
      </x:c>
      <x:c r="T817" s="0"/>
      <x:c r="U817" s="0"/>
      <x:c r="V817" s="0"/>
      <x:c r="W817" s="0"/>
      <x:c r="X817" t="str" s="2">
        <x:v>4692545228</x:v>
      </x:c>
      <x:c r="Y817" t="str" s="2">
        <x:v>sylviaayers2@gmail.com</x:v>
      </x:c>
      <x:c r="Z817" s="6">
        <x:v>46269.64081616898</x:v>
      </x:c>
      <x:c r="AA817" t="str" s="2">
        <x:v>Brandie Sartor</x:v>
      </x:c>
      <x:c r="AB817" s="6">
        <x:v>46253.84853128472</x:v>
      </x:c>
      <x:c r="AC817" t="n" s="2">
        <x:v>39267</x:v>
      </x:c>
      <x:c r="AD817" t="str" s="2">
        <x:v>Singlewide</x:v>
      </x:c>
      <x:c r="AE817" s="0"/>
      <x:c r="AF817" s="0"/>
      <x:c r="AG817" s="7">
        <x:v>6500</x:v>
      </x:c>
      <x:c r="AH817" s="0"/>
      <x:c r="AI817" t="str" s="2">
        <x:v>514</x:v>
      </x:c>
      <x:c r="AJ817" s="0"/>
      <x:c r="AK817" s="0"/>
    </x:row>
    <x:row r="818">
      <x:c r="A818" t="str" s="2">
        <x:f>=HYPERLINK("https://rsms.futurehomex.com/lead/39268", "Michael Heath")</x:f>
      </x:c>
      <x:c r="B818" t="n" s="2">
        <x:v>55</x:v>
      </x:c>
      <x:c r="C818" t="str" s="2">
        <x:v/>
      </x:c>
      <x:c r="D818" t="str" s="2">
        <x:f>=""</x:f>
      </x:c>
      <x:c r="E818" s="0"/>
      <x:c r="F818" t="str" s="2">
        <x:v>Facebook Messenger</x:v>
      </x:c>
      <x:c r="G818" t="str" s="2">
        <x:v>Heritage Housing of Athens</x:v>
      </x:c>
      <x:c r="H818" t="str" s="2">
        <x:v>Nathan Bishop</x:v>
      </x:c>
      <x:c r="I818" t="str" s="2">
        <x:v>Karol Romero</x:v>
      </x:c>
      <x:c r="J818" t="str" s="2">
        <x:v>Nathan Bishop</x:v>
      </x:c>
      <x:c r="K818" t="n" s="2">
        <x:v>5</x:v>
      </x:c>
      <x:c r="L818" t="str" s="2">
        <x:v>1.1</x:v>
      </x:c>
      <x:c r="M818" t="str" s="2">
        <x:v>Dead</x:v>
      </x:c>
      <x:c r="N818" t="str" s="2">
        <x:v>Deal Created</x:v>
      </x:c>
      <x:c r="O818" s="0"/>
      <x:c r="P818" s="6">
        <x:v>46253</x:v>
      </x:c>
      <x:c r="Q818" s="6">
        <x:v>46253.88769664352</x:v>
      </x:c>
      <x:c r="R818" s="0"/>
      <x:c r="S818" s="0"/>
      <x:c r="T818" s="0"/>
      <x:c r="U818" s="0"/>
      <x:c r="V818" s="0"/>
      <x:c r="W818" s="0"/>
      <x:c r="X818" t="str" s="2">
        <x:v>7069900512</x:v>
      </x:c>
      <x:c r="Y818" t="str" s="2">
        <x:v>7069900512</x:v>
      </x:c>
      <x:c r="Z818" s="0"/>
      <x:c r="AA818" s="0"/>
      <x:c r="AB818" s="6">
        <x:v>46253.88769837963</x:v>
      </x:c>
      <x:c r="AC818" t="n" s="2">
        <x:v>39268</x:v>
      </x:c>
      <x:c r="AD818" s="0"/>
      <x:c r="AE818" s="0"/>
      <x:c r="AF818" s="0"/>
      <x:c r="AG818" s="0"/>
      <x:c r="AH818" s="0"/>
      <x:c r="AI818" s="0"/>
      <x:c r="AJ818" s="0"/>
      <x:c r="AK818" s="0"/>
    </x:row>
    <x:row r="819">
      <x:c r="A819" t="str" s="2">
        <x:f>=HYPERLINK("https://rsms.futurehomex.com/lead/39270", "Joseph Duval")</x:f>
      </x:c>
      <x:c r="B819" t="n" s="2">
        <x:v>55</x:v>
      </x:c>
      <x:c r="C819" t="str" s="2">
        <x:v>0/2</x:v>
      </x:c>
      <x:c r="D819" t="str" s="2">
        <x:f>=""</x:f>
      </x:c>
      <x:c r="E819" t="str" s="2">
        <x:v>Lisa Duval</x:v>
      </x:c>
      <x:c r="F819" t="str" s="2">
        <x:v>Landing_BPM</x:v>
      </x:c>
      <x:c r="G819" t="str" s="2">
        <x:v>Heritage Housing Gainesville</x:v>
      </x:c>
      <x:c r="H819" t="str" s="2">
        <x:v>John Schwichtenberg</x:v>
      </x:c>
      <x:c r="I819" s="0"/>
      <x:c r="J819" s="0"/>
      <x:c r="K819" t="n" s="2">
        <x:v>21</x:v>
      </x:c>
      <x:c r="L819" t="str" s="2">
        <x:v>2.1</x:v>
      </x:c>
      <x:c r="M819" t="str" s="2">
        <x:v>Dead</x:v>
      </x:c>
      <x:c r="N819" t="str" s="2">
        <x:v>Qualified</x:v>
      </x:c>
      <x:c r="O819" s="0"/>
      <x:c r="P819" s="6">
        <x:v>46253</x:v>
      </x:c>
      <x:c r="Q819" s="6">
        <x:v>46261.70718136574</x:v>
      </x:c>
      <x:c r="R819" s="0"/>
      <x:c r="S819" s="0"/>
      <x:c r="T819" s="0"/>
      <x:c r="U819" s="0"/>
      <x:c r="V819" s="0"/>
      <x:c r="W819" s="0"/>
      <x:c r="X819" t="str" s="2">
        <x:v>9037187170</x:v>
      </x:c>
      <x:c r="Y819" t="str" s="2">
        <x:v>joesauto6700@gmail.com</x:v>
      </x:c>
      <x:c r="Z819" s="6">
        <x:v>46266.92688634259</x:v>
      </x:c>
      <x:c r="AA819" t="str" s="2">
        <x:v>John Schwichtenberg</x:v>
      </x:c>
      <x:c r="AB819" s="6">
        <x:v>46253.937276655095</x:v>
      </x:c>
      <x:c r="AC819" t="n" s="2">
        <x:v>39270</x:v>
      </x:c>
      <x:c r="AD819" s="0"/>
      <x:c r="AE819" s="0"/>
      <x:c r="AF819" s="0"/>
      <x:c r="AG819" s="7">
        <x:v>0</x:v>
      </x:c>
      <x:c r="AH819" s="0"/>
      <x:c r="AI819" s="0"/>
      <x:c r="AJ819" s="0"/>
      <x:c r="AK819" s="0"/>
    </x:row>
    <x:row r="820">
      <x:c r="A820" t="str" s="2">
        <x:f>=HYPERLINK("https://rsms.futurehomex.com/lead/39271", "Courtney Ray")</x:f>
      </x:c>
      <x:c r="B820" t="n" s="2">
        <x:v>55</x:v>
      </x:c>
      <x:c r="C820" t="str" s="2">
        <x:v>2/3</x:v>
      </x:c>
      <x:c r="D820" t="str" s="2">
        <x:f>=""</x:f>
      </x:c>
      <x:c r="E820" s="0"/>
      <x:c r="F820" t="str" s="2">
        <x:v>Walk-in</x:v>
      </x:c>
      <x:c r="G820" t="str" s="2">
        <x:v>Heritage Housing of Oklahoma City</x:v>
      </x:c>
      <x:c r="H820" t="str" s="2">
        <x:v>Trey Rixleben</x:v>
      </x:c>
      <x:c r="I820" s="0"/>
      <x:c r="J820" s="0"/>
      <x:c r="K820" t="n" s="2">
        <x:v>5</x:v>
      </x:c>
      <x:c r="L820" t="str" s="2">
        <x:v>1.1</x:v>
      </x:c>
      <x:c r="M820" t="str" s="2">
        <x:v>Tentative</x:v>
      </x:c>
      <x:c r="N820" t="str" s="2">
        <x:v>Deal Created</x:v>
      </x:c>
      <x:c r="O820" s="0"/>
      <x:c r="P820" s="6">
        <x:v>46253</x:v>
      </x:c>
      <x:c r="Q820" s="6">
        <x:v>46255.949983715276</x:v>
      </x:c>
      <x:c r="R820" t="str" s="2">
        <x:v>Steve Castell</x:v>
      </x:c>
      <x:c r="S820" s="6">
        <x:v>46253</x:v>
      </x:c>
      <x:c r="T820" s="0"/>
      <x:c r="U820" s="0"/>
      <x:c r="V820" s="0"/>
      <x:c r="W820" s="0"/>
      <x:c r="X820" t="str" s="2">
        <x:v>7203291138</x:v>
      </x:c>
      <x:c r="Y820" t="str" s="2">
        <x:v>emt4755@aol.com</x:v>
      </x:c>
      <x:c r="Z820" s="6">
        <x:v>46294.95069637732</x:v>
      </x:c>
      <x:c r="AA820" t="str" s="2">
        <x:v>Steve Castell</x:v>
      </x:c>
      <x:c r="AB820" s="6">
        <x:v>46253.968232719904</x:v>
      </x:c>
      <x:c r="AC820" t="n" s="2">
        <x:v>39271</x:v>
      </x:c>
      <x:c r="AD820" s="0"/>
      <x:c r="AE820" s="0"/>
      <x:c r="AF820" s="0"/>
      <x:c r="AG820" s="0"/>
      <x:c r="AH820" s="0"/>
      <x:c r="AI820" s="0"/>
      <x:c r="AJ820" s="0"/>
      <x:c r="AK820" s="0"/>
    </x:row>
    <x:row r="821">
      <x:c r="A821" t="str" s="2">
        <x:f>=HYPERLINK("https://rsms.futurehomex.com/lead/39272", "Celdrick Griffin")</x:f>
      </x:c>
      <x:c r="B821" t="n" s="2">
        <x:v>54</x:v>
      </x:c>
      <x:c r="C821" t="str" s="2">
        <x:v>0/1</x:v>
      </x:c>
      <x:c r="D821" t="str" s="2">
        <x:f>=""</x:f>
      </x:c>
      <x:c r="E821" s="0"/>
      <x:c r="F821" t="str" s="2">
        <x:v>Walk-in</x:v>
      </x:c>
      <x:c r="G821" t="str" s="2">
        <x:v>Heritage Housing of Augusta</x:v>
      </x:c>
      <x:c r="H821" t="str" s="2">
        <x:v>Jennifer Johnson</x:v>
      </x:c>
      <x:c r="I821" t="str" s="2">
        <x:v>Karol Romero</x:v>
      </x:c>
      <x:c r="J821" t="str" s="2">
        <x:v>Jennifer Johnson</x:v>
      </x:c>
      <x:c r="K821" t="n" s="2">
        <x:v>5</x:v>
      </x:c>
      <x:c r="L821" t="str" s="2">
        <x:v>1.1</x:v>
      </x:c>
      <x:c r="M821" t="str" s="2">
        <x:v>Inactive</x:v>
      </x:c>
      <x:c r="N821" t="str" s="2">
        <x:v>Deal Created</x:v>
      </x:c>
      <x:c r="O821" s="0"/>
      <x:c r="P821" s="6">
        <x:v>46254</x:v>
      </x:c>
      <x:c r="Q821" s="6">
        <x:v>46281.61878225694</x:v>
      </x:c>
      <x:c r="R821" s="0"/>
      <x:c r="S821" s="0"/>
      <x:c r="T821" s="0"/>
      <x:c r="U821" s="0"/>
      <x:c r="V821" s="0"/>
      <x:c r="W821" s="0"/>
      <x:c r="X821" t="str" s="2">
        <x:v>7063865812</x:v>
      </x:c>
      <x:c r="Y821" t="str" s="2">
        <x:v>celedrickgriffin16@gmail.com</x:v>
      </x:c>
      <x:c r="Z821" s="6">
        <x:v>46298.708652546295</x:v>
      </x:c>
      <x:c r="AA821" t="str" s="2">
        <x:v>Jennifer Johnson</x:v>
      </x:c>
      <x:c r="AB821" s="6">
        <x:v>46254.53872295139</x:v>
      </x:c>
      <x:c r="AC821" t="n" s="2">
        <x:v>39272</x:v>
      </x:c>
      <x:c r="AD821" s="0"/>
      <x:c r="AE821" s="0"/>
      <x:c r="AF821" s="0"/>
      <x:c r="AG821" s="0"/>
      <x:c r="AH821" s="0"/>
      <x:c r="AI821" s="0"/>
      <x:c r="AJ821" s="0"/>
      <x:c r="AK821" s="0"/>
    </x:row>
    <x:row r="822">
      <x:c r="A822" t="str" s="2">
        <x:f>=HYPERLINK("https://rsms.futurehomex.com/lead/39273", "Terrance Bedingfeild")</x:f>
      </x:c>
      <x:c r="B822" t="n" s="2">
        <x:v>54</x:v>
      </x:c>
      <x:c r="C822" t="str" s="2">
        <x:v/>
      </x:c>
      <x:c r="D822" t="str" s="2">
        <x:f>=""</x:f>
      </x:c>
      <x:c r="E822" s="0"/>
      <x:c r="F822" t="str" s="2">
        <x:v>Facebook Messenger</x:v>
      </x:c>
      <x:c r="G822" t="str" s="2">
        <x:v>Heritage Housing of Athens</x:v>
      </x:c>
      <x:c r="H822" t="str" s="2">
        <x:v>Nathan Bishop</x:v>
      </x:c>
      <x:c r="I822" s="0"/>
      <x:c r="J822" t="str" s="2">
        <x:v>Nathan Bishop</x:v>
      </x:c>
      <x:c r="K822" t="n" s="2">
        <x:v>5</x:v>
      </x:c>
      <x:c r="L822" t="str" s="2">
        <x:v>1.1</x:v>
      </x:c>
      <x:c r="M822" t="str" s="2">
        <x:v>Tentative</x:v>
      </x:c>
      <x:c r="N822" t="str" s="2">
        <x:v>Deal Created</x:v>
      </x:c>
      <x:c r="O822" s="0"/>
      <x:c r="P822" s="6">
        <x:v>46254</x:v>
      </x:c>
      <x:c r="Q822" s="6">
        <x:v>46254.57574907407</x:v>
      </x:c>
      <x:c r="R822" s="0"/>
      <x:c r="S822" s="0"/>
      <x:c r="T822" s="0"/>
      <x:c r="U822" s="0"/>
      <x:c r="V822" s="0"/>
      <x:c r="W822" s="0"/>
      <x:c r="X822" t="str" s="2">
        <x:v>4788328714</x:v>
      </x:c>
      <x:c r="Y822" t="str" s="2">
        <x:v>4788328714</x:v>
      </x:c>
      <x:c r="Z822" s="0"/>
      <x:c r="AA822" s="0"/>
      <x:c r="AB822" s="6">
        <x:v>46254.57278850694</x:v>
      </x:c>
      <x:c r="AC822" t="n" s="2">
        <x:v>39273</x:v>
      </x:c>
      <x:c r="AD822" s="0"/>
      <x:c r="AE822" s="0"/>
      <x:c r="AF822" s="0"/>
      <x:c r="AG822" s="0"/>
      <x:c r="AH822" s="0"/>
      <x:c r="AI822" s="0"/>
      <x:c r="AJ822" s="0"/>
      <x:c r="AK822" s="0"/>
    </x:row>
    <x:row r="823">
      <x:c r="A823" t="str" s="2">
        <x:f>=HYPERLINK("https://rsms.futurehomex.com/lead/39274", "Heritage Test")</x:f>
      </x:c>
      <x:c r="B823" t="n" s="2">
        <x:v>54</x:v>
      </x:c>
      <x:c r="C823" t="str" s="2">
        <x:v/>
      </x:c>
      <x:c r="D823" t="str" s="2">
        <x:f>=""</x:f>
      </x:c>
      <x:c r="E823" s="0"/>
      <x:c r="F823" t="str" s="2">
        <x:v>Walk-in</x:v>
      </x:c>
      <x:c r="G823" t="str" s="2">
        <x:v>Heritage Housing of Athens</x:v>
      </x:c>
      <x:c r="H823" t="str" s="2">
        <x:v>Anastasia Vincent</x:v>
      </x:c>
      <x:c r="I823" s="0"/>
      <x:c r="J823" s="0"/>
      <x:c r="K823" t="n" s="2">
        <x:v>34</x:v>
      </x:c>
      <x:c r="L823" t="str" s="2">
        <x:v>2.4</x:v>
      </x:c>
      <x:c r="M823" t="str" s="2">
        <x:v>Inactive</x:v>
      </x:c>
      <x:c r="N823" t="str" s="2">
        <x:v>Deal approval</x:v>
      </x:c>
      <x:c r="O823" s="0"/>
      <x:c r="P823" s="6">
        <x:v>46254</x:v>
      </x:c>
      <x:c r="Q823" s="6">
        <x:v>46254.620851354164</x:v>
      </x:c>
      <x:c r="R823" s="0"/>
      <x:c r="S823" s="6">
        <x:v>46254</x:v>
      </x:c>
      <x:c r="T823" s="6">
        <x:v>46254</x:v>
      </x:c>
      <x:c r="U823" s="6">
        <x:v>46254</x:v>
      </x:c>
      <x:c r="V823" s="0"/>
      <x:c r="W823" s="0"/>
      <x:c r="X823" t="str" s="2">
        <x:v>6789004348</x:v>
      </x:c>
      <x:c r="Y823" t="str" s="2">
        <x:v>anastasiavincent@hotmail.com</x:v>
      </x:c>
      <x:c r="Z823" s="6">
        <x:v>46254.60679085648</x:v>
      </x:c>
      <x:c r="AA823" t="str" s="2">
        <x:v>Iris McKinley</x:v>
      </x:c>
      <x:c r="AB823" s="6">
        <x:v>46254.599039733796</x:v>
      </x:c>
      <x:c r="AC823" t="n" s="2">
        <x:v>39274</x:v>
      </x:c>
      <x:c r="AD823" t="str" s="2">
        <x:v>Doublewide</x:v>
      </x:c>
      <x:c r="AE823" s="0"/>
      <x:c r="AF823" s="0"/>
      <x:c r="AG823" s="7">
        <x:v>10000</x:v>
      </x:c>
      <x:c r="AH823" s="0"/>
      <x:c r="AI823" s="0"/>
      <x:c r="AJ823" s="0"/>
      <x:c r="AK823" s="0"/>
    </x:row>
    <x:row r="824">
      <x:c r="A824" t="str" s="2">
        <x:f>=HYPERLINK("https://rsms.futurehomex.com/lead/39276", "Georgia Test")</x:f>
      </x:c>
      <x:c r="B824" t="n" s="2">
        <x:v>54</x:v>
      </x:c>
      <x:c r="C824" t="str" s="2">
        <x:v/>
      </x:c>
      <x:c r="D824" t="str" s="2">
        <x:f>=""</x:f>
      </x:c>
      <x:c r="E824" s="0"/>
      <x:c r="F824" t="str" s="2">
        <x:v>Walk-in</x:v>
      </x:c>
      <x:c r="G824" t="str" s="2">
        <x:v>Heritage Housing of Athens</x:v>
      </x:c>
      <x:c r="H824" t="str" s="2">
        <x:v>Nathan Bishop</x:v>
      </x:c>
      <x:c r="I824" s="0"/>
      <x:c r="J824" s="0"/>
      <x:c r="K824" t="n" s="2">
        <x:v>5</x:v>
      </x:c>
      <x:c r="L824" t="str" s="2">
        <x:v>1.1</x:v>
      </x:c>
      <x:c r="M824" t="str" s="2">
        <x:v>Inactive</x:v>
      </x:c>
      <x:c r="N824" t="str" s="2">
        <x:v>Prospect</x:v>
      </x:c>
      <x:c r="O824" s="0"/>
      <x:c r="P824" s="6">
        <x:v>46254</x:v>
      </x:c>
      <x:c r="Q824" s="6">
        <x:v>46258.83213927083</x:v>
      </x:c>
      <x:c r="R824" s="0"/>
      <x:c r="S824" s="6">
        <x:v>46254</x:v>
      </x:c>
      <x:c r="T824" s="6">
        <x:v>46254</x:v>
      </x:c>
      <x:c r="U824" s="6">
        <x:v>46254</x:v>
      </x:c>
      <x:c r="V824" s="0"/>
      <x:c r="W824" s="0"/>
      <x:c r="X824" t="str" s="2">
        <x:v/>
      </x:c>
      <x:c r="Y824" t="str" s="2">
        <x:v>nathanbishop@heritagehousing.net</x:v>
      </x:c>
      <x:c r="Z824" s="0"/>
      <x:c r="AA824" s="0"/>
      <x:c r="AB824" s="6">
        <x:v>46254.62321527778</x:v>
      </x:c>
      <x:c r="AC824" t="n" s="2">
        <x:v>39276</x:v>
      </x:c>
      <x:c r="AD824" s="0"/>
      <x:c r="AE824" s="0"/>
      <x:c r="AF824" s="0"/>
      <x:c r="AG824" s="7">
        <x:v>10000</x:v>
      </x:c>
      <x:c r="AH824" s="0"/>
      <x:c r="AI824" s="0"/>
      <x:c r="AJ824" s="0"/>
      <x:c r="AK824" s="0"/>
    </x:row>
    <x:row r="825">
      <x:c r="A825" t="str" s="2">
        <x:f>=HYPERLINK("https://rsms.futurehomex.com/lead/39277", "Blondene Dalton")</x:f>
      </x:c>
      <x:c r="B825" t="n" s="2">
        <x:v>54</x:v>
      </x:c>
      <x:c r="C825" t="str" s="2">
        <x:v/>
      </x:c>
      <x:c r="D825" t="str" s="2">
        <x:f>=""</x:f>
      </x:c>
      <x:c r="E825" s="0"/>
      <x:c r="F825" t="str" s="2">
        <x:v>Facebook Messenger</x:v>
      </x:c>
      <x:c r="G825" t="str" s="2">
        <x:v>Heritage Housing of Asheboro</x:v>
      </x:c>
      <x:c r="H825" t="str" s="2">
        <x:v>Maria Lopez</x:v>
      </x:c>
      <x:c r="I825" s="0"/>
      <x:c r="J825" s="0"/>
      <x:c r="K825" t="n" s="2">
        <x:v>21</x:v>
      </x:c>
      <x:c r="L825" t="str" s="2">
        <x:v>2.1</x:v>
      </x:c>
      <x:c r="M825" t="str" s="2">
        <x:v>Tentative</x:v>
      </x:c>
      <x:c r="N825" t="str" s="2">
        <x:v>Qualified</x:v>
      </x:c>
      <x:c r="O825" s="0"/>
      <x:c r="P825" s="6">
        <x:v>46254</x:v>
      </x:c>
      <x:c r="Q825" s="6">
        <x:v>46256.805910497686</x:v>
      </x:c>
      <x:c r="R825" s="0"/>
      <x:c r="S825" s="0"/>
      <x:c r="T825" s="0"/>
      <x:c r="U825" s="0"/>
      <x:c r="V825" s="0"/>
      <x:c r="W825" s="0"/>
      <x:c r="X825" t="str" s="2">
        <x:v>3364570616</x:v>
      </x:c>
      <x:c r="Y825" t="str" s="2">
        <x:v>Apostle.dalton@yahoo.om</x:v>
      </x:c>
      <x:c r="Z825" s="6">
        <x:v>46256.80589980324</x:v>
      </x:c>
      <x:c r="AA825" t="str" s="2">
        <x:v>Jeremy Jacques</x:v>
      </x:c>
      <x:c r="AB825" s="6">
        <x:v>46254.63019849537</x:v>
      </x:c>
      <x:c r="AC825" t="n" s="2">
        <x:v>39277</x:v>
      </x:c>
      <x:c r="AD825" s="0"/>
      <x:c r="AE825" s="0"/>
      <x:c r="AF825" s="0"/>
      <x:c r="AG825" s="0"/>
      <x:c r="AH825" s="0"/>
      <x:c r="AI825" s="0"/>
      <x:c r="AJ825" s="0"/>
      <x:c r="AK825" s="0"/>
    </x:row>
    <x:row r="826">
      <x:c r="A826" t="str" s="2">
        <x:f>=HYPERLINK("https://rsms.futurehomex.com/lead/39278", "Timothy Test")</x:f>
      </x:c>
      <x:c r="B826" t="n" s="2">
        <x:v>54</x:v>
      </x:c>
      <x:c r="C826" t="str" s="2">
        <x:v/>
      </x:c>
      <x:c r="D826" t="str" s="2">
        <x:f>=""</x:f>
      </x:c>
      <x:c r="E826" s="0"/>
      <x:c r="F826" t="str" s="2">
        <x:v>Facebook Messenger</x:v>
      </x:c>
      <x:c r="G826" t="str" s="2">
        <x:v>Heritage Housing of Athens</x:v>
      </x:c>
      <x:c r="H826" t="str" s="2">
        <x:v>Nathan Bishop</x:v>
      </x:c>
      <x:c r="I826" s="0"/>
      <x:c r="J826" s="0"/>
      <x:c r="K826" t="n" s="2">
        <x:v>21</x:v>
      </x:c>
      <x:c r="L826" t="str" s="2">
        <x:v>2.1</x:v>
      </x:c>
      <x:c r="M826" t="str" s="2">
        <x:v>Tentative</x:v>
      </x:c>
      <x:c r="N826" t="str" s="2">
        <x:v>Qualified</x:v>
      </x:c>
      <x:c r="O826" s="0"/>
      <x:c r="P826" s="6">
        <x:v>46254</x:v>
      </x:c>
      <x:c r="Q826" s="6">
        <x:v>46254.649038310185</x:v>
      </x:c>
      <x:c r="R826" s="0"/>
      <x:c r="S826" s="6">
        <x:v>46254</x:v>
      </x:c>
      <x:c r="T826" s="6">
        <x:v>46254</x:v>
      </x:c>
      <x:c r="U826" s="6">
        <x:v>46254</x:v>
      </x:c>
      <x:c r="V826" s="0"/>
      <x:c r="W826" s="0"/>
      <x:c r="X826" t="str" s="2">
        <x:v>7068192100</x:v>
      </x:c>
      <x:c r="Y826" t="str" s="2">
        <x:v>timothypostlethwait@heritagehousing.net</x:v>
      </x:c>
      <x:c r="Z826" s="6">
        <x:v>46254.64919672454</x:v>
      </x:c>
      <x:c r="AA826" t="str" s="2">
        <x:v>Iris McKinley</x:v>
      </x:c>
      <x:c r="AB826" s="6">
        <x:v>46254.64418028935</x:v>
      </x:c>
      <x:c r="AC826" t="n" s="2">
        <x:v>39278</x:v>
      </x:c>
      <x:c r="AD826" s="0"/>
      <x:c r="AE826" s="0"/>
      <x:c r="AF826" s="0"/>
      <x:c r="AG826" s="7">
        <x:v>30000</x:v>
      </x:c>
      <x:c r="AH826" s="0"/>
      <x:c r="AI826" s="0"/>
      <x:c r="AJ826" s="0"/>
      <x:c r="AK826" s="0"/>
    </x:row>
    <x:row r="827">
      <x:c r="A827" t="str" s="2">
        <x:f>=HYPERLINK("https://rsms.futurehomex.com/lead/39279", "Kenneth Wilhelm")</x:f>
      </x:c>
      <x:c r="B827" t="n" s="2">
        <x:v>54</x:v>
      </x:c>
      <x:c r="C827" t="str" s="2">
        <x:v>0/2</x:v>
      </x:c>
      <x:c r="D827" t="str" s="2">
        <x:f>=""</x:f>
      </x:c>
      <x:c r="E827" t="str" s="2">
        <x:v>Samantha Wilhelm</x:v>
      </x:c>
      <x:c r="F827" t="str" s="2">
        <x:v>Facebook Messenger</x:v>
      </x:c>
      <x:c r="G827" t="str" s="2">
        <x:v>Heritage Housing of Oklahoma City</x:v>
      </x:c>
      <x:c r="H827" t="str" s="2">
        <x:v>Steve Castell</x:v>
      </x:c>
      <x:c r="I827" s="0"/>
      <x:c r="J827" t="str" s="2">
        <x:v>Steve Castell</x:v>
      </x:c>
      <x:c r="K827" t="n" s="2">
        <x:v>5</x:v>
      </x:c>
      <x:c r="L827" t="str" s="2">
        <x:v>1.1</x:v>
      </x:c>
      <x:c r="M827" t="str" s="2">
        <x:v>Dead</x:v>
      </x:c>
      <x:c r="N827" t="str" s="2">
        <x:v>Deal Created</x:v>
      </x:c>
      <x:c r="O827" s="0"/>
      <x:c r="P827" s="6">
        <x:v>46254</x:v>
      </x:c>
      <x:c r="Q827" s="6">
        <x:v>46254.668299386576</x:v>
      </x:c>
      <x:c r="R827" s="0"/>
      <x:c r="S827" s="6">
        <x:v>46254</x:v>
      </x:c>
      <x:c r="T827" s="0"/>
      <x:c r="U827" s="0"/>
      <x:c r="V827" s="0"/>
      <x:c r="W827" s="0"/>
      <x:c r="X827" t="str" s="2">
        <x:v>4059533333</x:v>
      </x:c>
      <x:c r="Y827" t="str" s="2">
        <x:v>dwmedic67@gmail.com</x:v>
      </x:c>
      <x:c r="Z827" s="6">
        <x:v>46270.73964748842</x:v>
      </x:c>
      <x:c r="AA827" t="str" s="2">
        <x:v>Steve Castell</x:v>
      </x:c>
      <x:c r="AB827" s="6">
        <x:v>46254.660633252315</x:v>
      </x:c>
      <x:c r="AC827" t="n" s="2">
        <x:v>39279</x:v>
      </x:c>
      <x:c r="AD827" s="0"/>
      <x:c r="AE827" s="0"/>
      <x:c r="AF827" s="0"/>
      <x:c r="AG827" s="0"/>
      <x:c r="AH827" s="0"/>
      <x:c r="AI827" s="0"/>
      <x:c r="AJ827" s="0"/>
      <x:c r="AK827" s="0"/>
    </x:row>
    <x:row r="828">
      <x:c r="A828" t="str" s="2">
        <x:f>=HYPERLINK("https://rsms.futurehomex.com/lead/39280", "Marianela Chiquinquira Vilchez Molero")</x:f>
      </x:c>
      <x:c r="B828" t="n" s="2">
        <x:v>54</x:v>
      </x:c>
      <x:c r="C828" t="str" s="2">
        <x:v>0/6</x:v>
      </x:c>
      <x:c r="D828" t="str" s="2">
        <x:f>=""</x:f>
      </x:c>
      <x:c r="E828" s="0"/>
      <x:c r="F828" t="str" s="2">
        <x:v>TikTok</x:v>
      </x:c>
      <x:c r="G828" t="str" s="2">
        <x:v>Heritage Housing Mt Pleasant</x:v>
      </x:c>
      <x:c r="H828" t="str" s="2">
        <x:v>Elias Gallardo</x:v>
      </x:c>
      <x:c r="I828" s="0"/>
      <x:c r="J828" s="0"/>
      <x:c r="K828" t="n" s="2">
        <x:v>100</x:v>
      </x:c>
      <x:c r="L828" t="str" s="2">
        <x:v>6.2</x:v>
      </x:c>
      <x:c r="M828" t="str" s="2">
        <x:v>Closed</x:v>
      </x:c>
      <x:c r="N828" t="str" s="2">
        <x:v>Delivered</x:v>
      </x:c>
      <x:c r="O828" s="6">
        <x:v>46277</x:v>
      </x:c>
      <x:c r="P828" s="6">
        <x:v>46254</x:v>
      </x:c>
      <x:c r="Q828" s="6">
        <x:v>46303.798760729165</x:v>
      </x:c>
      <x:c r="R828" s="0"/>
      <x:c r="S828" s="6">
        <x:v>46254</x:v>
      </x:c>
      <x:c r="T828" s="6">
        <x:v>46286</x:v>
      </x:c>
      <x:c r="U828" s="6">
        <x:v>46261</x:v>
      </x:c>
      <x:c r="V828" s="6">
        <x:v>46261</x:v>
      </x:c>
      <x:c r="W828" s="6">
        <x:v>46304</x:v>
      </x:c>
      <x:c r="X828" t="str" s="2">
        <x:v>2145164276</x:v>
      </x:c>
      <x:c r="Y828" t="str" s="2">
        <x:v>roblesrobles0993@gmail.com</x:v>
      </x:c>
      <x:c r="Z828" s="6">
        <x:v>46304.59676246528</x:v>
      </x:c>
      <x:c r="AA828" t="str" s="2">
        <x:v>Ashley Palomera</x:v>
      </x:c>
      <x:c r="AB828" s="6">
        <x:v>46254.72451840278</x:v>
      </x:c>
      <x:c r="AC828" t="n" s="2">
        <x:v>39280</x:v>
      </x:c>
      <x:c r="AD828" t="str" s="2">
        <x:v>Doublewide</x:v>
      </x:c>
      <x:c r="AE828" t="str" s="2">
        <x:v>Legacy Housing Corporation</x:v>
      </x:c>
      <x:c r="AF828" s="7">
        <x:v>40000</x:v>
      </x:c>
      <x:c r="AG828" s="7">
        <x:v>40000</x:v>
      </x:c>
      <x:c r="AH828" s="7">
        <x:v>40500</x:v>
      </x:c>
      <x:c r="AI828" s="0"/>
      <x:c r="AJ828" s="0"/>
      <x:c r="AK828" s="0"/>
    </x:row>
    <x:row r="829">
      <x:c r="A829" t="str" s="2">
        <x:f>=HYPERLINK("https://rsms.futurehomex.com/lead/39281", "Melissa Husby")</x:f>
      </x:c>
      <x:c r="B829" t="n" s="2">
        <x:v>54</x:v>
      </x:c>
      <x:c r="C829" t="str" s="2">
        <x:v/>
      </x:c>
      <x:c r="D829" t="str" s="2">
        <x:f>=""</x:f>
      </x:c>
      <x:c r="E829" s="0"/>
      <x:c r="F829" t="str" s="2">
        <x:v>Website</x:v>
      </x:c>
      <x:c r="G829" t="str" s="2">
        <x:v>Heritage Housing of Athens</x:v>
      </x:c>
      <x:c r="H829" t="str" s="2">
        <x:v>Nathan Bishop</x:v>
      </x:c>
      <x:c r="I829" s="0"/>
      <x:c r="J829" t="str" s="2">
        <x:v>Nathan Bishop</x:v>
      </x:c>
      <x:c r="K829" t="n" s="2">
        <x:v>5</x:v>
      </x:c>
      <x:c r="L829" t="str" s="2">
        <x:v>1.1</x:v>
      </x:c>
      <x:c r="M829" t="str" s="2">
        <x:v>Tentative</x:v>
      </x:c>
      <x:c r="N829" t="str" s="2">
        <x:v>Prospect</x:v>
      </x:c>
      <x:c r="O829" s="0"/>
      <x:c r="P829" s="6">
        <x:v>46254</x:v>
      </x:c>
      <x:c r="Q829" s="6">
        <x:v>46259.62382797454</x:v>
      </x:c>
      <x:c r="R829" s="0"/>
      <x:c r="S829" s="0"/>
      <x:c r="T829" s="0"/>
      <x:c r="U829" s="0"/>
      <x:c r="V829" s="0"/>
      <x:c r="W829" s="0"/>
      <x:c r="X829" t="str" s="2">
        <x:v>2052850749</x:v>
      </x:c>
      <x:c r="Y829" t="str" s="2">
        <x:v>melissahusby99@gmail.com</x:v>
      </x:c>
      <x:c r="Z829" s="0"/>
      <x:c r="AA829" s="0"/>
      <x:c r="AB829" s="6">
        <x:v>46254.76461825232</x:v>
      </x:c>
      <x:c r="AC829" t="n" s="2">
        <x:v>39281</x:v>
      </x:c>
      <x:c r="AD829" s="0"/>
      <x:c r="AE829" s="0"/>
      <x:c r="AF829" s="0"/>
      <x:c r="AG829" s="0"/>
      <x:c r="AH829" s="0"/>
      <x:c r="AI829" s="0"/>
      <x:c r="AJ829" s="0"/>
      <x:c r="AK829" s="0"/>
    </x:row>
    <x:row r="830">
      <x:c r="A830" t="str" s="2">
        <x:f>=HYPERLINK("https://rsms.futurehomex.com/lead/39282", "James Hallan")</x:f>
      </x:c>
      <x:c r="B830" t="n" s="2">
        <x:v>54</x:v>
      </x:c>
      <x:c r="C830" t="str" s="2">
        <x:v/>
      </x:c>
      <x:c r="D830" t="str" s="2">
        <x:f>=""</x:f>
      </x:c>
      <x:c r="E830" s="0"/>
      <x:c r="F830" t="str" s="2">
        <x:v>Website</x:v>
      </x:c>
      <x:c r="G830" t="str" s="2">
        <x:v>Heritage Housing of Athens</x:v>
      </x:c>
      <x:c r="H830" t="str" s="2">
        <x:v>Nathan Bishop</x:v>
      </x:c>
      <x:c r="I830" s="0"/>
      <x:c r="J830" s="0"/>
      <x:c r="K830" t="n" s="2">
        <x:v>59</x:v>
      </x:c>
      <x:c r="L830" t="str" s="2">
        <x:v>4.3</x:v>
      </x:c>
      <x:c r="M830" t="str" s="2">
        <x:v>Active</x:v>
      </x:c>
      <x:c r="N830" t="str" s="2">
        <x:v>Loan Approved</x:v>
      </x:c>
      <x:c r="O830" s="6">
        <x:v>46387</x:v>
      </x:c>
      <x:c r="P830" s="6">
        <x:v>46254</x:v>
      </x:c>
      <x:c r="Q830" s="6">
        <x:v>46297.89060582176</x:v>
      </x:c>
      <x:c r="R830" s="0"/>
      <x:c r="S830" s="6">
        <x:v>46277</x:v>
      </x:c>
      <x:c r="T830" s="6">
        <x:v>46281</x:v>
      </x:c>
      <x:c r="U830" s="6">
        <x:v>46282</x:v>
      </x:c>
      <x:c r="V830" s="6">
        <x:v>46283</x:v>
      </x:c>
      <x:c r="W830" s="0"/>
      <x:c r="X830" t="str" s="2">
        <x:v>17063638969</x:v>
      </x:c>
      <x:c r="Y830" t="str" s="2">
        <x:v>halljam41477@gmail.com</x:v>
      </x:c>
      <x:c r="Z830" s="6">
        <x:v>46282.91125651621</x:v>
      </x:c>
      <x:c r="AA830" t="str" s="2">
        <x:v>Dane Lara</x:v>
      </x:c>
      <x:c r="AB830" s="6">
        <x:v>46254.8118369213</x:v>
      </x:c>
      <x:c r="AC830" t="n" s="2">
        <x:v>39282</x:v>
      </x:c>
      <x:c r="AD830" t="str" s="2">
        <x:v>Doublewide</x:v>
      </x:c>
      <x:c r="AE830" t="str" s="2">
        <x:v>21st Mortgage Corporation</x:v>
      </x:c>
      <x:c r="AF830" s="7">
        <x:v>0</x:v>
      </x:c>
      <x:c r="AG830" s="7">
        <x:v>0</x:v>
      </x:c>
      <x:c r="AH830" s="0"/>
      <x:c r="AI830" t="str" s="2">
        <x:v>537</x:v>
      </x:c>
      <x:c r="AJ830" s="0"/>
      <x:c r="AK830" s="0"/>
    </x:row>
    <x:row r="831">
      <x:c r="A831" t="str" s="2">
        <x:f>=HYPERLINK("https://rsms.futurehomex.com/lead/39285", "Elmer Velasquez")</x:f>
      </x:c>
      <x:c r="B831" t="n" s="2">
        <x:v>54</x:v>
      </x:c>
      <x:c r="C831" t="str" s="2">
        <x:v>1/3</x:v>
      </x:c>
      <x:c r="D831" t="str" s="2">
        <x:f>=""</x:f>
      </x:c>
      <x:c r="E831" s="0"/>
      <x:c r="F831" t="str" s="2">
        <x:v>Walk-in</x:v>
      </x:c>
      <x:c r="G831" t="str" s="2">
        <x:v>Heritage Housing of Oklahoma City</x:v>
      </x:c>
      <x:c r="H831" t="str" s="2">
        <x:v>Trey Rixleben</x:v>
      </x:c>
      <x:c r="I831" s="0"/>
      <x:c r="J831" s="0"/>
      <x:c r="K831" t="n" s="2">
        <x:v>5</x:v>
      </x:c>
      <x:c r="L831" t="str" s="2">
        <x:v>1.1</x:v>
      </x:c>
      <x:c r="M831" t="str" s="2">
        <x:v>Inactive</x:v>
      </x:c>
      <x:c r="N831" t="str" s="2">
        <x:v>Prospect</x:v>
      </x:c>
      <x:c r="O831" s="0"/>
      <x:c r="P831" s="6">
        <x:v>46254</x:v>
      </x:c>
      <x:c r="Q831" s="6">
        <x:v>46254.89580327546</x:v>
      </x:c>
      <x:c r="R831" t="str" s="2">
        <x:v>Alejandra Calderon</x:v>
      </x:c>
      <x:c r="S831" s="6">
        <x:v>46254</x:v>
      </x:c>
      <x:c r="T831" s="0"/>
      <x:c r="U831" s="0"/>
      <x:c r="V831" s="0"/>
      <x:c r="W831" s="0"/>
      <x:c r="X831" t="str" s="2">
        <x:v>3313199735</x:v>
      </x:c>
      <x:c r="Y831" t="str" s="2">
        <x:v>elmercuruchich5048@gmail.com</x:v>
      </x:c>
      <x:c r="Z831" s="6">
        <x:v>46269.80268425926</x:v>
      </x:c>
      <x:c r="AA831" t="str" s="2">
        <x:v>Alejandra Calderon</x:v>
      </x:c>
      <x:c r="AB831" s="6">
        <x:v>46254.88718179398</x:v>
      </x:c>
      <x:c r="AC831" t="n" s="2">
        <x:v>39285</x:v>
      </x:c>
      <x:c r="AD831" s="0"/>
      <x:c r="AE831" s="0"/>
      <x:c r="AF831" s="0"/>
      <x:c r="AG831" s="0"/>
      <x:c r="AH831" s="0"/>
      <x:c r="AI831" s="0"/>
      <x:c r="AJ831" s="0"/>
      <x:c r="AK831" s="0"/>
    </x:row>
    <x:row r="832">
      <x:c r="A832" t="str" s="2">
        <x:f>=HYPERLINK("https://rsms.futurehomex.com/lead/39286", "Kizzy Jones")</x:f>
      </x:c>
      <x:c r="B832" t="n" s="2">
        <x:v>54</x:v>
      </x:c>
      <x:c r="C832" t="str" s="2">
        <x:v>1/7</x:v>
      </x:c>
      <x:c r="D832" t="str" s="2">
        <x:f>=""</x:f>
      </x:c>
      <x:c r="E832" s="0"/>
      <x:c r="F832" t="str" s="2">
        <x:v>Walk-in</x:v>
      </x:c>
      <x:c r="G832" t="str" s="2">
        <x:v>Heritage Housing of Jennings</x:v>
      </x:c>
      <x:c r="H832" t="str" s="2">
        <x:v>Clint O'Neal</x:v>
      </x:c>
      <x:c r="I832" s="0"/>
      <x:c r="J832" s="0"/>
      <x:c r="K832" t="n" s="2">
        <x:v>5</x:v>
      </x:c>
      <x:c r="L832" t="str" s="2">
        <x:v>1.1</x:v>
      </x:c>
      <x:c r="M832" t="str" s="2">
        <x:v>Tentative</x:v>
      </x:c>
      <x:c r="N832" t="str" s="2">
        <x:v>Prospect</x:v>
      </x:c>
      <x:c r="O832" s="0"/>
      <x:c r="P832" s="6">
        <x:v>46254</x:v>
      </x:c>
      <x:c r="Q832" s="6">
        <x:v>46254.897300543984</x:v>
      </x:c>
      <x:c r="R832" s="0"/>
      <x:c r="S832" s="0"/>
      <x:c r="T832" s="0"/>
      <x:c r="U832" s="0"/>
      <x:c r="V832" s="0"/>
      <x:c r="W832" s="0"/>
      <x:c r="X832" t="str" s="2">
        <x:v>4096783344</x:v>
      </x:c>
      <x:c r="Y832" t="str" s="2">
        <x:v>kj@nomail.com</x:v>
      </x:c>
      <x:c r="Z832" s="6">
        <x:v>46293.71526420139</x:v>
      </x:c>
      <x:c r="AA832" t="str" s="2">
        <x:v>Clint O'Neal</x:v>
      </x:c>
      <x:c r="AB832" s="6">
        <x:v>46254.897301006946</x:v>
      </x:c>
      <x:c r="AC832" t="n" s="2">
        <x:v>39286</x:v>
      </x:c>
      <x:c r="AD832" s="0"/>
      <x:c r="AE832" s="0"/>
      <x:c r="AF832" s="0"/>
      <x:c r="AG832" s="0"/>
      <x:c r="AH832" s="0"/>
      <x:c r="AI832" s="0"/>
      <x:c r="AJ832" s="0"/>
      <x:c r="AK832" s="0"/>
    </x:row>
    <x:row r="833">
      <x:c r="A833" t="str" s="2">
        <x:f>=HYPERLINK("https://rsms.futurehomex.com/lead/39287", "Joel Wiedel")</x:f>
      </x:c>
      <x:c r="B833" t="n" s="2">
        <x:v>54</x:v>
      </x:c>
      <x:c r="C833" t="str" s="2">
        <x:v/>
      </x:c>
      <x:c r="D833" t="str" s="2">
        <x:f>=""</x:f>
      </x:c>
      <x:c r="E833" s="0"/>
      <x:c r="F833" t="str" s="2">
        <x:v>Walk-in</x:v>
      </x:c>
      <x:c r="G833" t="str" s="2">
        <x:v>Heritage Housing Marble Falls</x:v>
      </x:c>
      <x:c r="H833" t="str" s="2">
        <x:v>Stephen Sanders</x:v>
      </x:c>
      <x:c r="I833" s="0"/>
      <x:c r="J833" s="0"/>
      <x:c r="K833" t="n" s="2">
        <x:v>5</x:v>
      </x:c>
      <x:c r="L833" t="str" s="2">
        <x:v>1.1</x:v>
      </x:c>
      <x:c r="M833" t="str" s="2">
        <x:v>Dead</x:v>
      </x:c>
      <x:c r="N833" t="str" s="2">
        <x:v>Prospect</x:v>
      </x:c>
      <x:c r="O833" s="0"/>
      <x:c r="P833" s="6">
        <x:v>46254</x:v>
      </x:c>
      <x:c r="Q833" s="6">
        <x:v>46254.913676585646</x:v>
      </x:c>
      <x:c r="R833" s="0"/>
      <x:c r="S833" s="0"/>
      <x:c r="T833" s="0"/>
      <x:c r="U833" s="0"/>
      <x:c r="V833" s="0"/>
      <x:c r="W833" s="0"/>
      <x:c r="X833" t="str" s="2">
        <x:v>4027205062</x:v>
      </x:c>
      <x:c r="Y833" t="str" s="2">
        <x:v>4027205062</x:v>
      </x:c>
      <x:c r="Z833" s="6">
        <x:v>46261.572509722224</x:v>
      </x:c>
      <x:c r="AA833" t="str" s="2">
        <x:v>Stephen Sanders</x:v>
      </x:c>
      <x:c r="AB833" s="6">
        <x:v>46254.95710231482</x:v>
      </x:c>
      <x:c r="AC833" t="n" s="2">
        <x:v>39287</x:v>
      </x:c>
      <x:c r="AD833" s="0"/>
      <x:c r="AE833" s="0"/>
      <x:c r="AF833" s="0"/>
      <x:c r="AG833" s="0"/>
      <x:c r="AH833" s="0"/>
      <x:c r="AI833" s="0"/>
      <x:c r="AJ833" s="0"/>
      <x:c r="AK833" s="0"/>
    </x:row>
    <x:row r="834">
      <x:c r="A834" t="str" s="2">
        <x:f>=HYPERLINK("https://rsms.futurehomex.com/lead/39288", "Heather Allen")</x:f>
      </x:c>
      <x:c r="B834" t="n" s="2">
        <x:v>54</x:v>
      </x:c>
      <x:c r="C834" t="str" s="2">
        <x:v>1/5</x:v>
      </x:c>
      <x:c r="D834" t="str" s="2">
        <x:f>=""</x:f>
      </x:c>
      <x:c r="E834" s="0"/>
      <x:c r="F834" t="str" s="2">
        <x:v>Facebook Messenger</x:v>
      </x:c>
      <x:c r="G834" t="str" s="2">
        <x:v>Heritage Housing of Oklahoma City</x:v>
      </x:c>
      <x:c r="H834" t="str" s="2">
        <x:v>Steve Castell</x:v>
      </x:c>
      <x:c r="I834" s="0"/>
      <x:c r="J834" t="str" s="2">
        <x:v>Steve Castell</x:v>
      </x:c>
      <x:c r="K834" t="n" s="2">
        <x:v>5</x:v>
      </x:c>
      <x:c r="L834" t="str" s="2">
        <x:v>1.1</x:v>
      </x:c>
      <x:c r="M834" t="str" s="2">
        <x:v>Tentative</x:v>
      </x:c>
      <x:c r="N834" t="str" s="2">
        <x:v>Deal Created</x:v>
      </x:c>
      <x:c r="O834" s="0"/>
      <x:c r="P834" s="6">
        <x:v>46254</x:v>
      </x:c>
      <x:c r="Q834" s="6">
        <x:v>46256.72735528935</x:v>
      </x:c>
      <x:c r="R834" s="0"/>
      <x:c r="S834" s="6">
        <x:v>46256</x:v>
      </x:c>
      <x:c r="T834" s="0"/>
      <x:c r="U834" s="0"/>
      <x:c r="V834" s="0"/>
      <x:c r="W834" s="0"/>
      <x:c r="X834" t="str" s="2">
        <x:v>4056140109</x:v>
      </x:c>
      <x:c r="Y834" t="str" s="2">
        <x:v>heatherinmotion@gmail.com</x:v>
      </x:c>
      <x:c r="Z834" s="6">
        <x:v>46266.95851079861</x:v>
      </x:c>
      <x:c r="AA834" t="str" s="2">
        <x:v>Steve Castell</x:v>
      </x:c>
      <x:c r="AB834" s="6">
        <x:v>46254.92551693287</x:v>
      </x:c>
      <x:c r="AC834" t="n" s="2">
        <x:v>39288</x:v>
      </x:c>
      <x:c r="AD834" s="0"/>
      <x:c r="AE834" s="0"/>
      <x:c r="AF834" s="0"/>
      <x:c r="AG834" s="0"/>
      <x:c r="AH834" s="0"/>
      <x:c r="AI834" s="0"/>
      <x:c r="AJ834" s="0"/>
      <x:c r="AK834" s="0"/>
    </x:row>
    <x:row r="835">
      <x:c r="A835" t="str" s="2">
        <x:f>=HYPERLINK("https://rsms.futurehomex.com/lead/39290", "Antonio Gonzalez")</x:f>
      </x:c>
      <x:c r="B835" t="n" s="2">
        <x:v>54</x:v>
      </x:c>
      <x:c r="C835" t="str" s="2">
        <x:v>0/1</x:v>
      </x:c>
      <x:c r="D835" t="str" s="2">
        <x:f>=""</x:f>
      </x:c>
      <x:c r="E835" s="0"/>
      <x:c r="F835" t="str" s="2">
        <x:v>TikTok</x:v>
      </x:c>
      <x:c r="G835" t="str" s="2">
        <x:v>Legacy Housing Corp. DBA Americasa</x:v>
      </x:c>
      <x:c r="H835" t="str" s="2">
        <x:v>Jose Parada</x:v>
      </x:c>
      <x:c r="I835" t="str" s="2">
        <x:v>Karol Romero</x:v>
      </x:c>
      <x:c r="J835" t="str" s="2">
        <x:v>Rodrigo Ramirez</x:v>
      </x:c>
      <x:c r="K835" t="n" s="2">
        <x:v>5</x:v>
      </x:c>
      <x:c r="L835" t="str" s="2">
        <x:v>1.1</x:v>
      </x:c>
      <x:c r="M835" t="str" s="2">
        <x:v>Tentative</x:v>
      </x:c>
      <x:c r="N835" t="str" s="2">
        <x:v>Deal Created</x:v>
      </x:c>
      <x:c r="O835" s="0"/>
      <x:c r="P835" s="6">
        <x:v>46254</x:v>
      </x:c>
      <x:c r="Q835" s="6">
        <x:v>46254.94812453703</x:v>
      </x:c>
      <x:c r="R835" s="0"/>
      <x:c r="S835" s="0"/>
      <x:c r="T835" s="0"/>
      <x:c r="U835" s="0"/>
      <x:c r="V835" s="0"/>
      <x:c r="W835" s="0"/>
      <x:c r="X835" t="str" s="2">
        <x:v>8322459796</x:v>
      </x:c>
      <x:c r="Y835" t="str" s="2">
        <x:v>8322459796</x:v>
      </x:c>
      <x:c r="Z835" s="6">
        <x:v>46307.69024895833</x:v>
      </x:c>
      <x:c r="AA835" t="str" s="2">
        <x:v>Jose Parada</x:v>
      </x:c>
      <x:c r="AB835" s="6">
        <x:v>46254.94812584491</x:v>
      </x:c>
      <x:c r="AC835" t="n" s="2">
        <x:v>39290</x:v>
      </x:c>
      <x:c r="AD835" s="0"/>
      <x:c r="AE835" s="0"/>
      <x:c r="AF835" s="0"/>
      <x:c r="AG835" s="0"/>
      <x:c r="AH835" s="0"/>
      <x:c r="AI835" s="0"/>
      <x:c r="AJ835" s="0"/>
      <x:c r="AK835" s="0"/>
    </x:row>
    <x:row r="836">
      <x:c r="A836" t="str" s="2">
        <x:f>=HYPERLINK("https://rsms.futurehomex.com/lead/39291", "Dillan Townson")</x:f>
      </x:c>
      <x:c r="B836" t="n" s="2">
        <x:v>53</x:v>
      </x:c>
      <x:c r="C836" t="str" s="2">
        <x:v/>
      </x:c>
      <x:c r="D836" t="str" s="2">
        <x:f>=""</x:f>
      </x:c>
      <x:c r="E836" s="0"/>
      <x:c r="F836" t="str" s="2">
        <x:v>Walk-in</x:v>
      </x:c>
      <x:c r="G836" t="str" s="2">
        <x:v>Heritage Housing of Minden</x:v>
      </x:c>
      <x:c r="H836" t="str" s="2">
        <x:v>Patrick Schuchart</x:v>
      </x:c>
      <x:c r="I836" t="str" s="2">
        <x:v>Karol Romero</x:v>
      </x:c>
      <x:c r="J836" t="str" s="2">
        <x:v>Patrick Schuchart</x:v>
      </x:c>
      <x:c r="K836" t="n" s="2">
        <x:v>5</x:v>
      </x:c>
      <x:c r="L836" t="str" s="2">
        <x:v>1.1</x:v>
      </x:c>
      <x:c r="M836" t="str" s="2">
        <x:v>Tentative</x:v>
      </x:c>
      <x:c r="N836" t="str" s="2">
        <x:v>Deal Created</x:v>
      </x:c>
      <x:c r="O836" s="0"/>
      <x:c r="P836" s="6">
        <x:v>46255</x:v>
      </x:c>
      <x:c r="Q836" s="6">
        <x:v>46276.941204710645</x:v>
      </x:c>
      <x:c r="R836" t="str" s="2">
        <x:v>Patrick Schuchart</x:v>
      </x:c>
      <x:c r="S836" s="0"/>
      <x:c r="T836" s="0"/>
      <x:c r="U836" s="0"/>
      <x:c r="V836" s="0"/>
      <x:c r="W836" s="0"/>
      <x:c r="X836" t="str" s="2">
        <x:v>3183798603</x:v>
      </x:c>
      <x:c r="Y836" t="str" s="2">
        <x:v>3183798603</x:v>
      </x:c>
      <x:c r="Z836" s="6">
        <x:v>46276.94288043981</x:v>
      </x:c>
      <x:c r="AA836" t="str" s="2">
        <x:v>Patrick Schuchart</x:v>
      </x:c>
      <x:c r="AB836" s="6">
        <x:v>46255.59066886574</x:v>
      </x:c>
      <x:c r="AC836" t="n" s="2">
        <x:v>39291</x:v>
      </x:c>
      <x:c r="AD836" s="0"/>
      <x:c r="AE836" s="0"/>
      <x:c r="AF836" s="0"/>
      <x:c r="AG836" s="0"/>
      <x:c r="AH836" s="0"/>
      <x:c r="AI836" s="0"/>
      <x:c r="AJ836" s="0"/>
      <x:c r="AK836" s="0"/>
    </x:row>
    <x:row r="837">
      <x:c r="A837" t="str" s="2">
        <x:f>=HYPERLINK("https://rsms.futurehomex.com/lead/39292", "Decedrick Crosby")</x:f>
      </x:c>
      <x:c r="B837" t="n" s="2">
        <x:v>53</x:v>
      </x:c>
      <x:c r="C837" t="str" s="2">
        <x:v>0/1</x:v>
      </x:c>
      <x:c r="D837" t="str" s="2">
        <x:f>=""</x:f>
      </x:c>
      <x:c r="E837" s="0"/>
      <x:c r="F837" t="str" s="2">
        <x:v>Walk-in</x:v>
      </x:c>
      <x:c r="G837" t="str" s="2">
        <x:v>Heritage Housing of Minden</x:v>
      </x:c>
      <x:c r="H837" t="str" s="2">
        <x:v>Patrick Schuchart</x:v>
      </x:c>
      <x:c r="I837" t="str" s="2">
        <x:v>Karol Romero</x:v>
      </x:c>
      <x:c r="J837" t="str" s="2">
        <x:v>Patrick Schuchart</x:v>
      </x:c>
      <x:c r="K837" t="n" s="2">
        <x:v>5</x:v>
      </x:c>
      <x:c r="L837" t="str" s="2">
        <x:v>1.1</x:v>
      </x:c>
      <x:c r="M837" t="str" s="2">
        <x:v>Tentative</x:v>
      </x:c>
      <x:c r="N837" t="str" s="2">
        <x:v>Deal Created</x:v>
      </x:c>
      <x:c r="O837" s="0"/>
      <x:c r="P837" s="6">
        <x:v>46255</x:v>
      </x:c>
      <x:c r="Q837" s="6">
        <x:v>46267.90823619213</x:v>
      </x:c>
      <x:c r="R837" s="0"/>
      <x:c r="S837" s="0"/>
      <x:c r="T837" s="0"/>
      <x:c r="U837" s="0"/>
      <x:c r="V837" s="0"/>
      <x:c r="W837" s="0"/>
      <x:c r="X837" t="str" s="2">
        <x:v>3182453874</x:v>
      </x:c>
      <x:c r="Y837" t="str" s="2">
        <x:v>3182453874</x:v>
      </x:c>
      <x:c r="Z837" s="6">
        <x:v>46296.609782210646</x:v>
      </x:c>
      <x:c r="AA837" t="str" s="2">
        <x:v>Kyla Brown</x:v>
      </x:c>
      <x:c r="AB837" s="6">
        <x:v>46255.59364510416</x:v>
      </x:c>
      <x:c r="AC837" t="n" s="2">
        <x:v>39292</x:v>
      </x:c>
      <x:c r="AD837" s="0"/>
      <x:c r="AE837" s="0"/>
      <x:c r="AF837" s="0"/>
      <x:c r="AG837" s="0"/>
      <x:c r="AH837" s="0"/>
      <x:c r="AI837" s="0"/>
      <x:c r="AJ837" s="0"/>
      <x:c r="AK837" s="0"/>
    </x:row>
    <x:row r="838">
      <x:c r="A838" t="str" s="2">
        <x:f>=HYPERLINK("https://rsms.futurehomex.com/lead/39294", "Ramon Gonzalez")</x:f>
      </x:c>
      <x:c r="B838" t="n" s="2">
        <x:v>53</x:v>
      </x:c>
      <x:c r="C838" t="str" s="2">
        <x:v>0/1</x:v>
      </x:c>
      <x:c r="D838" t="str" s="2">
        <x:f>=""</x:f>
      </x:c>
      <x:c r="E838" s="0"/>
      <x:c r="F838" t="str" s="2">
        <x:v>Landing_BPM</x:v>
      </x:c>
      <x:c r="G838" t="str" s="2">
        <x:v>Legacy Housing Corp. DBA Americasa</x:v>
      </x:c>
      <x:c r="H838" t="str" s="2">
        <x:v>Joey Marquez</x:v>
      </x:c>
      <x:c r="I838" s="0"/>
      <x:c r="J838" t="str" s="2">
        <x:v>Rodrigo Ramirez</x:v>
      </x:c>
      <x:c r="K838" t="n" s="2">
        <x:v>5</x:v>
      </x:c>
      <x:c r="L838" t="str" s="2">
        <x:v>1.1</x:v>
      </x:c>
      <x:c r="M838" t="str" s="2">
        <x:v>Tentative</x:v>
      </x:c>
      <x:c r="N838" t="str" s="2">
        <x:v>Deal Created</x:v>
      </x:c>
      <x:c r="O838" s="0"/>
      <x:c r="P838" s="6">
        <x:v>46255</x:v>
      </x:c>
      <x:c r="Q838" s="6">
        <x:v>46255.62007596065</x:v>
      </x:c>
      <x:c r="R838" s="0"/>
      <x:c r="S838" s="0"/>
      <x:c r="T838" s="0"/>
      <x:c r="U838" s="0"/>
      <x:c r="V838" s="0"/>
      <x:c r="W838" s="0"/>
      <x:c r="X838" t="str" s="2">
        <x:v>8328880328</x:v>
      </x:c>
      <x:c r="Y838" t="str" s="2">
        <x:v>gray74130@gmail.com</x:v>
      </x:c>
      <x:c r="Z838" s="6">
        <x:v>46290.659955868054</x:v>
      </x:c>
      <x:c r="AA838" t="str" s="2">
        <x:v>Joey Marquez</x:v>
      </x:c>
      <x:c r="AB838" s="6">
        <x:v>46255.62007646991</x:v>
      </x:c>
      <x:c r="AC838" t="n" s="2">
        <x:v>39294</x:v>
      </x:c>
      <x:c r="AD838" s="0"/>
      <x:c r="AE838" s="0"/>
      <x:c r="AF838" s="0"/>
      <x:c r="AG838" s="0"/>
      <x:c r="AH838" s="0"/>
      <x:c r="AI838" s="0"/>
      <x:c r="AJ838" s="0"/>
      <x:c r="AK838" s="0"/>
    </x:row>
    <x:row r="839">
      <x:c r="A839" t="str" s="2">
        <x:f>=HYPERLINK("https://rsms.futurehomex.com/lead/39295", "Anitra Pete Alexander")</x:f>
      </x:c>
      <x:c r="B839" t="n" s="2">
        <x:v>53</x:v>
      </x:c>
      <x:c r="C839" t="str" s="2">
        <x:v/>
      </x:c>
      <x:c r="D839" t="str" s="2">
        <x:f>="#1 RSO, CASH"</x:f>
      </x:c>
      <x:c r="E839" s="0"/>
      <x:c r="F839" t="str" s="2">
        <x:v>Office Hot Calls</x:v>
      </x:c>
      <x:c r="G839" t="str" s="2">
        <x:v>Heritage Housing of Jennings</x:v>
      </x:c>
      <x:c r="H839" t="str" s="2">
        <x:v>Mervin Leslie Smith</x:v>
      </x:c>
      <x:c r="I839" s="0"/>
      <x:c r="J839" s="0"/>
      <x:c r="K839" t="n" s="2">
        <x:v>80</x:v>
      </x:c>
      <x:c r="L839" t="str" s="2">
        <x:v>5.3</x:v>
      </x:c>
      <x:c r="M839" t="str" s="2">
        <x:v>Closed</x:v>
      </x:c>
      <x:c r="N839" t="str" s="2">
        <x:v>Pending Delivery</x:v>
      </x:c>
      <x:c r="O839" s="6">
        <x:v>46326</x:v>
      </x:c>
      <x:c r="P839" s="6">
        <x:v>46255</x:v>
      </x:c>
      <x:c r="Q839" s="6">
        <x:v>46307.853059988425</x:v>
      </x:c>
      <x:c r="R839" s="0"/>
      <x:c r="S839" s="6">
        <x:v>46251</x:v>
      </x:c>
      <x:c r="T839" s="6">
        <x:v>46255</x:v>
      </x:c>
      <x:c r="U839" s="0"/>
      <x:c r="V839" s="0"/>
      <x:c r="W839" s="0"/>
      <x:c r="X839" t="str" s="2">
        <x:v>3373293641</x:v>
      </x:c>
      <x:c r="Y839" t="str" s="2">
        <x:v>anitrapete1974@gmail.com</x:v>
      </x:c>
      <x:c r="Z839" s="6">
        <x:v>46286.64702858796</x:v>
      </x:c>
      <x:c r="AA839" t="str" s="2">
        <x:v>Tina Dallas</x:v>
      </x:c>
      <x:c r="AB839" s="6">
        <x:v>46255.666643136574</x:v>
      </x:c>
      <x:c r="AC839" t="n" s="2">
        <x:v>39295</x:v>
      </x:c>
      <x:c r="AD839" t="str" s="2">
        <x:v>Singlewide</x:v>
      </x:c>
      <x:c r="AE839" s="0"/>
      <x:c r="AF839" s="7">
        <x:v>5895</x:v>
      </x:c>
      <x:c r="AG839" s="7">
        <x:v>5895</x:v>
      </x:c>
      <x:c r="AH839" s="7">
        <x:v>131593.89</x:v>
      </x:c>
      <x:c r="AI839" s="0"/>
      <x:c r="AJ839" s="0"/>
      <x:c r="AK839" t="str" s="6">
        <x:v>2026-10-30</x:v>
      </x:c>
    </x:row>
    <x:row r="840">
      <x:c r="A840" t="str" s="2">
        <x:f>=HYPERLINK("https://rsms.futurehomex.com/lead/39296", "Diego Carillo")</x:f>
      </x:c>
      <x:c r="B840" t="n" s="2">
        <x:v>53</x:v>
      </x:c>
      <x:c r="C840" t="str" s="2">
        <x:v>0/1</x:v>
      </x:c>
      <x:c r="D840" t="str" s="2">
        <x:f>=""</x:f>
      </x:c>
      <x:c r="E840" s="0"/>
      <x:c r="F840" t="str" s="2">
        <x:v>Walk-in</x:v>
      </x:c>
      <x:c r="G840" t="str" s="2">
        <x:v>Heritage Housing of Oklahoma City</x:v>
      </x:c>
      <x:c r="H840" t="str" s="2">
        <x:v>Alejandra Calderon</x:v>
      </x:c>
      <x:c r="I840" s="0"/>
      <x:c r="J840" s="0"/>
      <x:c r="K840" t="n" s="2">
        <x:v>5</x:v>
      </x:c>
      <x:c r="L840" t="str" s="2">
        <x:v>1.1</x:v>
      </x:c>
      <x:c r="M840" t="str" s="2">
        <x:v>Dead</x:v>
      </x:c>
      <x:c r="N840" t="str" s="2">
        <x:v>Prospect</x:v>
      </x:c>
      <x:c r="O840" s="0"/>
      <x:c r="P840" s="6">
        <x:v>46255</x:v>
      </x:c>
      <x:c r="Q840" s="6">
        <x:v>46255.67814614583</x:v>
      </x:c>
      <x:c r="R840" s="0"/>
      <x:c r="S840" s="6">
        <x:v>46255</x:v>
      </x:c>
      <x:c r="T840" s="0"/>
      <x:c r="U840" s="0"/>
      <x:c r="V840" s="0"/>
      <x:c r="W840" s="0"/>
      <x:c r="X840" t="str" s="2">
        <x:v>4053612806</x:v>
      </x:c>
      <x:c r="Y840" t="str" s="2">
        <x:v>dc396871@gmail.com</x:v>
      </x:c>
      <x:c r="Z840" s="6">
        <x:v>46297.7692246875</x:v>
      </x:c>
      <x:c r="AA840" t="str" s="2">
        <x:v>Alejandra Calderon</x:v>
      </x:c>
      <x:c r="AB840" s="6">
        <x:v>46255.67814768518</x:v>
      </x:c>
      <x:c r="AC840" t="n" s="2">
        <x:v>39296</x:v>
      </x:c>
      <x:c r="AD840" s="0"/>
      <x:c r="AE840" s="0"/>
      <x:c r="AF840" s="0"/>
      <x:c r="AG840" s="0"/>
      <x:c r="AH840" s="0"/>
      <x:c r="AI840" s="0"/>
      <x:c r="AJ840" s="0"/>
      <x:c r="AK840" s="0"/>
    </x:row>
    <x:row r="841">
      <x:c r="A841" t="str" s="2">
        <x:f>=HYPERLINK("https://rsms.futurehomex.com/lead/39297", "Wanda Howard")</x:f>
      </x:c>
      <x:c r="B841" t="n" s="2">
        <x:v>53</x:v>
      </x:c>
      <x:c r="C841" t="str" s="2">
        <x:v>0/9</x:v>
      </x:c>
      <x:c r="D841" t="str" s="2">
        <x:f>=""</x:f>
      </x:c>
      <x:c r="E841" s="0"/>
      <x:c r="F841" t="str" s="2">
        <x:v>Referrals</x:v>
      </x:c>
      <x:c r="G841" t="str" s="2">
        <x:v>Heritage Housing of Oklahoma City</x:v>
      </x:c>
      <x:c r="H841" t="str" s="2">
        <x:v>Steve Castell</x:v>
      </x:c>
      <x:c r="I841" s="0"/>
      <x:c r="J841" t="str" s="2">
        <x:v>Steve Castell</x:v>
      </x:c>
      <x:c r="K841" t="n" s="2">
        <x:v>38</x:v>
      </x:c>
      <x:c r="L841" t="str" s="2">
        <x:v>3.2</x:v>
      </x:c>
      <x:c r="M841" t="str" s="2">
        <x:v>Inactive</x:v>
      </x:c>
      <x:c r="N841" t="str" s="2">
        <x:v>Application</x:v>
      </x:c>
      <x:c r="O841" s="6">
        <x:v>46326</x:v>
      </x:c>
      <x:c r="P841" s="6">
        <x:v>46255</x:v>
      </x:c>
      <x:c r="Q841" s="6">
        <x:v>46294.8681440162</x:v>
      </x:c>
      <x:c r="R841" s="0"/>
      <x:c r="S841" s="6">
        <x:v>46256</x:v>
      </x:c>
      <x:c r="T841" s="6">
        <x:v>46294</x:v>
      </x:c>
      <x:c r="U841" s="6">
        <x:v>46325</x:v>
      </x:c>
      <x:c r="V841" s="6">
        <x:v>46325</x:v>
      </x:c>
      <x:c r="W841" s="0"/>
      <x:c r="X841" t="str" s="2">
        <x:v>4059928101</x:v>
      </x:c>
      <x:c r="Y841" t="str" s="2">
        <x:v>grandma_wanda8185@yahoo.com</x:v>
      </x:c>
      <x:c r="Z841" s="6">
        <x:v>46304.958895104166</x:v>
      </x:c>
      <x:c r="AA841" t="str" s="2">
        <x:v>Steve Castell</x:v>
      </x:c>
      <x:c r="AB841" s="6">
        <x:v>46255.7558815625</x:v>
      </x:c>
      <x:c r="AC841" t="n" s="2">
        <x:v>39297</x:v>
      </x:c>
      <x:c r="AD841" t="str" s="2">
        <x:v>Singlewide</x:v>
      </x:c>
      <x:c r="AE841" t="str" s="2">
        <x:v>Legacy Housing Corporation</x:v>
      </x:c>
      <x:c r="AF841" s="7">
        <x:v>34000</x:v>
      </x:c>
      <x:c r="AG841" s="7">
        <x:v>34000</x:v>
      </x:c>
      <x:c r="AH841" s="0"/>
      <x:c r="AI841" t="str" s="2">
        <x:v>757</x:v>
      </x:c>
      <x:c r="AJ841" s="0"/>
      <x:c r="AK841" s="0"/>
    </x:row>
    <x:row r="842">
      <x:c r="A842" t="str" s="2">
        <x:f>=HYPERLINK("https://rsms.futurehomex.com/lead/39298", "Rokiesha Brawner")</x:f>
      </x:c>
      <x:c r="B842" t="n" s="2">
        <x:v>53</x:v>
      </x:c>
      <x:c r="C842" t="str" s="2">
        <x:v>0/1</x:v>
      </x:c>
      <x:c r="D842" t="str" s="2">
        <x:f>=""</x:f>
      </x:c>
      <x:c r="E842" s="0"/>
      <x:c r="F842" t="str" s="2">
        <x:v>Walk-in</x:v>
      </x:c>
      <x:c r="G842" t="str" s="2">
        <x:v>Heritage Housing of Augusta</x:v>
      </x:c>
      <x:c r="H842" t="str" s="2">
        <x:v>Jennifer Johnson</x:v>
      </x:c>
      <x:c r="I842" t="str" s="2">
        <x:v>Karol Romero</x:v>
      </x:c>
      <x:c r="J842" t="str" s="2">
        <x:v>Jennifer Johnson</x:v>
      </x:c>
      <x:c r="K842" t="n" s="2">
        <x:v>5</x:v>
      </x:c>
      <x:c r="L842" t="str" s="2">
        <x:v>1.1</x:v>
      </x:c>
      <x:c r="M842" t="str" s="2">
        <x:v>Tentative</x:v>
      </x:c>
      <x:c r="N842" t="str" s="2">
        <x:v>Deal Created</x:v>
      </x:c>
      <x:c r="O842" s="0"/>
      <x:c r="P842" s="6">
        <x:v>46255</x:v>
      </x:c>
      <x:c r="Q842" s="6">
        <x:v>46281.607172372685</x:v>
      </x:c>
      <x:c r="R842" s="0"/>
      <x:c r="S842" s="6">
        <x:v>46255</x:v>
      </x:c>
      <x:c r="T842" s="0"/>
      <x:c r="U842" s="0"/>
      <x:c r="V842" s="0"/>
      <x:c r="W842" s="0"/>
      <x:c r="X842" t="str" s="2">
        <x:v>7062488950</x:v>
      </x:c>
      <x:c r="Y842" t="str" s="2">
        <x:v>rokieshiabrawner@yahoo.com</x:v>
      </x:c>
      <x:c r="Z842" s="6">
        <x:v>46298.706695520836</x:v>
      </x:c>
      <x:c r="AA842" t="str" s="2">
        <x:v>Jennifer Johnson</x:v>
      </x:c>
      <x:c r="AB842" s="6">
        <x:v>46255.794118171296</x:v>
      </x:c>
      <x:c r="AC842" t="n" s="2">
        <x:v>39298</x:v>
      </x:c>
      <x:c r="AD842" s="0"/>
      <x:c r="AE842" s="0"/>
      <x:c r="AF842" s="0"/>
      <x:c r="AG842" s="0"/>
      <x:c r="AH842" s="0"/>
      <x:c r="AI842" s="0"/>
      <x:c r="AJ842" s="0"/>
      <x:c r="AK842" s="0"/>
    </x:row>
    <x:row r="843">
      <x:c r="A843" t="str" s="2">
        <x:f>=HYPERLINK("https://rsms.futurehomex.com/lead/39300", "Virginia Chaney")</x:f>
      </x:c>
      <x:c r="B843" t="n" s="2">
        <x:v>53</x:v>
      </x:c>
      <x:c r="C843" t="str" s="2">
        <x:v>0/1</x:v>
      </x:c>
      <x:c r="D843" t="str" s="2">
        <x:f>=""</x:f>
      </x:c>
      <x:c r="E843" s="0"/>
      <x:c r="F843" t="str" s="2">
        <x:v>Meta Ads - Forms</x:v>
      </x:c>
      <x:c r="G843" t="str" s="2">
        <x:v>Heritage Housing of Augusta</x:v>
      </x:c>
      <x:c r="H843" t="str" s="2">
        <x:v>Alex Jones</x:v>
      </x:c>
      <x:c r="I843" t="str" s="2">
        <x:v>Karol Romero</x:v>
      </x:c>
      <x:c r="J843" s="0"/>
      <x:c r="K843" t="n" s="2">
        <x:v>5</x:v>
      </x:c>
      <x:c r="L843" t="str" s="2">
        <x:v>1.1</x:v>
      </x:c>
      <x:c r="M843" t="str" s="2">
        <x:v>Dead</x:v>
      </x:c>
      <x:c r="N843" t="str" s="2">
        <x:v>Prospect</x:v>
      </x:c>
      <x:c r="O843" s="0"/>
      <x:c r="P843" s="6">
        <x:v>46255</x:v>
      </x:c>
      <x:c r="Q843" s="6">
        <x:v>46255.82098295139</x:v>
      </x:c>
      <x:c r="R843" s="0"/>
      <x:c r="S843" s="0"/>
      <x:c r="T843" s="0"/>
      <x:c r="U843" s="0"/>
      <x:c r="V843" s="0"/>
      <x:c r="W843" s="0"/>
      <x:c r="X843" t="str" s="2">
        <x:v>8036590679</x:v>
      </x:c>
      <x:c r="Y843" t="str" s="2">
        <x:v>virginiachaney123@gmail.com</x:v>
      </x:c>
      <x:c r="Z843" s="6">
        <x:v>46298.70847114583</x:v>
      </x:c>
      <x:c r="AA843" t="str" s="2">
        <x:v>Jennifer Johnson</x:v>
      </x:c>
      <x:c r="AB843" s="6">
        <x:v>46255.82086940972</x:v>
      </x:c>
      <x:c r="AC843" t="n" s="2">
        <x:v>39300</x:v>
      </x:c>
      <x:c r="AD843" s="0"/>
      <x:c r="AE843" s="0"/>
      <x:c r="AF843" s="0"/>
      <x:c r="AG843" s="0"/>
      <x:c r="AH843" s="0"/>
      <x:c r="AI843" s="0"/>
      <x:c r="AJ843" s="0"/>
      <x:c r="AK843" s="0"/>
    </x:row>
    <x:row r="844">
      <x:c r="A844" t="str" s="2">
        <x:f>=HYPERLINK("https://rsms.futurehomex.com/lead/39301", "Casey Daniels")</x:f>
      </x:c>
      <x:c r="B844" t="n" s="2">
        <x:v>53</x:v>
      </x:c>
      <x:c r="C844" t="str" s="2">
        <x:v>0/1</x:v>
      </x:c>
      <x:c r="D844" t="str" s="2">
        <x:f>=""</x:f>
      </x:c>
      <x:c r="E844" s="0"/>
      <x:c r="F844" t="str" s="2">
        <x:v>Walk-in</x:v>
      </x:c>
      <x:c r="G844" t="str" s="2">
        <x:v>Heritage Housing Gainesville</x:v>
      </x:c>
      <x:c r="H844" t="str" s="2">
        <x:v>Kelly Ford</x:v>
      </x:c>
      <x:c r="I844" s="0"/>
      <x:c r="J844" t="str" s="2">
        <x:v>Kelly Ford</x:v>
      </x:c>
      <x:c r="K844" t="n" s="2">
        <x:v>5</x:v>
      </x:c>
      <x:c r="L844" t="str" s="2">
        <x:v>1.1</x:v>
      </x:c>
      <x:c r="M844" t="str" s="2">
        <x:v>Tentative</x:v>
      </x:c>
      <x:c r="N844" t="str" s="2">
        <x:v>Deal Created</x:v>
      </x:c>
      <x:c r="O844" s="0"/>
      <x:c r="P844" s="6">
        <x:v>46255</x:v>
      </x:c>
      <x:c r="Q844" s="6">
        <x:v>46255.85562248842</x:v>
      </x:c>
      <x:c r="R844" s="0"/>
      <x:c r="S844" s="6">
        <x:v>46255</x:v>
      </x:c>
      <x:c r="T844" s="0"/>
      <x:c r="U844" s="0"/>
      <x:c r="V844" s="0"/>
      <x:c r="W844" s="0"/>
      <x:c r="X844" t="str" s="2">
        <x:v>8128411307</x:v>
      </x:c>
      <x:c r="Y844" t="str" s="2">
        <x:v>momwbrats@aim.com</x:v>
      </x:c>
      <x:c r="Z844" s="6">
        <x:v>46263.787002199075</x:v>
      </x:c>
      <x:c r="AA844" t="str" s="2">
        <x:v>John Schwichtenberg</x:v>
      </x:c>
      <x:c r="AB844" s="6">
        <x:v>46255.85492809028</x:v>
      </x:c>
      <x:c r="AC844" t="n" s="2">
        <x:v>39301</x:v>
      </x:c>
      <x:c r="AD844" s="0"/>
      <x:c r="AE844" s="0"/>
      <x:c r="AF844" s="0"/>
      <x:c r="AG844" s="0"/>
      <x:c r="AH844" s="0"/>
      <x:c r="AI844" s="0"/>
      <x:c r="AJ844" s="0"/>
      <x:c r="AK844" s="0"/>
    </x:row>
    <x:row r="845">
      <x:c r="A845" t="str" s="2">
        <x:f>=HYPERLINK("https://rsms.futurehomex.com/lead/39302", "Nakita Marcum")</x:f>
      </x:c>
      <x:c r="B845" t="n" s="2">
        <x:v>53</x:v>
      </x:c>
      <x:c r="C845" t="str" s="2">
        <x:v/>
      </x:c>
      <x:c r="D845" t="str" s="2">
        <x:f>=""</x:f>
      </x:c>
      <x:c r="E845" s="0"/>
      <x:c r="F845" t="str" s="2">
        <x:v>Walk-in</x:v>
      </x:c>
      <x:c r="G845" t="str" s="2">
        <x:v>Heritage Housing of Asheboro</x:v>
      </x:c>
      <x:c r="H845" t="str" s="2">
        <x:v>Maria Lopez</x:v>
      </x:c>
      <x:c r="I845" s="0"/>
      <x:c r="J845" s="0"/>
      <x:c r="K845" t="n" s="2">
        <x:v>21</x:v>
      </x:c>
      <x:c r="L845" t="str" s="2">
        <x:v>2.1</x:v>
      </x:c>
      <x:c r="M845" t="str" s="2">
        <x:v>Tentative</x:v>
      </x:c>
      <x:c r="N845" t="str" s="2">
        <x:v>Qualified</x:v>
      </x:c>
      <x:c r="O845" s="0"/>
      <x:c r="P845" s="6">
        <x:v>46255</x:v>
      </x:c>
      <x:c r="Q845" s="6">
        <x:v>46256.8056790162</x:v>
      </x:c>
      <x:c r="R845" s="0"/>
      <x:c r="S845" s="0"/>
      <x:c r="T845" s="0"/>
      <x:c r="U845" s="0"/>
      <x:c r="V845" s="0"/>
      <x:c r="W845" s="0"/>
      <x:c r="X845" t="str" s="2">
        <x:v>3366899585</x:v>
      </x:c>
      <x:c r="Y845" t="str" s="2">
        <x:v>nakita.marcum@iloud.om</x:v>
      </x:c>
      <x:c r="Z845" s="6">
        <x:v>46256.80566875</x:v>
      </x:c>
      <x:c r="AA845" t="str" s="2">
        <x:v>Jeremy Jacques</x:v>
      </x:c>
      <x:c r="AB845" s="6">
        <x:v>46255.85693417824</x:v>
      </x:c>
      <x:c r="AC845" t="n" s="2">
        <x:v>39302</x:v>
      </x:c>
      <x:c r="AD845" s="0"/>
      <x:c r="AE845" s="0"/>
      <x:c r="AF845" s="0"/>
      <x:c r="AG845" s="0"/>
      <x:c r="AH845" s="0"/>
      <x:c r="AI845" s="0"/>
      <x:c r="AJ845" s="0"/>
      <x:c r="AK845" s="0"/>
    </x:row>
    <x:row r="846">
      <x:c r="A846" t="str" s="2">
        <x:f>=HYPERLINK("https://rsms.futurehomex.com/lead/39305", "Robert Lee")</x:f>
      </x:c>
      <x:c r="B846" t="n" s="2">
        <x:v>53</x:v>
      </x:c>
      <x:c r="C846" t="str" s="2">
        <x:v/>
      </x:c>
      <x:c r="D846" t="str" s="2">
        <x:f>=""</x:f>
      </x:c>
      <x:c r="E846" s="0"/>
      <x:c r="F846" t="str" s="2">
        <x:v>META Marketplace</x:v>
      </x:c>
      <x:c r="G846" t="str" s="2">
        <x:v>Heritage Housing of Canton</x:v>
      </x:c>
      <x:c r="H846" t="str" s="2">
        <x:v>Jacob Hatten</x:v>
      </x:c>
      <x:c r="I846" s="0"/>
      <x:c r="J846" s="0"/>
      <x:c r="K846" t="n" s="2">
        <x:v>5</x:v>
      </x:c>
      <x:c r="L846" t="str" s="2">
        <x:v>1.1</x:v>
      </x:c>
      <x:c r="M846" t="str" s="2">
        <x:v>Tentative</x:v>
      </x:c>
      <x:c r="N846" t="str" s="2">
        <x:v>Prospect</x:v>
      </x:c>
      <x:c r="O846" s="0"/>
      <x:c r="P846" s="6">
        <x:v>46255</x:v>
      </x:c>
      <x:c r="Q846" s="6">
        <x:v>46255.902337962965</x:v>
      </x:c>
      <x:c r="R846" s="0"/>
      <x:c r="S846" s="0"/>
      <x:c r="T846" s="0"/>
      <x:c r="U846" s="0"/>
      <x:c r="V846" s="0"/>
      <x:c r="W846" s="0"/>
      <x:c r="X846" t="str" s="2">
        <x:v>9032768177</x:v>
      </x:c>
      <x:c r="Y846" t="str" s="2">
        <x:v>robbyjr0422@gmail.com</x:v>
      </x:c>
      <x:c r="Z846" s="0"/>
      <x:c r="AA846" s="0"/>
      <x:c r="AB846" s="6">
        <x:v>46255.90233896991</x:v>
      </x:c>
      <x:c r="AC846" t="n" s="2">
        <x:v>39305</x:v>
      </x:c>
      <x:c r="AD846" s="0"/>
      <x:c r="AE846" s="0"/>
      <x:c r="AF846" s="0"/>
      <x:c r="AG846" s="0"/>
      <x:c r="AH846" s="0"/>
      <x:c r="AI846" s="0"/>
      <x:c r="AJ846" s="0"/>
      <x:c r="AK846" s="0"/>
    </x:row>
    <x:row r="847">
      <x:c r="A847" t="str" s="2">
        <x:f>=HYPERLINK("https://rsms.futurehomex.com/lead/39306", "Delsie Kell")</x:f>
      </x:c>
      <x:c r="B847" t="n" s="2">
        <x:v>53</x:v>
      </x:c>
      <x:c r="C847" t="str" s="2">
        <x:v>0/1</x:v>
      </x:c>
      <x:c r="D847" t="str" s="2">
        <x:f>=""</x:f>
      </x:c>
      <x:c r="E847" s="0"/>
      <x:c r="F847" t="str" s="2">
        <x:v>Website</x:v>
      </x:c>
      <x:c r="G847" t="str" s="2">
        <x:v>Heritage Housing of Oklahoma City</x:v>
      </x:c>
      <x:c r="H847" t="str" s="2">
        <x:v>Trey Rixleben</x:v>
      </x:c>
      <x:c r="I847" t="str" s="2">
        <x:v>Karol Romero</x:v>
      </x:c>
      <x:c r="J847" s="0"/>
      <x:c r="K847" t="n" s="2">
        <x:v>5</x:v>
      </x:c>
      <x:c r="L847" t="str" s="2">
        <x:v>1.1</x:v>
      </x:c>
      <x:c r="M847" t="str" s="2">
        <x:v>Dead</x:v>
      </x:c>
      <x:c r="N847" t="str" s="2">
        <x:v>Prospect</x:v>
      </x:c>
      <x:c r="O847" s="0"/>
      <x:c r="P847" s="6">
        <x:v>46255</x:v>
      </x:c>
      <x:c r="Q847" s="6">
        <x:v>46258.651775659724</x:v>
      </x:c>
      <x:c r="R847" s="0"/>
      <x:c r="S847" s="0"/>
      <x:c r="T847" s="0"/>
      <x:c r="U847" s="0"/>
      <x:c r="V847" s="0"/>
      <x:c r="W847" s="0"/>
      <x:c r="X847" t="str" s="2">
        <x:v>9182269056</x:v>
      </x:c>
      <x:c r="Y847" t="str" s="2">
        <x:v>delsieclay74@gmail.com</x:v>
      </x:c>
      <x:c r="Z847" s="6">
        <x:v>46265.741493518515</x:v>
      </x:c>
      <x:c r="AA847" t="str" s="2">
        <x:v>Richard Bell</x:v>
      </x:c>
      <x:c r="AB847" s="6">
        <x:v>46255.9127818287</x:v>
      </x:c>
      <x:c r="AC847" t="n" s="2">
        <x:v>39306</x:v>
      </x:c>
      <x:c r="AD847" s="0"/>
      <x:c r="AE847" s="0"/>
      <x:c r="AF847" s="0"/>
      <x:c r="AG847" s="0"/>
      <x:c r="AH847" s="0"/>
      <x:c r="AI847" t="str" s="2">
        <x:v>675</x:v>
      </x:c>
      <x:c r="AJ847" s="0"/>
      <x:c r="AK847" s="0"/>
    </x:row>
    <x:row r="848">
      <x:c r="A848" t="str" s="2">
        <x:f>=HYPERLINK("https://rsms.futurehomex.com/lead/39307", "Rhyan Alexander")</x:f>
      </x:c>
      <x:c r="B848" t="n" s="2">
        <x:v>53</x:v>
      </x:c>
      <x:c r="C848" t="str" s="2">
        <x:v>0/3</x:v>
      </x:c>
      <x:c r="D848" t="str" s="2">
        <x:f>=""</x:f>
      </x:c>
      <x:c r="E848" s="0"/>
      <x:c r="F848" t="str" s="2">
        <x:v>Walk-in</x:v>
      </x:c>
      <x:c r="G848" t="str" s="2">
        <x:v>Heritage Housing of Oklahoma City</x:v>
      </x:c>
      <x:c r="H848" t="str" s="2">
        <x:v>Alejandra Calderon</x:v>
      </x:c>
      <x:c r="I848" s="0"/>
      <x:c r="J848" t="str" s="2">
        <x:v>Alejandra Calderon</x:v>
      </x:c>
      <x:c r="K848" t="n" s="2">
        <x:v>5</x:v>
      </x:c>
      <x:c r="L848" t="str" s="2">
        <x:v>1.1</x:v>
      </x:c>
      <x:c r="M848" t="str" s="2">
        <x:v>Inactive</x:v>
      </x:c>
      <x:c r="N848" t="str" s="2">
        <x:v>Deal Created</x:v>
      </x:c>
      <x:c r="O848" s="0"/>
      <x:c r="P848" s="6">
        <x:v>46255</x:v>
      </x:c>
      <x:c r="Q848" s="6">
        <x:v>46255.96427133102</x:v>
      </x:c>
      <x:c r="R848" s="0"/>
      <x:c r="S848" s="6">
        <x:v>46255</x:v>
      </x:c>
      <x:c r="T848" s="0"/>
      <x:c r="U848" s="0"/>
      <x:c r="V848" s="0"/>
      <x:c r="W848" s="0"/>
      <x:c r="X848" t="str" s="2">
        <x:v>4057968427</x:v>
      </x:c>
      <x:c r="Y848" t="str" s="2">
        <x:v>rhyanalexmc@gmail.com</x:v>
      </x:c>
      <x:c r="Z848" s="6">
        <x:v>46266.86583738426</x:v>
      </x:c>
      <x:c r="AA848" t="str" s="2">
        <x:v>Richard Bell</x:v>
      </x:c>
      <x:c r="AB848" s="6">
        <x:v>46255.964273032405</x:v>
      </x:c>
      <x:c r="AC848" t="n" s="2">
        <x:v>39307</x:v>
      </x:c>
      <x:c r="AD848" s="0"/>
      <x:c r="AE848" s="0"/>
      <x:c r="AF848" s="0"/>
      <x:c r="AG848" s="0"/>
      <x:c r="AH848" s="0"/>
      <x:c r="AI848" s="0"/>
      <x:c r="AJ848" s="0"/>
      <x:c r="AK848" s="0"/>
    </x:row>
    <x:row r="849">
      <x:c r="A849" t="str" s="2">
        <x:f>=HYPERLINK("https://rsms.futurehomex.com/lead/39308", "Sheryl Hitchcock")</x:f>
      </x:c>
      <x:c r="B849" t="n" s="2">
        <x:v>52</x:v>
      </x:c>
      <x:c r="C849" t="str" s="2">
        <x:v/>
      </x:c>
      <x:c r="D849" t="str" s="2">
        <x:f>=""</x:f>
      </x:c>
      <x:c r="E849" s="0"/>
      <x:c r="F849" t="str" s="2">
        <x:v>Walk-in</x:v>
      </x:c>
      <x:c r="G849" t="str" s="2">
        <x:v>Heritage Housing of Augusta</x:v>
      </x:c>
      <x:c r="H849" t="str" s="2">
        <x:v>Faye Lively</x:v>
      </x:c>
      <x:c r="I849" s="0"/>
      <x:c r="J849" s="0"/>
      <x:c r="K849" t="n" s="2">
        <x:v>5</x:v>
      </x:c>
      <x:c r="L849" t="str" s="2">
        <x:v>1.1</x:v>
      </x:c>
      <x:c r="M849" t="str" s="2">
        <x:v>Tentative</x:v>
      </x:c>
      <x:c r="N849" t="str" s="2">
        <x:v>Prospect</x:v>
      </x:c>
      <x:c r="O849" s="0"/>
      <x:c r="P849" s="6">
        <x:v>46256</x:v>
      </x:c>
      <x:c r="Q849" s="6">
        <x:v>46280.877551770835</x:v>
      </x:c>
      <x:c r="R849" s="0"/>
      <x:c r="S849" s="0"/>
      <x:c r="T849" s="0"/>
      <x:c r="U849" s="0"/>
      <x:c r="V849" s="0"/>
      <x:c r="W849" s="0"/>
      <x:c r="X849" t="str" s="2">
        <x:v>7066915035</x:v>
      </x:c>
      <x:c r="Y849" t="str" s="2">
        <x:v>sdjones09@yahoo.com</x:v>
      </x:c>
      <x:c r="Z849" s="6">
        <x:v>46280.87851721065</x:v>
      </x:c>
      <x:c r="AA849" t="str" s="2">
        <x:v>Faye Lively</x:v>
      </x:c>
      <x:c r="AB849" s="6">
        <x:v>46256.58595590278</x:v>
      </x:c>
      <x:c r="AC849" t="n" s="2">
        <x:v>39308</x:v>
      </x:c>
      <x:c r="AD849" s="0"/>
      <x:c r="AE849" s="0"/>
      <x:c r="AF849" s="0"/>
      <x:c r="AG849" s="0"/>
      <x:c r="AH849" s="0"/>
      <x:c r="AI849" s="0"/>
      <x:c r="AJ849" s="0"/>
      <x:c r="AK849" s="0"/>
    </x:row>
    <x:row r="850">
      <x:c r="A850" t="str" s="2">
        <x:f>=HYPERLINK("https://rsms.futurehomex.com/lead/39312", "Desheka Johnson")</x:f>
      </x:c>
      <x:c r="B850" t="n" s="2">
        <x:v>52</x:v>
      </x:c>
      <x:c r="C850" t="str" s="2">
        <x:v/>
      </x:c>
      <x:c r="D850" t="str" s="2">
        <x:f>=""</x:f>
      </x:c>
      <x:c r="E850" t="str" s="2">
        <x:v>Eugene Baisden Jr</x:v>
      </x:c>
      <x:c r="F850" t="str" s="2">
        <x:v>Website</x:v>
      </x:c>
      <x:c r="G850" t="str" s="2">
        <x:v>Heritage Housing of Albany</x:v>
      </x:c>
      <x:c r="H850" t="str" s="2">
        <x:v>Alexander Bryant</x:v>
      </x:c>
      <x:c r="I850" t="str" s="2">
        <x:v>Karol Romero</x:v>
      </x:c>
      <x:c r="J850" s="0"/>
      <x:c r="K850" t="n" s="2">
        <x:v>5</x:v>
      </x:c>
      <x:c r="L850" t="str" s="2">
        <x:v>1.1</x:v>
      </x:c>
      <x:c r="M850" t="str" s="2">
        <x:v>Tentative</x:v>
      </x:c>
      <x:c r="N850" t="str" s="2">
        <x:v>Prospect</x:v>
      </x:c>
      <x:c r="O850" s="0"/>
      <x:c r="P850" s="6">
        <x:v>46256</x:v>
      </x:c>
      <x:c r="Q850" s="6">
        <x:v>46261.56917202546</x:v>
      </x:c>
      <x:c r="R850" s="0"/>
      <x:c r="S850" s="0"/>
      <x:c r="T850" s="0"/>
      <x:c r="U850" s="0"/>
      <x:c r="V850" s="0"/>
      <x:c r="W850" s="0"/>
      <x:c r="X850" t="str" s="2">
        <x:v>+12298540193</x:v>
      </x:c>
      <x:c r="Y850" t="str" s="2">
        <x:v>Wdesheka@gmail.com</x:v>
      </x:c>
      <x:c r="Z850" s="0"/>
      <x:c r="AA850" s="0"/>
      <x:c r="AB850" s="6">
        <x:v>46256.63600721065</x:v>
      </x:c>
      <x:c r="AC850" t="n" s="2">
        <x:v>39312</x:v>
      </x:c>
      <x:c r="AD850" s="0"/>
      <x:c r="AE850" s="0"/>
      <x:c r="AF850" s="0"/>
      <x:c r="AG850" s="0"/>
      <x:c r="AH850" s="0"/>
      <x:c r="AI850" t="str" s="2">
        <x:v>540</x:v>
      </x:c>
      <x:c r="AJ850" s="0"/>
      <x:c r="AK850" s="0"/>
    </x:row>
    <x:row r="851">
      <x:c r="A851" t="str" s="2">
        <x:f>=HYPERLINK("https://rsms.futurehomex.com/lead/39313", "Tosha Abshire")</x:f>
      </x:c>
      <x:c r="B851" t="n" s="2">
        <x:v>52</x:v>
      </x:c>
      <x:c r="C851" t="str" s="2">
        <x:v>0/1</x:v>
      </x:c>
      <x:c r="D851" t="str" s="2">
        <x:f>=""</x:f>
      </x:c>
      <x:c r="E851" s="0"/>
      <x:c r="F851" t="str" s="2">
        <x:v>Landing_BPM</x:v>
      </x:c>
      <x:c r="G851" t="str" s="2">
        <x:v>Heritage Housing of Jennings</x:v>
      </x:c>
      <x:c r="H851" t="str" s="2">
        <x:v>Clint O'Neal</x:v>
      </x:c>
      <x:c r="I851" s="0"/>
      <x:c r="J851" t="str" s="2">
        <x:v>Clint O'Neal</x:v>
      </x:c>
      <x:c r="K851" t="n" s="2">
        <x:v>5</x:v>
      </x:c>
      <x:c r="L851" t="str" s="2">
        <x:v>1.1</x:v>
      </x:c>
      <x:c r="M851" t="str" s="2">
        <x:v>Tentative</x:v>
      </x:c>
      <x:c r="N851" t="str" s="2">
        <x:v>Deal Created</x:v>
      </x:c>
      <x:c r="O851" s="0"/>
      <x:c r="P851" s="6">
        <x:v>46256</x:v>
      </x:c>
      <x:c r="Q851" s="6">
        <x:v>46256.639027349534</x:v>
      </x:c>
      <x:c r="R851" s="0"/>
      <x:c r="S851" s="0"/>
      <x:c r="T851" s="0"/>
      <x:c r="U851" s="0"/>
      <x:c r="V851" s="0"/>
      <x:c r="W851" s="0"/>
      <x:c r="X851" t="str" s="2">
        <x:v>3373989444</x:v>
      </x:c>
      <x:c r="Y851" t="str" s="2">
        <x:v>toshalejeune31@gmail.com</x:v>
      </x:c>
      <x:c r="Z851" s="6">
        <x:v>46274.86838480324</x:v>
      </x:c>
      <x:c r="AA851" t="str" s="2">
        <x:v>Clint O'Neal</x:v>
      </x:c>
      <x:c r="AB851" s="6">
        <x:v>46256.63902785879</x:v>
      </x:c>
      <x:c r="AC851" t="n" s="2">
        <x:v>39313</x:v>
      </x:c>
      <x:c r="AD851" s="0"/>
      <x:c r="AE851" s="0"/>
      <x:c r="AF851" s="0"/>
      <x:c r="AG851" s="0"/>
      <x:c r="AH851" s="0"/>
      <x:c r="AI851" s="0"/>
      <x:c r="AJ851" s="0"/>
      <x:c r="AK851" s="0"/>
    </x:row>
    <x:row r="852">
      <x:c r="A852" t="str" s="2">
        <x:f>=HYPERLINK("https://rsms.futurehomex.com/lead/39314", "jose aguirre")</x:f>
      </x:c>
      <x:c r="B852" t="n" s="2">
        <x:v>52</x:v>
      </x:c>
      <x:c r="C852" t="str" s="2">
        <x:v>0/3</x:v>
      </x:c>
      <x:c r="D852" t="str" s="2">
        <x:f>=""</x:f>
      </x:c>
      <x:c r="E852" s="0"/>
      <x:c r="F852" t="str" s="2">
        <x:v>Landing_BPM</x:v>
      </x:c>
      <x:c r="G852" t="str" s="2">
        <x:v>Heritage Housing Marble Falls</x:v>
      </x:c>
      <x:c r="H852" t="str" s="2">
        <x:v>Stephen Sanders</x:v>
      </x:c>
      <x:c r="I852" s="0"/>
      <x:c r="J852" t="str" s="2">
        <x:v>Stephen Sanders</x:v>
      </x:c>
      <x:c r="K852" t="n" s="2">
        <x:v>5</x:v>
      </x:c>
      <x:c r="L852" t="str" s="2">
        <x:v>1.1</x:v>
      </x:c>
      <x:c r="M852" t="str" s="2">
        <x:v>Tentative</x:v>
      </x:c>
      <x:c r="N852" t="str" s="2">
        <x:v>Prospect</x:v>
      </x:c>
      <x:c r="O852" s="0"/>
      <x:c r="P852" s="6">
        <x:v>46256</x:v>
      </x:c>
      <x:c r="Q852" s="6">
        <x:v>46273.73807847222</x:v>
      </x:c>
      <x:c r="R852" s="0"/>
      <x:c r="S852" s="0"/>
      <x:c r="T852" s="0"/>
      <x:c r="U852" s="0"/>
      <x:c r="V852" s="0"/>
      <x:c r="W852" s="0"/>
      <x:c r="X852" t="str" s="2">
        <x:v>5126616714</x:v>
      </x:c>
      <x:c r="Y852" t="str" s="2">
        <x:v>joseaguirre0178@gmail.com</x:v>
      </x:c>
      <x:c r="Z852" s="6">
        <x:v>46273.73900497685</x:v>
      </x:c>
      <x:c r="AA852" t="str" s="2">
        <x:v>Stephen Sanders</x:v>
      </x:c>
      <x:c r="AB852" s="6">
        <x:v>46256.64391825232</x:v>
      </x:c>
      <x:c r="AC852" t="n" s="2">
        <x:v>39314</x:v>
      </x:c>
      <x:c r="AD852" s="0"/>
      <x:c r="AE852" s="0"/>
      <x:c r="AF852" s="0"/>
      <x:c r="AG852" s="0"/>
      <x:c r="AH852" s="0"/>
      <x:c r="AI852" s="0"/>
      <x:c r="AJ852" s="0"/>
      <x:c r="AK852" s="0"/>
    </x:row>
    <x:row r="853">
      <x:c r="A853" t="str" s="2">
        <x:f>=HYPERLINK("https://rsms.futurehomex.com/lead/39315", "Ellie Mondragón")</x:f>
      </x:c>
      <x:c r="B853" t="n" s="2">
        <x:v>52</x:v>
      </x:c>
      <x:c r="C853" t="str" s="2">
        <x:v>1/1</x:v>
      </x:c>
      <x:c r="D853" t="str" s="2">
        <x:f>=""</x:f>
      </x:c>
      <x:c r="E853" s="0"/>
      <x:c r="F853" t="str" s="2">
        <x:v>Meta Ads - Forms</x:v>
      </x:c>
      <x:c r="G853" t="str" s="2">
        <x:v>Legacy Housing Corp. DBA Americasa</x:v>
      </x:c>
      <x:c r="H853" t="str" s="2">
        <x:v>Jose Parada</x:v>
      </x:c>
      <x:c r="I853" t="str" s="2">
        <x:v>Karol Romero</x:v>
      </x:c>
      <x:c r="J853" s="0"/>
      <x:c r="K853" t="n" s="2">
        <x:v>5</x:v>
      </x:c>
      <x:c r="L853" t="str" s="2">
        <x:v>1.1</x:v>
      </x:c>
      <x:c r="M853" t="str" s="2">
        <x:v>Tentative</x:v>
      </x:c>
      <x:c r="N853" t="str" s="2">
        <x:v>Prospect</x:v>
      </x:c>
      <x:c r="O853" s="0"/>
      <x:c r="P853" s="6">
        <x:v>46256</x:v>
      </x:c>
      <x:c r="Q853" s="6">
        <x:v>46258.8950147338</x:v>
      </x:c>
      <x:c r="R853" s="0"/>
      <x:c r="S853" s="0"/>
      <x:c r="T853" s="0"/>
      <x:c r="U853" s="0"/>
      <x:c r="V853" s="0"/>
      <x:c r="W853" s="0"/>
      <x:c r="X853" t="str" s="2">
        <x:v>8636045067</x:v>
      </x:c>
      <x:c r="Y853" t="str" s="2">
        <x:v>brito.eliu18@yahoo.com</x:v>
      </x:c>
      <x:c r="Z853" s="6">
        <x:v>46258.691510034725</x:v>
      </x:c>
      <x:c r="AA853" t="str" s="2">
        <x:v>Victoria Sanchez</x:v>
      </x:c>
      <x:c r="AB853" s="6">
        <x:v>46256.64890914352</x:v>
      </x:c>
      <x:c r="AC853" t="n" s="2">
        <x:v>39315</x:v>
      </x:c>
      <x:c r="AD853" s="0"/>
      <x:c r="AE853" s="0"/>
      <x:c r="AF853" s="0"/>
      <x:c r="AG853" s="0"/>
      <x:c r="AH853" s="0"/>
      <x:c r="AI853" s="0"/>
      <x:c r="AJ853" s="0"/>
      <x:c r="AK853" s="0"/>
    </x:row>
    <x:row r="854">
      <x:c r="A854" t="str" s="2">
        <x:f>=HYPERLINK("https://rsms.futurehomex.com/lead/39316", "Demorris Brown")</x:f>
      </x:c>
      <x:c r="B854" t="n" s="2">
        <x:v>52</x:v>
      </x:c>
      <x:c r="C854" t="str" s="2">
        <x:v>1/1</x:v>
      </x:c>
      <x:c r="D854" t="str" s="2">
        <x:f>=""</x:f>
      </x:c>
      <x:c r="E854" s="0"/>
      <x:c r="F854" t="str" s="2">
        <x:v>Landing_BPM</x:v>
      </x:c>
      <x:c r="G854" t="str" s="2">
        <x:v>Heritage Housing of Augusta</x:v>
      </x:c>
      <x:c r="H854" t="str" s="2">
        <x:v>Alex Jones</x:v>
      </x:c>
      <x:c r="I854" t="str" s="2">
        <x:v>Karol Romero</x:v>
      </x:c>
      <x:c r="J854" s="0"/>
      <x:c r="K854" t="n" s="2">
        <x:v>5</x:v>
      </x:c>
      <x:c r="L854" t="str" s="2">
        <x:v>1.1</x:v>
      </x:c>
      <x:c r="M854" t="str" s="2">
        <x:v>Dead</x:v>
      </x:c>
      <x:c r="N854" t="str" s="2">
        <x:v>Prospect</x:v>
      </x:c>
      <x:c r="O854" s="0"/>
      <x:c r="P854" s="6">
        <x:v>46256</x:v>
      </x:c>
      <x:c r="Q854" s="6">
        <x:v>46256.654878009256</x:v>
      </x:c>
      <x:c r="R854" s="0"/>
      <x:c r="S854" s="0"/>
      <x:c r="T854" s="0"/>
      <x:c r="U854" s="0"/>
      <x:c r="V854" s="0"/>
      <x:c r="W854" s="0"/>
      <x:c r="X854" t="str" s="2">
        <x:v>4044292861</x:v>
      </x:c>
      <x:c r="Y854" t="str" s="2">
        <x:v>Browndemorris@yahoo.com</x:v>
      </x:c>
      <x:c r="Z854" s="6">
        <x:v>46266.59927881944</x:v>
      </x:c>
      <x:c r="AA854" t="str" s="2">
        <x:v>Alex Jones</x:v>
      </x:c>
      <x:c r="AB854" s="6">
        <x:v>46256.65473576389</x:v>
      </x:c>
      <x:c r="AC854" t="n" s="2">
        <x:v>39316</x:v>
      </x:c>
      <x:c r="AD854" s="0"/>
      <x:c r="AE854" s="0"/>
      <x:c r="AF854" s="0"/>
      <x:c r="AG854" s="0"/>
      <x:c r="AH854" s="0"/>
      <x:c r="AI854" s="0"/>
      <x:c r="AJ854" s="0"/>
      <x:c r="AK854" s="0"/>
    </x:row>
    <x:row r="855">
      <x:c r="A855" t="str" s="2">
        <x:f>=HYPERLINK("https://rsms.futurehomex.com/lead/39317", "Terry Francis")</x:f>
      </x:c>
      <x:c r="B855" t="n" s="2">
        <x:v>52</x:v>
      </x:c>
      <x:c r="C855" t="str" s="2">
        <x:v/>
      </x:c>
      <x:c r="D855" t="str" s="2">
        <x:f>=""</x:f>
      </x:c>
      <x:c r="E855" s="0"/>
      <x:c r="F855" t="str" s="2">
        <x:v>Walk-in</x:v>
      </x:c>
      <x:c r="G855" t="str" s="2">
        <x:v>Heritage Housing Mt Pleasant</x:v>
      </x:c>
      <x:c r="H855" t="str" s="2">
        <x:v>Sandra Saldana</x:v>
      </x:c>
      <x:c r="I855" s="0"/>
      <x:c r="J855" t="str" s="2">
        <x:v>Sandra Saldana</x:v>
      </x:c>
      <x:c r="K855" t="n" s="2">
        <x:v>5</x:v>
      </x:c>
      <x:c r="L855" t="str" s="2">
        <x:v>1.1</x:v>
      </x:c>
      <x:c r="M855" t="str" s="2">
        <x:v>Tentative</x:v>
      </x:c>
      <x:c r="N855" t="str" s="2">
        <x:v>Deal Created</x:v>
      </x:c>
      <x:c r="O855" s="0"/>
      <x:c r="P855" s="6">
        <x:v>46256</x:v>
      </x:c>
      <x:c r="Q855" s="6">
        <x:v>46256.654903125</x:v>
      </x:c>
      <x:c r="R855" s="0"/>
      <x:c r="S855" s="0"/>
      <x:c r="T855" s="0"/>
      <x:c r="U855" s="0"/>
      <x:c r="V855" s="0"/>
      <x:c r="W855" s="0"/>
      <x:c r="X855" t="str" s="2">
        <x:v>9034243387</x:v>
      </x:c>
      <x:c r="Y855" t="str" s="2">
        <x:v>9034243387</x:v>
      </x:c>
      <x:c r="Z855" s="6">
        <x:v>46256.69755454861</x:v>
      </x:c>
      <x:c r="AA855" t="str" s="2">
        <x:v>Sandra Saldana</x:v>
      </x:c>
      <x:c r="AB855" s="6">
        <x:v>46256.65490439815</x:v>
      </x:c>
      <x:c r="AC855" t="n" s="2">
        <x:v>39317</x:v>
      </x:c>
      <x:c r="AD855" s="0"/>
      <x:c r="AE855" s="0"/>
      <x:c r="AF855" s="0"/>
      <x:c r="AG855" s="0"/>
      <x:c r="AH855" s="0"/>
      <x:c r="AI855" s="0"/>
      <x:c r="AJ855" s="0"/>
      <x:c r="AK855" s="0"/>
    </x:row>
    <x:row r="856">
      <x:c r="A856" t="str" s="2">
        <x:f>=HYPERLINK("https://rsms.futurehomex.com/lead/39318", "James Coughenour")</x:f>
      </x:c>
      <x:c r="B856" t="n" s="2">
        <x:v>52</x:v>
      </x:c>
      <x:c r="C856" t="str" s="2">
        <x:v/>
      </x:c>
      <x:c r="D856" t="str" s="2">
        <x:f>=""</x:f>
      </x:c>
      <x:c r="E856" s="0"/>
      <x:c r="F856" t="str" s="2">
        <x:v>Facebook Messenger</x:v>
      </x:c>
      <x:c r="G856" t="str" s="2">
        <x:v>Heritage Housing of Asheboro</x:v>
      </x:c>
      <x:c r="H856" t="str" s="2">
        <x:v>Maria Lopez</x:v>
      </x:c>
      <x:c r="I856" s="0"/>
      <x:c r="J856" s="0"/>
      <x:c r="K856" t="n" s="2">
        <x:v>21</x:v>
      </x:c>
      <x:c r="L856" t="str" s="2">
        <x:v>2.1</x:v>
      </x:c>
      <x:c r="M856" t="str" s="2">
        <x:v>Dead</x:v>
      </x:c>
      <x:c r="N856" t="str" s="2">
        <x:v>Qualified</x:v>
      </x:c>
      <x:c r="O856" s="0"/>
      <x:c r="P856" s="6">
        <x:v>46256</x:v>
      </x:c>
      <x:c r="Q856" s="6">
        <x:v>46256.80535084491</x:v>
      </x:c>
      <x:c r="R856" s="0"/>
      <x:c r="S856" s="6">
        <x:v>46256</x:v>
      </x:c>
      <x:c r="T856" s="0"/>
      <x:c r="U856" s="0"/>
      <x:c r="V856" s="0"/>
      <x:c r="W856" s="0"/>
      <x:c r="X856" t="str" s="2">
        <x:v>9106907121</x:v>
      </x:c>
      <x:c r="Y856" t="str" s="2">
        <x:v>coughenour1@gmail.com</x:v>
      </x:c>
      <x:c r="Z856" s="6">
        <x:v>46268.77483637731</x:v>
      </x:c>
      <x:c r="AA856" t="str" s="2">
        <x:v>Maria Lopez</x:v>
      </x:c>
      <x:c r="AB856" s="6">
        <x:v>46256.692547997685</x:v>
      </x:c>
      <x:c r="AC856" t="n" s="2">
        <x:v>39318</x:v>
      </x:c>
      <x:c r="AD856" s="0"/>
      <x:c r="AE856" s="0"/>
      <x:c r="AF856" s="0"/>
      <x:c r="AG856" s="0"/>
      <x:c r="AH856" s="0"/>
      <x:c r="AI856" s="0"/>
      <x:c r="AJ856" s="0"/>
      <x:c r="AK856" s="0"/>
    </x:row>
    <x:row r="857">
      <x:c r="A857" t="str" s="2">
        <x:f>=HYPERLINK("https://rsms.futurehomex.com/lead/39321", "Sandra Hernandez")</x:f>
      </x:c>
      <x:c r="B857" t="n" s="2">
        <x:v>52</x:v>
      </x:c>
      <x:c r="C857" t="str" s="2">
        <x:v>1/1</x:v>
      </x:c>
      <x:c r="D857" t="str" s="2">
        <x:f>=""</x:f>
      </x:c>
      <x:c r="E857" s="0"/>
      <x:c r="F857" t="str" s="2">
        <x:v>Facebook Messenger</x:v>
      </x:c>
      <x:c r="G857" t="str" s="2">
        <x:v>Heritage Housing of Oklahoma City</x:v>
      </x:c>
      <x:c r="H857" t="str" s="2">
        <x:v>Eva Misheva</x:v>
      </x:c>
      <x:c r="I857" s="0"/>
      <x:c r="J857" s="0"/>
      <x:c r="K857" t="n" s="2">
        <x:v>5</x:v>
      </x:c>
      <x:c r="L857" t="str" s="2">
        <x:v>1.1</x:v>
      </x:c>
      <x:c r="M857" t="str" s="2">
        <x:v>Tentative</x:v>
      </x:c>
      <x:c r="N857" t="str" s="2">
        <x:v>Prospect</x:v>
      </x:c>
      <x:c r="O857" s="0"/>
      <x:c r="P857" s="6">
        <x:v>46256</x:v>
      </x:c>
      <x:c r="Q857" s="6">
        <x:v>46256.729585497684</x:v>
      </x:c>
      <x:c r="R857" s="0"/>
      <x:c r="S857" s="6">
        <x:v>46256</x:v>
      </x:c>
      <x:c r="T857" s="0"/>
      <x:c r="U857" s="0"/>
      <x:c r="V857" s="0"/>
      <x:c r="W857" s="0"/>
      <x:c r="X857" t="str" s="2">
        <x:v>4055930294</x:v>
      </x:c>
      <x:c r="Y857" t="str" s="2">
        <x:v>sandrahernandezc@yahoo.com</x:v>
      </x:c>
      <x:c r="Z857" s="6">
        <x:v>46292.926521608795</x:v>
      </x:c>
      <x:c r="AA857" t="str" s="2">
        <x:v>Eva Misheva</x:v>
      </x:c>
      <x:c r="AB857" s="6">
        <x:v>46256.729587002315</x:v>
      </x:c>
      <x:c r="AC857" t="n" s="2">
        <x:v>39321</x:v>
      </x:c>
      <x:c r="AD857" s="0"/>
      <x:c r="AE857" s="0"/>
      <x:c r="AF857" s="0"/>
      <x:c r="AG857" s="0"/>
      <x:c r="AH857" s="0"/>
      <x:c r="AI857" s="0"/>
      <x:c r="AJ857" s="0"/>
      <x:c r="AK857" s="0"/>
    </x:row>
    <x:row r="858">
      <x:c r="A858" t="str" s="2">
        <x:f>=HYPERLINK("https://rsms.futurehomex.com/lead/39322", "Joshua Jones")</x:f>
      </x:c>
      <x:c r="B858" t="n" s="2">
        <x:v>52</x:v>
      </x:c>
      <x:c r="C858" t="str" s="2">
        <x:v/>
      </x:c>
      <x:c r="D858" t="str" s="2">
        <x:f>=""</x:f>
      </x:c>
      <x:c r="E858" s="0"/>
      <x:c r="F858" t="str" s="2">
        <x:v>Walk-in</x:v>
      </x:c>
      <x:c r="G858" t="str" s="2">
        <x:v>Heritage Housing of Athens</x:v>
      </x:c>
      <x:c r="H858" t="str" s="2">
        <x:v>Nathan Bishop</x:v>
      </x:c>
      <x:c r="I858" s="0"/>
      <x:c r="J858" t="str" s="2">
        <x:v>Nathan Bishop</x:v>
      </x:c>
      <x:c r="K858" t="n" s="2">
        <x:v>5</x:v>
      </x:c>
      <x:c r="L858" t="str" s="2">
        <x:v>1.1</x:v>
      </x:c>
      <x:c r="M858" t="str" s="2">
        <x:v>Tentative</x:v>
      </x:c>
      <x:c r="N858" t="str" s="2">
        <x:v>Deal Created</x:v>
      </x:c>
      <x:c r="O858" s="0"/>
      <x:c r="P858" s="6">
        <x:v>46256</x:v>
      </x:c>
      <x:c r="Q858" s="6">
        <x:v>46261.59187133102</x:v>
      </x:c>
      <x:c r="R858" s="0"/>
      <x:c r="S858" s="0"/>
      <x:c r="T858" s="0"/>
      <x:c r="U858" s="0"/>
      <x:c r="V858" s="0"/>
      <x:c r="W858" s="0"/>
      <x:c r="X858" t="str" s="2">
        <x:v>6787351629</x:v>
      </x:c>
      <x:c r="Y858" t="str" s="2">
        <x:v>Joshua14581@gmail.com</x:v>
      </x:c>
      <x:c r="Z858" s="6">
        <x:v>46256.74423923611</x:v>
      </x:c>
      <x:c r="AA858" t="str" s="2">
        <x:v>Timothy Postlethwait</x:v>
      </x:c>
      <x:c r="AB858" s="6">
        <x:v>46256.74191793981</x:v>
      </x:c>
      <x:c r="AC858" t="n" s="2">
        <x:v>39322</x:v>
      </x:c>
      <x:c r="AD858" s="0"/>
      <x:c r="AE858" s="0"/>
      <x:c r="AF858" s="0"/>
      <x:c r="AG858" s="0"/>
      <x:c r="AH858" s="0"/>
      <x:c r="AI858" s="0"/>
      <x:c r="AJ858" s="0"/>
      <x:c r="AK858" s="0"/>
    </x:row>
    <x:row r="859">
      <x:c r="A859" t="str" s="2">
        <x:f>=HYPERLINK("https://rsms.futurehomex.com/lead/39323", "Dorly Montes")</x:f>
      </x:c>
      <x:c r="B859" t="n" s="2">
        <x:v>52</x:v>
      </x:c>
      <x:c r="C859" t="str" s="2">
        <x:v>1/1</x:v>
      </x:c>
      <x:c r="D859" t="str" s="2">
        <x:f>=""</x:f>
      </x:c>
      <x:c r="E859" s="0"/>
      <x:c r="F859" t="str" s="2">
        <x:v>Facebook Messenger</x:v>
      </x:c>
      <x:c r="G859" t="str" s="2">
        <x:v>Legacy Housing Corp. DBA Americasa</x:v>
      </x:c>
      <x:c r="H859" t="str" s="2">
        <x:v>Jose Parada</x:v>
      </x:c>
      <x:c r="I859" t="str" s="2">
        <x:v>Karol Romero</x:v>
      </x:c>
      <x:c r="J859" t="str" s="2">
        <x:v>Rodrigo Ramirez</x:v>
      </x:c>
      <x:c r="K859" t="n" s="2">
        <x:v>5</x:v>
      </x:c>
      <x:c r="L859" t="str" s="2">
        <x:v>1.1</x:v>
      </x:c>
      <x:c r="M859" t="str" s="2">
        <x:v>Inactive</x:v>
      </x:c>
      <x:c r="N859" t="str" s="2">
        <x:v>Deal Created</x:v>
      </x:c>
      <x:c r="O859" s="0"/>
      <x:c r="P859" s="6">
        <x:v>46256</x:v>
      </x:c>
      <x:c r="Q859" s="6">
        <x:v>46256.816669293985</x:v>
      </x:c>
      <x:c r="R859" s="0"/>
      <x:c r="S859" s="6">
        <x:v>46256</x:v>
      </x:c>
      <x:c r="T859" s="0"/>
      <x:c r="U859" s="0"/>
      <x:c r="V859" s="0"/>
      <x:c r="W859" s="0"/>
      <x:c r="X859" t="str" s="2">
        <x:v>3463958417</x:v>
      </x:c>
      <x:c r="Y859" t="str" s="2">
        <x:v>3463958417</x:v>
      </x:c>
      <x:c r="Z859" s="6">
        <x:v>46256.81969803241</x:v>
      </x:c>
      <x:c r="AA859" t="str" s="2">
        <x:v>Rodrigo Ramirez</x:v>
      </x:c>
      <x:c r="AB859" s="6">
        <x:v>46256.75432086806</x:v>
      </x:c>
      <x:c r="AC859" t="n" s="2">
        <x:v>39323</x:v>
      </x:c>
      <x:c r="AD859" s="0"/>
      <x:c r="AE859" s="0"/>
      <x:c r="AF859" s="0"/>
      <x:c r="AG859" s="7">
        <x:v>4000</x:v>
      </x:c>
      <x:c r="AH859" s="0"/>
      <x:c r="AI859" s="0"/>
      <x:c r="AJ859" s="0"/>
      <x:c r="AK859" s="0"/>
    </x:row>
    <x:row r="860">
      <x:c r="A860" t="str" s="2">
        <x:f>=HYPERLINK("https://rsms.futurehomex.com/lead/39324", "Yeidilen Ochoa")</x:f>
      </x:c>
      <x:c r="B860" t="n" s="2">
        <x:v>52</x:v>
      </x:c>
      <x:c r="C860" t="str" s="2">
        <x:v>0/1</x:v>
      </x:c>
      <x:c r="D860" t="str" s="2">
        <x:f>=""</x:f>
      </x:c>
      <x:c r="E860" s="0"/>
      <x:c r="F860" t="str" s="2">
        <x:v>Facebook Messenger</x:v>
      </x:c>
      <x:c r="G860" t="str" s="2">
        <x:v>Heritage Housing of Oklahoma City</x:v>
      </x:c>
      <x:c r="H860" t="str" s="2">
        <x:v>Alejandra Calderon</x:v>
      </x:c>
      <x:c r="I860" s="0"/>
      <x:c r="J860" t="str" s="2">
        <x:v>Alejandra Calderon</x:v>
      </x:c>
      <x:c r="K860" t="n" s="2">
        <x:v>5</x:v>
      </x:c>
      <x:c r="L860" t="str" s="2">
        <x:v>1.1</x:v>
      </x:c>
      <x:c r="M860" t="str" s="2">
        <x:v>Dead</x:v>
      </x:c>
      <x:c r="N860" t="str" s="2">
        <x:v>Deal Created</x:v>
      </x:c>
      <x:c r="O860" s="0"/>
      <x:c r="P860" s="6">
        <x:v>46256</x:v>
      </x:c>
      <x:c r="Q860" s="6">
        <x:v>46256.765968368054</x:v>
      </x:c>
      <x:c r="R860" s="0"/>
      <x:c r="S860" s="6">
        <x:v>46256</x:v>
      </x:c>
      <x:c r="T860" s="0"/>
      <x:c r="U860" s="0"/>
      <x:c r="V860" s="0"/>
      <x:c r="W860" s="0"/>
      <x:c r="X860" t="str" s="2">
        <x:v>4422883898</x:v>
      </x:c>
      <x:c r="Y860" t="str" s="2">
        <x:v>yeidilen.ochoa@gmail.com</x:v>
      </x:c>
      <x:c r="Z860" s="6">
        <x:v>46274.6359403125</x:v>
      </x:c>
      <x:c r="AA860" t="str" s="2">
        <x:v>Alejandra Calderon</x:v>
      </x:c>
      <x:c r="AB860" s="6">
        <x:v>46256.760315590276</x:v>
      </x:c>
      <x:c r="AC860" t="n" s="2">
        <x:v>39324</x:v>
      </x:c>
      <x:c r="AD860" s="0"/>
      <x:c r="AE860" s="0"/>
      <x:c r="AF860" s="0"/>
      <x:c r="AG860" s="0"/>
      <x:c r="AH860" s="0"/>
      <x:c r="AI860" t="str" s="2">
        <x:v>509</x:v>
      </x:c>
      <x:c r="AJ860" s="0"/>
      <x:c r="AK860" s="0"/>
    </x:row>
    <x:row r="861">
      <x:c r="A861" t="str" s="2">
        <x:f>=HYPERLINK("https://rsms.futurehomex.com/lead/39325", "Donald Murphey")</x:f>
      </x:c>
      <x:c r="B861" t="n" s="2">
        <x:v>52</x:v>
      </x:c>
      <x:c r="C861" t="str" s="2">
        <x:v>1/1</x:v>
      </x:c>
      <x:c r="D861" t="str" s="2">
        <x:f>=""</x:f>
      </x:c>
      <x:c r="E861" s="0"/>
      <x:c r="F861" t="str" s="2">
        <x:v>Facebook Messenger</x:v>
      </x:c>
      <x:c r="G861" t="str" s="2">
        <x:v>Heritage Housing of Oklahoma City</x:v>
      </x:c>
      <x:c r="H861" t="str" s="2">
        <x:v>Eva Misheva</x:v>
      </x:c>
      <x:c r="I861" s="0"/>
      <x:c r="J861" s="0"/>
      <x:c r="K861" t="n" s="2">
        <x:v>5</x:v>
      </x:c>
      <x:c r="L861" t="str" s="2">
        <x:v>1.1</x:v>
      </x:c>
      <x:c r="M861" t="str" s="2">
        <x:v>Tentative</x:v>
      </x:c>
      <x:c r="N861" t="str" s="2">
        <x:v>Prospect</x:v>
      </x:c>
      <x:c r="O861" s="0"/>
      <x:c r="P861" s="6">
        <x:v>46256</x:v>
      </x:c>
      <x:c r="Q861" s="6">
        <x:v>46256.78457222222</x:v>
      </x:c>
      <x:c r="R861" s="0"/>
      <x:c r="S861" s="6">
        <x:v>46256</x:v>
      </x:c>
      <x:c r="T861" s="0"/>
      <x:c r="U861" s="0"/>
      <x:c r="V861" s="0"/>
      <x:c r="W861" s="0"/>
      <x:c r="X861" t="str" s="2">
        <x:v>4052038243</x:v>
      </x:c>
      <x:c r="Y861" t="str" s="2">
        <x:v>DONALDDD12@GMAIL.COM</x:v>
      </x:c>
      <x:c r="Z861" s="6">
        <x:v>46256.81471396991</x:v>
      </x:c>
      <x:c r="AA861" t="str" s="2">
        <x:v>Eva Misheva</x:v>
      </x:c>
      <x:c r="AB861" s="6">
        <x:v>46256.78457384259</x:v>
      </x:c>
      <x:c r="AC861" t="n" s="2">
        <x:v>39325</x:v>
      </x:c>
      <x:c r="AD861" s="0"/>
      <x:c r="AE861" s="0"/>
      <x:c r="AF861" s="0"/>
      <x:c r="AG861" s="0"/>
      <x:c r="AH861" s="0"/>
      <x:c r="AI861" s="0"/>
      <x:c r="AJ861" s="0"/>
      <x:c r="AK861" s="0"/>
    </x:row>
    <x:row r="862">
      <x:c r="A862" t="str" s="2">
        <x:f>=HYPERLINK("https://rsms.futurehomex.com/lead/39326", "Dillon Couvillion")</x:f>
      </x:c>
      <x:c r="B862" t="n" s="2">
        <x:v>52</x:v>
      </x:c>
      <x:c r="C862" t="str" s="2">
        <x:v>1/3</x:v>
      </x:c>
      <x:c r="D862" t="str" s="2">
        <x:f>=""</x:f>
      </x:c>
      <x:c r="E862" s="0"/>
      <x:c r="F862" t="str" s="2">
        <x:v>Walk-in</x:v>
      </x:c>
      <x:c r="G862" t="str" s="2">
        <x:v>Heritage Housing of Jennings</x:v>
      </x:c>
      <x:c r="H862" t="str" s="2">
        <x:v>Clint O'Neal</x:v>
      </x:c>
      <x:c r="I862" s="0"/>
      <x:c r="J862" s="0"/>
      <x:c r="K862" t="n" s="2">
        <x:v>5</x:v>
      </x:c>
      <x:c r="L862" t="str" s="2">
        <x:v>1.1</x:v>
      </x:c>
      <x:c r="M862" t="str" s="2">
        <x:v>Inactive</x:v>
      </x:c>
      <x:c r="N862" t="str" s="2">
        <x:v>Prospect</x:v>
      </x:c>
      <x:c r="O862" s="0"/>
      <x:c r="P862" s="6">
        <x:v>46256</x:v>
      </x:c>
      <x:c r="Q862" s="6">
        <x:v>46258.723090590276</x:v>
      </x:c>
      <x:c r="R862" s="0"/>
      <x:c r="S862" s="6">
        <x:v>46256</x:v>
      </x:c>
      <x:c r="T862" s="0"/>
      <x:c r="U862" s="0"/>
      <x:c r="V862" s="0"/>
      <x:c r="W862" s="0"/>
      <x:c r="X862" t="str" s="2">
        <x:v>3374589771</x:v>
      </x:c>
      <x:c r="Y862" t="str" s="2">
        <x:v>dillon.couvillion26@icloud.com</x:v>
      </x:c>
      <x:c r="Z862" s="6">
        <x:v>46266.57314961805</x:v>
      </x:c>
      <x:c r="AA862" t="str" s="2">
        <x:v>Clint O'Neal</x:v>
      </x:c>
      <x:c r="AB862" s="6">
        <x:v>46256.795424965276</x:v>
      </x:c>
      <x:c r="AC862" t="n" s="2">
        <x:v>39326</x:v>
      </x:c>
      <x:c r="AD862" s="0"/>
      <x:c r="AE862" s="0"/>
      <x:c r="AF862" s="0"/>
      <x:c r="AG862" s="0"/>
      <x:c r="AH862" s="0"/>
      <x:c r="AI862" t="str" s="2">
        <x:v>491</x:v>
      </x:c>
      <x:c r="AJ862" s="0"/>
      <x:c r="AK862" s="0"/>
    </x:row>
    <x:row r="863">
      <x:c r="A863" t="str" s="2">
        <x:f>=HYPERLINK("https://rsms.futurehomex.com/lead/39327", "TRAVION CARSWELL")</x:f>
      </x:c>
      <x:c r="B863" t="n" s="2">
        <x:v>52</x:v>
      </x:c>
      <x:c r="C863" t="str" s="2">
        <x:v/>
      </x:c>
      <x:c r="D863" t="str" s="2">
        <x:f>=""</x:f>
      </x:c>
      <x:c r="E863" s="0"/>
      <x:c r="F863" t="str" s="2">
        <x:v>Website</x:v>
      </x:c>
      <x:c r="G863" t="str" s="2">
        <x:v>Heritage Housing of Augusta</x:v>
      </x:c>
      <x:c r="H863" t="str" s="2">
        <x:v>Jennifer Johnson</x:v>
      </x:c>
      <x:c r="I863" t="str" s="2">
        <x:v>Karol Romero</x:v>
      </x:c>
      <x:c r="J863" t="str" s="2">
        <x:v>Jennifer Johnson</x:v>
      </x:c>
      <x:c r="K863" t="n" s="2">
        <x:v>38</x:v>
      </x:c>
      <x:c r="L863" t="str" s="2">
        <x:v>3.2</x:v>
      </x:c>
      <x:c r="M863" t="str" s="2">
        <x:v>Active</x:v>
      </x:c>
      <x:c r="N863" t="str" s="2">
        <x:v>Application</x:v>
      </x:c>
      <x:c r="O863" s="0"/>
      <x:c r="P863" s="6">
        <x:v>46256</x:v>
      </x:c>
      <x:c r="Q863" s="6">
        <x:v>46277.76922476852</x:v>
      </x:c>
      <x:c r="R863" t="str" s="2">
        <x:v>Faye Lively</x:v>
      </x:c>
      <x:c r="S863" s="0"/>
      <x:c r="T863" s="6">
        <x:v>46259</x:v>
      </x:c>
      <x:c r="U863" s="6">
        <x:v>46260</x:v>
      </x:c>
      <x:c r="V863" s="0"/>
      <x:c r="W863" s="0"/>
      <x:c r="X863" t="str" s="2">
        <x:v>4782473914</x:v>
      </x:c>
      <x:c r="Y863" t="str" s="2">
        <x:v>CARSWELLT555@GMAIL.COM</x:v>
      </x:c>
      <x:c r="Z863" s="6">
        <x:v>46277.770367094905</x:v>
      </x:c>
      <x:c r="AA863" t="str" s="2">
        <x:v>Faye Lively</x:v>
      </x:c>
      <x:c r="AB863" s="6">
        <x:v>46256.81892002315</x:v>
      </x:c>
      <x:c r="AC863" t="n" s="2">
        <x:v>39327</x:v>
      </x:c>
      <x:c r="AD863" t="str" s="2">
        <x:v>Doublewide</x:v>
      </x:c>
      <x:c r="AE863" s="0"/>
      <x:c r="AF863" s="0"/>
      <x:c r="AG863" s="7">
        <x:v>5000</x:v>
      </x:c>
      <x:c r="AH863" s="0"/>
      <x:c r="AI863" t="str" s="2">
        <x:v>634</x:v>
      </x:c>
      <x:c r="AJ863" s="0"/>
      <x:c r="AK863" s="0"/>
    </x:row>
    <x:row r="864">
      <x:c r="A864" t="str" s="2">
        <x:f>=HYPERLINK("https://rsms.futurehomex.com/lead/39328", "Oscar Espinoza")</x:f>
      </x:c>
      <x:c r="B864" t="n" s="2">
        <x:v>52</x:v>
      </x:c>
      <x:c r="C864" t="str" s="2">
        <x:v>1/1</x:v>
      </x:c>
      <x:c r="D864" t="str" s="2">
        <x:f>=""</x:f>
      </x:c>
      <x:c r="E864" t="str" s="2">
        <x:v>Ana Garzon</x:v>
      </x:c>
      <x:c r="F864" t="str" s="2">
        <x:v>Facebook Messenger</x:v>
      </x:c>
      <x:c r="G864" t="str" s="2">
        <x:v>Legacy Housing Corp. DBA Americasa</x:v>
      </x:c>
      <x:c r="H864" t="str" s="2">
        <x:v>Jose Parada</x:v>
      </x:c>
      <x:c r="I864" t="str" s="2">
        <x:v>Karol Romero</x:v>
      </x:c>
      <x:c r="J864" t="str" s="2">
        <x:v>Rodrigo Ramirez</x:v>
      </x:c>
      <x:c r="K864" t="n" s="2">
        <x:v>5</x:v>
      </x:c>
      <x:c r="L864" t="str" s="2">
        <x:v>1.1</x:v>
      </x:c>
      <x:c r="M864" t="str" s="2">
        <x:v>Inactive</x:v>
      </x:c>
      <x:c r="N864" t="str" s="2">
        <x:v>Deal Created</x:v>
      </x:c>
      <x:c r="O864" s="0"/>
      <x:c r="P864" s="6">
        <x:v>46256</x:v>
      </x:c>
      <x:c r="Q864" s="6">
        <x:v>46256.82583449074</x:v>
      </x:c>
      <x:c r="R864" s="0"/>
      <x:c r="S864" s="6">
        <x:v>46256</x:v>
      </x:c>
      <x:c r="T864" s="0"/>
      <x:c r="U864" s="0"/>
      <x:c r="V864" s="0"/>
      <x:c r="W864" s="0"/>
      <x:c r="X864" t="str" s="2">
        <x:v>2817636451</x:v>
      </x:c>
      <x:c r="Y864" t="str" s="2">
        <x:v>2817636451</x:v>
      </x:c>
      <x:c r="Z864" s="6">
        <x:v>46256.82706484954</x:v>
      </x:c>
      <x:c r="AA864" t="str" s="2">
        <x:v>Rodrigo Ramirez</x:v>
      </x:c>
      <x:c r="AB864" s="6">
        <x:v>46256.82269059028</x:v>
      </x:c>
      <x:c r="AC864" t="n" s="2">
        <x:v>39328</x:v>
      </x:c>
      <x:c r="AD864" s="0"/>
      <x:c r="AE864" s="0"/>
      <x:c r="AF864" s="0"/>
      <x:c r="AG864" s="0"/>
      <x:c r="AH864" s="0"/>
      <x:c r="AI864" s="0"/>
      <x:c r="AJ864" s="0"/>
      <x:c r="AK864" s="0"/>
    </x:row>
    <x:row r="865">
      <x:c r="A865" t="str" s="2">
        <x:f>=HYPERLINK("https://rsms.futurehomex.com/lead/39329", "Elizabeth Hursey")</x:f>
      </x:c>
      <x:c r="B865" t="n" s="2">
        <x:v>52</x:v>
      </x:c>
      <x:c r="C865" t="str" s="2">
        <x:v/>
      </x:c>
      <x:c r="D865" t="str" s="2">
        <x:f>=""</x:f>
      </x:c>
      <x:c r="E865" s="0"/>
      <x:c r="F865" t="str" s="2">
        <x:v>Facebook Messenger</x:v>
      </x:c>
      <x:c r="G865" t="str" s="2">
        <x:v>Heritage Housing of Athens</x:v>
      </x:c>
      <x:c r="H865" t="str" s="2">
        <x:v>Nathan Bishop</x:v>
      </x:c>
      <x:c r="I865" s="0"/>
      <x:c r="J865" t="str" s="2">
        <x:v>Nathan Bishop</x:v>
      </x:c>
      <x:c r="K865" t="n" s="2">
        <x:v>5</x:v>
      </x:c>
      <x:c r="L865" t="str" s="2">
        <x:v>1.1</x:v>
      </x:c>
      <x:c r="M865" t="str" s="2">
        <x:v>Tentative</x:v>
      </x:c>
      <x:c r="N865" t="str" s="2">
        <x:v>Deal Created</x:v>
      </x:c>
      <x:c r="O865" s="0"/>
      <x:c r="P865" s="6">
        <x:v>46256</x:v>
      </x:c>
      <x:c r="Q865" s="6">
        <x:v>46256.82840690972</x:v>
      </x:c>
      <x:c r="R865" s="0"/>
      <x:c r="S865" s="0"/>
      <x:c r="T865" s="0"/>
      <x:c r="U865" s="0"/>
      <x:c r="V865" s="0"/>
      <x:c r="W865" s="0"/>
      <x:c r="X865" t="str" s="2">
        <x:v>7064241839</x:v>
      </x:c>
      <x:c r="Y865" t="str" s="2">
        <x:v>mamaliz196454@gmail.com</x:v>
      </x:c>
      <x:c r="Z865" s="0"/>
      <x:c r="AA865" s="0"/>
      <x:c r="AB865" s="6">
        <x:v>46256.828408217596</x:v>
      </x:c>
      <x:c r="AC865" t="n" s="2">
        <x:v>39329</x:v>
      </x:c>
      <x:c r="AD865" s="0"/>
      <x:c r="AE865" s="0"/>
      <x:c r="AF865" s="0"/>
      <x:c r="AG865" s="0"/>
      <x:c r="AH865" s="0"/>
      <x:c r="AI865" s="0"/>
      <x:c r="AJ865" s="0"/>
      <x:c r="AK865" s="0"/>
    </x:row>
    <x:row r="866">
      <x:c r="A866" t="str" s="2">
        <x:f>=HYPERLINK("https://rsms.futurehomex.com/lead/39330", "Jomarie Toro")</x:f>
      </x:c>
      <x:c r="B866" t="n" s="2">
        <x:v>52</x:v>
      </x:c>
      <x:c r="C866" t="str" s="2">
        <x:v>1/1</x:v>
      </x:c>
      <x:c r="D866" t="str" s="2">
        <x:f>=""</x:f>
      </x:c>
      <x:c r="E866" s="0"/>
      <x:c r="F866" t="str" s="2">
        <x:v>Walk-in</x:v>
      </x:c>
      <x:c r="G866" t="str" s="2">
        <x:v>Heritage Housing of Augusta</x:v>
      </x:c>
      <x:c r="H866" t="str" s="2">
        <x:v>Jennifer Johnson</x:v>
      </x:c>
      <x:c r="I866" s="0"/>
      <x:c r="J866" s="0"/>
      <x:c r="K866" t="n" s="2">
        <x:v>5</x:v>
      </x:c>
      <x:c r="L866" t="str" s="2">
        <x:v>1.1</x:v>
      </x:c>
      <x:c r="M866" t="str" s="2">
        <x:v>Inactive</x:v>
      </x:c>
      <x:c r="N866" t="str" s="2">
        <x:v>Prospect</x:v>
      </x:c>
      <x:c r="O866" s="0"/>
      <x:c r="P866" s="6">
        <x:v>46256</x:v>
      </x:c>
      <x:c r="Q866" s="6">
        <x:v>46256.83915702546</x:v>
      </x:c>
      <x:c r="R866" s="0"/>
      <x:c r="S866" s="0"/>
      <x:c r="T866" s="0"/>
      <x:c r="U866" s="0"/>
      <x:c r="V866" s="0"/>
      <x:c r="W866" s="0"/>
      <x:c r="X866" t="str" s="2">
        <x:v>9168705107</x:v>
      </x:c>
      <x:c r="Y866" t="str" s="2">
        <x:v>jomie79@yahoo.com</x:v>
      </x:c>
      <x:c r="Z866" s="6">
        <x:v>46266.60195362269</x:v>
      </x:c>
      <x:c r="AA866" t="str" s="2">
        <x:v>Alex Jones</x:v>
      </x:c>
      <x:c r="AB866" s="6">
        <x:v>46256.83713267361</x:v>
      </x:c>
      <x:c r="AC866" t="n" s="2">
        <x:v>39330</x:v>
      </x:c>
      <x:c r="AD866" s="0"/>
      <x:c r="AE866" s="0"/>
      <x:c r="AF866" s="0"/>
      <x:c r="AG866" s="0"/>
      <x:c r="AH866" s="0"/>
      <x:c r="AI866" s="0"/>
      <x:c r="AJ866" s="0"/>
      <x:c r="AK866" s="0"/>
    </x:row>
    <x:row r="867">
      <x:c r="A867" t="str" s="2">
        <x:f>=HYPERLINK("https://rsms.futurehomex.com/lead/39331", "Mike &amp; Lisa Ryan")</x:f>
      </x:c>
      <x:c r="B867" t="n" s="2">
        <x:v>52</x:v>
      </x:c>
      <x:c r="C867" t="str" s="2">
        <x:v>1/4</x:v>
      </x:c>
      <x:c r="D867" t="str" s="2">
        <x:f>=""</x:f>
      </x:c>
      <x:c r="E867" s="0"/>
      <x:c r="F867" t="str" s="2">
        <x:v>Walk-in</x:v>
      </x:c>
      <x:c r="G867" t="str" s="2">
        <x:v>Heritage Housing of Oklahoma City</x:v>
      </x:c>
      <x:c r="H867" t="str" s="2">
        <x:v>Steve Castell</x:v>
      </x:c>
      <x:c r="I867" s="0"/>
      <x:c r="J867" t="str" s="2">
        <x:v>Steve Castell</x:v>
      </x:c>
      <x:c r="K867" t="n" s="2">
        <x:v>5</x:v>
      </x:c>
      <x:c r="L867" t="str" s="2">
        <x:v>1.1</x:v>
      </x:c>
      <x:c r="M867" t="str" s="2">
        <x:v>Tentative</x:v>
      </x:c>
      <x:c r="N867" t="str" s="2">
        <x:v>Deal Created</x:v>
      </x:c>
      <x:c r="O867" s="0"/>
      <x:c r="P867" s="6">
        <x:v>46256</x:v>
      </x:c>
      <x:c r="Q867" s="6">
        <x:v>46256.864061608794</x:v>
      </x:c>
      <x:c r="R867" s="0"/>
      <x:c r="S867" s="6">
        <x:v>46256</x:v>
      </x:c>
      <x:c r="T867" s="0"/>
      <x:c r="U867" s="0"/>
      <x:c r="V867" s="0"/>
      <x:c r="W867" s="0"/>
      <x:c r="X867" t="str" s="2">
        <x:v>5803521989</x:v>
      </x:c>
      <x:c r="Y867" t="str" s="2">
        <x:v>lisaryan05@yahoo.com</x:v>
      </x:c>
      <x:c r="Z867" s="6">
        <x:v>46294.959578622686</x:v>
      </x:c>
      <x:c r="AA867" t="str" s="2">
        <x:v>Steve Castell</x:v>
      </x:c>
      <x:c r="AB867" s="6">
        <x:v>46256.86406392361</x:v>
      </x:c>
      <x:c r="AC867" t="n" s="2">
        <x:v>39331</x:v>
      </x:c>
      <x:c r="AD867" s="0"/>
      <x:c r="AE867" s="0"/>
      <x:c r="AF867" s="0"/>
      <x:c r="AG867" s="0"/>
      <x:c r="AH867" s="0"/>
      <x:c r="AI867" s="0"/>
      <x:c r="AJ867" s="0"/>
      <x:c r="AK867" s="0"/>
    </x:row>
    <x:row r="868">
      <x:c r="A868" t="str" s="2">
        <x:f>=HYPERLINK("https://rsms.futurehomex.com/lead/39333", "Patricia Fabiola Hernandez Gonzalez")</x:f>
      </x:c>
      <x:c r="B868" t="n" s="2">
        <x:v>52</x:v>
      </x:c>
      <x:c r="C868" t="str" s="2">
        <x:v>1/1</x:v>
      </x:c>
      <x:c r="D868" t="str" s="2">
        <x:f>=""</x:f>
      </x:c>
      <x:c r="E868" s="0"/>
      <x:c r="F868" t="str" s="2">
        <x:v>LeadTracker</x:v>
      </x:c>
      <x:c r="G868" t="str" s="2">
        <x:v>Legacy Housing Corp. DBA Americasa</x:v>
      </x:c>
      <x:c r="H868" t="str" s="2">
        <x:v>Jose Parada</x:v>
      </x:c>
      <x:c r="I868" t="str" s="2">
        <x:v>Karol Romero</x:v>
      </x:c>
      <x:c r="J868" s="0"/>
      <x:c r="K868" t="n" s="2">
        <x:v>5</x:v>
      </x:c>
      <x:c r="L868" t="str" s="2">
        <x:v>1.1</x:v>
      </x:c>
      <x:c r="M868" t="str" s="2">
        <x:v>Tentative</x:v>
      </x:c>
      <x:c r="N868" t="str" s="2">
        <x:v>Prospect</x:v>
      </x:c>
      <x:c r="O868" s="0"/>
      <x:c r="P868" s="6">
        <x:v>46256</x:v>
      </x:c>
      <x:c r="Q868" s="6">
        <x:v>46256.902773263886</x:v>
      </x:c>
      <x:c r="R868" s="0"/>
      <x:c r="S868" s="6">
        <x:v>46257</x:v>
      </x:c>
      <x:c r="T868" s="0"/>
      <x:c r="U868" s="0"/>
      <x:c r="V868" s="0"/>
      <x:c r="W868" s="0"/>
      <x:c r="X868" t="str" s="2">
        <x:v>8327185705</x:v>
      </x:c>
      <x:c r="Y868" t="str" s="2">
        <x:v>patyhdzm1117@gmail.com</x:v>
      </x:c>
      <x:c r="Z868" s="6">
        <x:v>46258.01099579861</x:v>
      </x:c>
      <x:c r="AA868" t="str" s="2">
        <x:v>Rodrigo Ramirez</x:v>
      </x:c>
      <x:c r="AB868" s="6">
        <x:v>46256.90277627315</x:v>
      </x:c>
      <x:c r="AC868" t="n" s="2">
        <x:v>39333</x:v>
      </x:c>
      <x:c r="AD868" s="0"/>
      <x:c r="AE868" s="0"/>
      <x:c r="AF868" s="0"/>
      <x:c r="AG868" s="0"/>
      <x:c r="AH868" s="0"/>
      <x:c r="AI868" s="0"/>
      <x:c r="AJ868" s="0"/>
      <x:c r="AK868" s="0"/>
    </x:row>
    <x:row r="869">
      <x:c r="A869" t="str" s="2">
        <x:f>=HYPERLINK("https://rsms.futurehomex.com/lead/39334", "Ty Cunnigham")</x:f>
      </x:c>
      <x:c r="B869" t="n" s="2">
        <x:v>52</x:v>
      </x:c>
      <x:c r="C869" t="str" s="2">
        <x:v>0/1</x:v>
      </x:c>
      <x:c r="D869" t="str" s="2">
        <x:f>=""</x:f>
      </x:c>
      <x:c r="E869" s="0"/>
      <x:c r="F869" t="str" s="2">
        <x:v>Walk-in</x:v>
      </x:c>
      <x:c r="G869" t="str" s="2">
        <x:v>Heritage Housing of Minden</x:v>
      </x:c>
      <x:c r="H869" t="str" s="2">
        <x:v>Patrick Schuchart</x:v>
      </x:c>
      <x:c r="I869" t="str" s="2">
        <x:v>Karol Romero</x:v>
      </x:c>
      <x:c r="J869" t="str" s="2">
        <x:v>Patrick Schuchart</x:v>
      </x:c>
      <x:c r="K869" t="n" s="2">
        <x:v>5</x:v>
      </x:c>
      <x:c r="L869" t="str" s="2">
        <x:v>1.1</x:v>
      </x:c>
      <x:c r="M869" t="str" s="2">
        <x:v>Tentative</x:v>
      </x:c>
      <x:c r="N869" t="str" s="2">
        <x:v>Deal Created</x:v>
      </x:c>
      <x:c r="O869" s="0"/>
      <x:c r="P869" s="6">
        <x:v>46256</x:v>
      </x:c>
      <x:c r="Q869" s="6">
        <x:v>46266.88701288195</x:v>
      </x:c>
      <x:c r="R869" t="str" s="2">
        <x:v>Patrick Schuchart</x:v>
      </x:c>
      <x:c r="S869" s="0"/>
      <x:c r="T869" s="0"/>
      <x:c r="U869" s="0"/>
      <x:c r="V869" s="0"/>
      <x:c r="W869" s="0"/>
      <x:c r="X869" t="str" s="2">
        <x:v>3185486284</x:v>
      </x:c>
      <x:c r="Y869" t="str" s="2">
        <x:v>3185486284</x:v>
      </x:c>
      <x:c r="Z869" s="6">
        <x:v>46295.8992653125</x:v>
      </x:c>
      <x:c r="AA869" t="str" s="2">
        <x:v>Kyla Brown</x:v>
      </x:c>
      <x:c r="AB869" s="6">
        <x:v>46256.92741246528</x:v>
      </x:c>
      <x:c r="AC869" t="n" s="2">
        <x:v>39334</x:v>
      </x:c>
      <x:c r="AD869" s="0"/>
      <x:c r="AE869" s="0"/>
      <x:c r="AF869" s="0"/>
      <x:c r="AG869" s="0"/>
      <x:c r="AH869" s="0"/>
      <x:c r="AI869" s="0"/>
      <x:c r="AJ869" s="0"/>
      <x:c r="AK869" s="0"/>
    </x:row>
    <x:row r="870">
      <x:c r="A870" t="str" s="2">
        <x:f>=HYPERLINK("https://rsms.futurehomex.com/lead/39335", "DIONNE MANNING")</x:f>
      </x:c>
      <x:c r="B870" t="n" s="2">
        <x:v>51</x:v>
      </x:c>
      <x:c r="C870" t="str" s="2">
        <x:v>1/1</x:v>
      </x:c>
      <x:c r="D870" t="str" s="2">
        <x:f>=""</x:f>
      </x:c>
      <x:c r="E870" s="0"/>
      <x:c r="F870" t="str" s="2">
        <x:v>Facebook Messenger</x:v>
      </x:c>
      <x:c r="G870" t="str" s="2">
        <x:v>Heritage Housing of Oklahoma City</x:v>
      </x:c>
      <x:c r="H870" t="str" s="2">
        <x:v>Steve Castell</x:v>
      </x:c>
      <x:c r="I870" s="0"/>
      <x:c r="J870" s="0"/>
      <x:c r="K870" t="n" s="2">
        <x:v>5</x:v>
      </x:c>
      <x:c r="L870" t="str" s="2">
        <x:v>1.1</x:v>
      </x:c>
      <x:c r="M870" t="str" s="2">
        <x:v>Tentative</x:v>
      </x:c>
      <x:c r="N870" t="str" s="2">
        <x:v>Prospect</x:v>
      </x:c>
      <x:c r="O870" s="0"/>
      <x:c r="P870" s="6">
        <x:v>46257</x:v>
      </x:c>
      <x:c r="Q870" s="6">
        <x:v>46257.82061739583</x:v>
      </x:c>
      <x:c r="R870" t="str" s="2">
        <x:v>Eva Misheva</x:v>
      </x:c>
      <x:c r="S870" s="6">
        <x:v>46257</x:v>
      </x:c>
      <x:c r="T870" s="0"/>
      <x:c r="U870" s="0"/>
      <x:c r="V870" s="0"/>
      <x:c r="W870" s="0"/>
      <x:c r="X870" t="str" s="2">
        <x:v>4059264658</x:v>
      </x:c>
      <x:c r="Y870" t="str" s="2">
        <x:v>4059264658</x:v>
      </x:c>
      <x:c r="Z870" s="6">
        <x:v>46270.636431099534</x:v>
      </x:c>
      <x:c r="AA870" t="str" s="2">
        <x:v>Eva Misheva</x:v>
      </x:c>
      <x:c r="AB870" s="6">
        <x:v>46257.87389105324</x:v>
      </x:c>
      <x:c r="AC870" t="n" s="2">
        <x:v>39335</x:v>
      </x:c>
      <x:c r="AD870" s="0"/>
      <x:c r="AE870" s="0"/>
      <x:c r="AF870" s="0"/>
      <x:c r="AG870" s="0"/>
      <x:c r="AH870" s="0"/>
      <x:c r="AI870" s="0"/>
      <x:c r="AJ870" s="0"/>
      <x:c r="AK870" s="0"/>
    </x:row>
    <x:row r="871">
      <x:c r="A871" t="str" s="2">
        <x:f>=HYPERLINK("https://rsms.futurehomex.com/lead/39336", "BAILEY FULTON")</x:f>
      </x:c>
      <x:c r="B871" t="n" s="2">
        <x:v>51</x:v>
      </x:c>
      <x:c r="C871" t="str" s="2">
        <x:v>1/1</x:v>
      </x:c>
      <x:c r="D871" t="str" s="2">
        <x:f>=""</x:f>
      </x:c>
      <x:c r="E871" s="0"/>
      <x:c r="F871" t="str" s="2">
        <x:v>Facebook Messenger</x:v>
      </x:c>
      <x:c r="G871" t="str" s="2">
        <x:v>Heritage Housing of Oklahoma City</x:v>
      </x:c>
      <x:c r="H871" t="str" s="2">
        <x:v>Eva Misheva</x:v>
      </x:c>
      <x:c r="I871" s="0"/>
      <x:c r="J871" s="0"/>
      <x:c r="K871" t="n" s="2">
        <x:v>5</x:v>
      </x:c>
      <x:c r="L871" t="str" s="2">
        <x:v>1.1</x:v>
      </x:c>
      <x:c r="M871" t="str" s="2">
        <x:v>Tentative</x:v>
      </x:c>
      <x:c r="N871" t="str" s="2">
        <x:v>Prospect</x:v>
      </x:c>
      <x:c r="O871" s="0"/>
      <x:c r="P871" s="6">
        <x:v>46257</x:v>
      </x:c>
      <x:c r="Q871" s="6">
        <x:v>46257.86285193287</x:v>
      </x:c>
      <x:c r="R871" s="0"/>
      <x:c r="S871" s="6">
        <x:v>46257</x:v>
      </x:c>
      <x:c r="T871" s="0"/>
      <x:c r="U871" s="0"/>
      <x:c r="V871" s="0"/>
      <x:c r="W871" s="0"/>
      <x:c r="X871" t="str" s="2">
        <x:v>9182571365</x:v>
      </x:c>
      <x:c r="Y871" t="str" s="2">
        <x:v>BAILEYFULTON22@GMAIL.COM</x:v>
      </x:c>
      <x:c r="Z871" s="6">
        <x:v>46285.884560844905</x:v>
      </x:c>
      <x:c r="AA871" t="str" s="2">
        <x:v>Eva Misheva</x:v>
      </x:c>
      <x:c r="AB871" s="6">
        <x:v>46257.86285327547</x:v>
      </x:c>
      <x:c r="AC871" t="n" s="2">
        <x:v>39336</x:v>
      </x:c>
      <x:c r="AD871" s="0"/>
      <x:c r="AE871" s="0"/>
      <x:c r="AF871" s="0"/>
      <x:c r="AG871" s="0"/>
      <x:c r="AH871" s="0"/>
      <x:c r="AI871" s="0"/>
      <x:c r="AJ871" s="0"/>
      <x:c r="AK871" s="0"/>
    </x:row>
    <x:row r="872">
      <x:c r="A872" t="str" s="2">
        <x:f>=HYPERLINK("https://rsms.futurehomex.com/lead/39339", "Britni Alatorre-Garcia")</x:f>
      </x:c>
      <x:c r="B872" t="n" s="2">
        <x:v>51</x:v>
      </x:c>
      <x:c r="C872" t="str" s="2">
        <x:v/>
      </x:c>
      <x:c r="D872" t="str" s="2">
        <x:f>=""</x:f>
      </x:c>
      <x:c r="E872" s="0"/>
      <x:c r="F872" t="str" s="2">
        <x:v>Landing_BPM</x:v>
      </x:c>
      <x:c r="G872" t="str" s="2">
        <x:v>Heritage Housing Mt Pleasant</x:v>
      </x:c>
      <x:c r="H872" t="str" s="2">
        <x:v>Elias Gallardo</x:v>
      </x:c>
      <x:c r="I872" s="0"/>
      <x:c r="J872" s="0"/>
      <x:c r="K872" t="n" s="2">
        <x:v>38</x:v>
      </x:c>
      <x:c r="L872" t="str" s="2">
        <x:v>3.2</x:v>
      </x:c>
      <x:c r="M872" t="str" s="2">
        <x:v>Active</x:v>
      </x:c>
      <x:c r="N872" t="str" s="2">
        <x:v>Application</x:v>
      </x:c>
      <x:c r="O872" s="0"/>
      <x:c r="P872" s="6">
        <x:v>46257</x:v>
      </x:c>
      <x:c r="Q872" s="6">
        <x:v>46258.73818364583</x:v>
      </x:c>
      <x:c r="R872" s="0"/>
      <x:c r="S872" s="6">
        <x:v>46256</x:v>
      </x:c>
      <x:c r="T872" s="6">
        <x:v>46258</x:v>
      </x:c>
      <x:c r="U872" s="0"/>
      <x:c r="V872" s="0"/>
      <x:c r="W872" s="0"/>
      <x:c r="X872" t="str" s="2">
        <x:v>8179296066</x:v>
      </x:c>
      <x:c r="Y872" t="str" s="2">
        <x:v>bb@dfwgutterpro.com</x:v>
      </x:c>
      <x:c r="Z872" s="6">
        <x:v>46258.737833101855</x:v>
      </x:c>
      <x:c r="AA872" t="str" s="2">
        <x:v>Schell Liles</x:v>
      </x:c>
      <x:c r="AB872" s="6">
        <x:v>46257.91718784722</x:v>
      </x:c>
      <x:c r="AC872" t="n" s="2">
        <x:v>39339</x:v>
      </x:c>
      <x:c r="AD872" t="str" s="2">
        <x:v>Singlewide</x:v>
      </x:c>
      <x:c r="AE872" t="str" s="2">
        <x:v>Legacy Housing Corporation</x:v>
      </x:c>
      <x:c r="AF872" s="0"/>
      <x:c r="AG872" s="7">
        <x:v>25276.5</x:v>
      </x:c>
      <x:c r="AH872" s="0"/>
      <x:c r="AI872" s="0"/>
      <x:c r="AJ872" s="0"/>
      <x:c r="AK872" s="0"/>
    </x:row>
    <x:row r="873">
      <x:c r="A873" t="str" s="2">
        <x:f>=HYPERLINK("https://rsms.futurehomex.com/lead/39340", "Erika Silva")</x:f>
      </x:c>
      <x:c r="B873" t="n" s="2">
        <x:v>50</x:v>
      </x:c>
      <x:c r="C873" t="str" s="2">
        <x:v>2/5</x:v>
      </x:c>
      <x:c r="D873" t="str" s="2">
        <x:f>=""</x:f>
      </x:c>
      <x:c r="E873" s="0"/>
      <x:c r="F873" t="str" s="2">
        <x:v>Referrals</x:v>
      </x:c>
      <x:c r="G873" t="str" s="2">
        <x:v>Legacy Housing Corp. DBA Americasa</x:v>
      </x:c>
      <x:c r="H873" t="str" s="2">
        <x:v>Joey Marquez</x:v>
      </x:c>
      <x:c r="I873" t="str" s="2">
        <x:v>Karol Romero</x:v>
      </x:c>
      <x:c r="J873" s="0"/>
      <x:c r="K873" t="n" s="2">
        <x:v>5</x:v>
      </x:c>
      <x:c r="L873" t="str" s="2">
        <x:v>1.1</x:v>
      </x:c>
      <x:c r="M873" t="str" s="2">
        <x:v>Tentative</x:v>
      </x:c>
      <x:c r="N873" t="str" s="2">
        <x:v>Prospect</x:v>
      </x:c>
      <x:c r="O873" s="0"/>
      <x:c r="P873" s="6">
        <x:v>46258</x:v>
      </x:c>
      <x:c r="Q873" s="6">
        <x:v>46258.77791350694</x:v>
      </x:c>
      <x:c r="R873" s="0"/>
      <x:c r="S873" s="6">
        <x:v>46258</x:v>
      </x:c>
      <x:c r="T873" s="0"/>
      <x:c r="U873" s="0"/>
      <x:c r="V873" s="0"/>
      <x:c r="W873" s="0"/>
      <x:c r="X873" t="str" s="2">
        <x:v>3466048495</x:v>
      </x:c>
      <x:c r="Y873" t="str" s="2">
        <x:v>silvaerikitac@gmail.com</x:v>
      </x:c>
      <x:c r="Z873" s="6">
        <x:v>46297.634036076386</x:v>
      </x:c>
      <x:c r="AA873" t="str" s="2">
        <x:v>Joey Marquez</x:v>
      </x:c>
      <x:c r="AB873" s="6">
        <x:v>46258.01295917824</x:v>
      </x:c>
      <x:c r="AC873" t="n" s="2">
        <x:v>39340</x:v>
      </x:c>
      <x:c r="AD873" s="0"/>
      <x:c r="AE873" s="0"/>
      <x:c r="AF873" s="0"/>
      <x:c r="AG873" s="0"/>
      <x:c r="AH873" s="0"/>
      <x:c r="AI873" s="0"/>
      <x:c r="AJ873" s="0"/>
      <x:c r="AK873" s="0"/>
    </x:row>
    <x:row r="874">
      <x:c r="A874" t="str" s="2">
        <x:f>=HYPERLINK("https://rsms.futurehomex.com/lead/39341", "Maria Del Rosario Rubio")</x:f>
      </x:c>
      <x:c r="B874" t="n" s="2">
        <x:v>50</x:v>
      </x:c>
      <x:c r="C874" t="str" s="2">
        <x:v>0/4</x:v>
      </x:c>
      <x:c r="D874" t="str" s="2">
        <x:f>=""</x:f>
      </x:c>
      <x:c r="E874" s="0"/>
      <x:c r="F874" t="str" s="2">
        <x:v>Website</x:v>
      </x:c>
      <x:c r="G874" t="str" s="2">
        <x:v>Legacy Housing Corp. DBA Americasa</x:v>
      </x:c>
      <x:c r="H874" t="str" s="2">
        <x:v>Joey Marquez</x:v>
      </x:c>
      <x:c r="I874" t="str" s="2">
        <x:v>Karol Romero</x:v>
      </x:c>
      <x:c r="J874" s="0"/>
      <x:c r="K874" t="n" s="2">
        <x:v>5</x:v>
      </x:c>
      <x:c r="L874" t="str" s="2">
        <x:v>1.1</x:v>
      </x:c>
      <x:c r="M874" t="str" s="2">
        <x:v>Active</x:v>
      </x:c>
      <x:c r="N874" t="str" s="2">
        <x:v>Prospect</x:v>
      </x:c>
      <x:c r="O874" s="0"/>
      <x:c r="P874" s="6">
        <x:v>46258</x:v>
      </x:c>
      <x:c r="Q874" s="6">
        <x:v>46260.628741898145</x:v>
      </x:c>
      <x:c r="R874" s="0"/>
      <x:c r="S874" s="6">
        <x:v>46291</x:v>
      </x:c>
      <x:c r="T874" s="0"/>
      <x:c r="U874" s="0"/>
      <x:c r="V874" s="0"/>
      <x:c r="W874" s="0"/>
      <x:c r="X874" t="str" s="2">
        <x:v>8327442555</x:v>
      </x:c>
      <x:c r="Y874" t="str" s="2">
        <x:v>8327442555</x:v>
      </x:c>
      <x:c r="Z874" s="6">
        <x:v>46296.8995900463</x:v>
      </x:c>
      <x:c r="AA874" t="str" s="2">
        <x:v>Joey Marquez</x:v>
      </x:c>
      <x:c r="AB874" s="6">
        <x:v>46258.01502172454</x:v>
      </x:c>
      <x:c r="AC874" t="n" s="2">
        <x:v>39341</x:v>
      </x:c>
      <x:c r="AD874" s="0"/>
      <x:c r="AE874" s="0"/>
      <x:c r="AF874" s="0"/>
      <x:c r="AG874" s="0"/>
      <x:c r="AH874" s="0"/>
      <x:c r="AI874" s="0"/>
      <x:c r="AJ874" s="0"/>
      <x:c r="AK874" s="0"/>
    </x:row>
    <x:row r="875">
      <x:c r="A875" t="str" s="2">
        <x:f>=HYPERLINK("https://rsms.futurehomex.com/lead/39342", "Marcella Lanehart")</x:f>
      </x:c>
      <x:c r="B875" t="n" s="2">
        <x:v>50</x:v>
      </x:c>
      <x:c r="C875" t="str" s="2">
        <x:v>1/4</x:v>
      </x:c>
      <x:c r="D875" t="str" s="2">
        <x:f>=""</x:f>
      </x:c>
      <x:c r="E875" s="0"/>
      <x:c r="F875" t="str" s="2">
        <x:v>Landing_BPM</x:v>
      </x:c>
      <x:c r="G875" t="str" s="2">
        <x:v>Legacy Housing Corp. DBA Americasa</x:v>
      </x:c>
      <x:c r="H875" t="str" s="2">
        <x:v>Joey Marquez</x:v>
      </x:c>
      <x:c r="I875" t="str" s="2">
        <x:v>Karol Romero</x:v>
      </x:c>
      <x:c r="J875" s="0"/>
      <x:c r="K875" t="n" s="2">
        <x:v>5</x:v>
      </x:c>
      <x:c r="L875" t="str" s="2">
        <x:v>1.1</x:v>
      </x:c>
      <x:c r="M875" t="str" s="2">
        <x:v>Tentative</x:v>
      </x:c>
      <x:c r="N875" t="str" s="2">
        <x:v>Prospect</x:v>
      </x:c>
      <x:c r="O875" s="0"/>
      <x:c r="P875" s="6">
        <x:v>46258</x:v>
      </x:c>
      <x:c r="Q875" s="6">
        <x:v>46259.659145289355</x:v>
      </x:c>
      <x:c r="R875" s="0"/>
      <x:c r="S875" s="0"/>
      <x:c r="T875" s="0"/>
      <x:c r="U875" s="0"/>
      <x:c r="V875" s="0"/>
      <x:c r="W875" s="0"/>
      <x:c r="X875" t="str" s="2">
        <x:v>2815158746</x:v>
      </x:c>
      <x:c r="Y875" t="str" s="2">
        <x:v>ayallamarcy@gmail.com</x:v>
      </x:c>
      <x:c r="Z875" s="6">
        <x:v>46308.599047951386</x:v>
      </x:c>
      <x:c r="AA875" t="str" s="2">
        <x:v>Joey Marquez</x:v>
      </x:c>
      <x:c r="AB875" s="6">
        <x:v>46258.01609135417</x:v>
      </x:c>
      <x:c r="AC875" t="n" s="2">
        <x:v>39342</x:v>
      </x:c>
      <x:c r="AD875" s="0"/>
      <x:c r="AE875" s="0"/>
      <x:c r="AF875" s="0"/>
      <x:c r="AG875" s="0"/>
      <x:c r="AH875" s="0"/>
      <x:c r="AI875" s="0"/>
      <x:c r="AJ875" s="0"/>
      <x:c r="AK875" s="0"/>
    </x:row>
    <x:row r="876">
      <x:c r="A876" t="str" s="2">
        <x:f>=HYPERLINK("https://rsms.futurehomex.com/lead/39343", "Rodrigo Martinez")</x:f>
      </x:c>
      <x:c r="B876" t="n" s="2">
        <x:v>50</x:v>
      </x:c>
      <x:c r="C876" t="str" s="2">
        <x:v>0/3</x:v>
      </x:c>
      <x:c r="D876" t="str" s="2">
        <x:f>=""</x:f>
      </x:c>
      <x:c r="E876" s="0"/>
      <x:c r="F876" t="str" s="2">
        <x:v>Facebook Messenger</x:v>
      </x:c>
      <x:c r="G876" t="str" s="2">
        <x:v>Legacy Housing Corp. DBA Americasa</x:v>
      </x:c>
      <x:c r="H876" t="str" s="2">
        <x:v>Jose Parada</x:v>
      </x:c>
      <x:c r="I876" t="str" s="2">
        <x:v>Karol Romero</x:v>
      </x:c>
      <x:c r="J876" s="0"/>
      <x:c r="K876" t="n" s="2">
        <x:v>5</x:v>
      </x:c>
      <x:c r="L876" t="str" s="2">
        <x:v>1.1</x:v>
      </x:c>
      <x:c r="M876" t="str" s="2">
        <x:v>Tentative</x:v>
      </x:c>
      <x:c r="N876" t="str" s="2">
        <x:v>Prospect</x:v>
      </x:c>
      <x:c r="O876" s="0"/>
      <x:c r="P876" s="6">
        <x:v>46258</x:v>
      </x:c>
      <x:c r="Q876" s="6">
        <x:v>46258.01703649305</x:v>
      </x:c>
      <x:c r="R876" s="0"/>
      <x:c r="S876" s="0"/>
      <x:c r="T876" s="0"/>
      <x:c r="U876" s="0"/>
      <x:c r="V876" s="0"/>
      <x:c r="W876" s="0"/>
      <x:c r="X876" t="str" s="2">
        <x:v>4097972481</x:v>
      </x:c>
      <x:c r="Y876" t="str" s="2">
        <x:v>4097972481</x:v>
      </x:c>
      <x:c r="Z876" s="6">
        <x:v>46300.58081142361</x:v>
      </x:c>
      <x:c r="AA876" t="str" s="2">
        <x:v>Jose Parada</x:v>
      </x:c>
      <x:c r="AB876" s="6">
        <x:v>46258.0170375</x:v>
      </x:c>
      <x:c r="AC876" t="n" s="2">
        <x:v>39343</x:v>
      </x:c>
      <x:c r="AD876" s="0"/>
      <x:c r="AE876" s="0"/>
      <x:c r="AF876" s="0"/>
      <x:c r="AG876" s="0"/>
      <x:c r="AH876" s="0"/>
      <x:c r="AI876" s="0"/>
      <x:c r="AJ876" s="0"/>
      <x:c r="AK876" s="0"/>
    </x:row>
    <x:row r="877">
      <x:c r="A877" t="str" s="2">
        <x:f>=HYPERLINK("https://rsms.futurehomex.com/lead/39344", "Jose Hernandez")</x:f>
      </x:c>
      <x:c r="B877" t="n" s="2">
        <x:v>50</x:v>
      </x:c>
      <x:c r="C877" t="str" s="2">
        <x:v>0/2</x:v>
      </x:c>
      <x:c r="D877" t="str" s="2">
        <x:f>=""</x:f>
      </x:c>
      <x:c r="E877" s="0"/>
      <x:c r="F877" t="str" s="2">
        <x:v>Meta Ads - Forms</x:v>
      </x:c>
      <x:c r="G877" t="str" s="2">
        <x:v>Legacy Housing Corp. DBA Americasa</x:v>
      </x:c>
      <x:c r="H877" t="str" s="2">
        <x:v>Jose Parada</x:v>
      </x:c>
      <x:c r="I877" t="str" s="2">
        <x:v>Karol Romero</x:v>
      </x:c>
      <x:c r="J877" s="0"/>
      <x:c r="K877" t="n" s="2">
        <x:v>5</x:v>
      </x:c>
      <x:c r="L877" t="str" s="2">
        <x:v>1.1</x:v>
      </x:c>
      <x:c r="M877" t="str" s="2">
        <x:v>Tentative</x:v>
      </x:c>
      <x:c r="N877" t="str" s="2">
        <x:v>Prospect</x:v>
      </x:c>
      <x:c r="O877" s="0"/>
      <x:c r="P877" s="6">
        <x:v>46258</x:v>
      </x:c>
      <x:c r="Q877" s="6">
        <x:v>46276.78967704861</x:v>
      </x:c>
      <x:c r="R877" s="0"/>
      <x:c r="S877" s="0"/>
      <x:c r="T877" s="0"/>
      <x:c r="U877" s="0"/>
      <x:c r="V877" s="0"/>
      <x:c r="W877" s="0"/>
      <x:c r="X877" t="str" s="2">
        <x:v>8329752322</x:v>
      </x:c>
      <x:c r="Y877" t="str" s="2">
        <x:v>jehtpelon83@yahoo.com</x:v>
      </x:c>
      <x:c r="Z877" s="6">
        <x:v>46288.75967954861</x:v>
      </x:c>
      <x:c r="AA877" t="str" s="2">
        <x:v>Jose Parada</x:v>
      </x:c>
      <x:c r="AB877" s="6">
        <x:v>46258.017934027775</x:v>
      </x:c>
      <x:c r="AC877" t="n" s="2">
        <x:v>39344</x:v>
      </x:c>
      <x:c r="AD877" s="0"/>
      <x:c r="AE877" s="0"/>
      <x:c r="AF877" s="0"/>
      <x:c r="AG877" s="0"/>
      <x:c r="AH877" s="0"/>
      <x:c r="AI877" s="0"/>
      <x:c r="AJ877" s="0"/>
      <x:c r="AK877" s="0"/>
    </x:row>
    <x:row r="878">
      <x:c r="A878" t="str" s="2">
        <x:f>=HYPERLINK("https://rsms.futurehomex.com/lead/39345", "Alfredo Hechavarria Abreu")</x:f>
      </x:c>
      <x:c r="B878" t="n" s="2">
        <x:v>50</x:v>
      </x:c>
      <x:c r="C878" t="str" s="2">
        <x:v>0/2</x:v>
      </x:c>
      <x:c r="D878" t="str" s="2">
        <x:f>=""</x:f>
      </x:c>
      <x:c r="E878" s="0"/>
      <x:c r="F878" t="str" s="2">
        <x:v>Referrals</x:v>
      </x:c>
      <x:c r="G878" t="str" s="2">
        <x:v>Legacy Housing Corp. DBA Americasa</x:v>
      </x:c>
      <x:c r="H878" t="str" s="2">
        <x:v>Joey Marquez</x:v>
      </x:c>
      <x:c r="I878" t="str" s="2">
        <x:v>Karol Romero</x:v>
      </x:c>
      <x:c r="J878" s="0"/>
      <x:c r="K878" t="n" s="2">
        <x:v>5</x:v>
      </x:c>
      <x:c r="L878" t="str" s="2">
        <x:v>1.1</x:v>
      </x:c>
      <x:c r="M878" t="str" s="2">
        <x:v>Tentative</x:v>
      </x:c>
      <x:c r="N878" t="str" s="2">
        <x:v>Prospect</x:v>
      </x:c>
      <x:c r="O878" s="0"/>
      <x:c r="P878" s="6">
        <x:v>46258</x:v>
      </x:c>
      <x:c r="Q878" s="6">
        <x:v>46265.997086689815</x:v>
      </x:c>
      <x:c r="R878" s="0"/>
      <x:c r="S878" s="0"/>
      <x:c r="T878" s="0"/>
      <x:c r="U878" s="0"/>
      <x:c r="V878" s="0"/>
      <x:c r="W878" s="0"/>
      <x:c r="X878" t="str" s="2">
        <x:v>5163051506</x:v>
      </x:c>
      <x:c r="Y878" t="str" s="2">
        <x:v>Alfredohechavarriaabreu@gmail.com</x:v>
      </x:c>
      <x:c r="Z878" s="6">
        <x:v>46291.78030957176</x:v>
      </x:c>
      <x:c r="AA878" t="str" s="2">
        <x:v>Joey Marquez</x:v>
      </x:c>
      <x:c r="AB878" s="6">
        <x:v>46258.018859027776</x:v>
      </x:c>
      <x:c r="AC878" t="n" s="2">
        <x:v>39345</x:v>
      </x:c>
      <x:c r="AD878" s="0"/>
      <x:c r="AE878" s="0"/>
      <x:c r="AF878" s="0"/>
      <x:c r="AG878" s="0"/>
      <x:c r="AH878" s="0"/>
      <x:c r="AI878" s="0"/>
      <x:c r="AJ878" s="0"/>
      <x:c r="AK878" s="0"/>
    </x:row>
    <x:row r="879">
      <x:c r="A879" t="str" s="2">
        <x:f>=HYPERLINK("https://rsms.futurehomex.com/lead/39346", "Lorena Martinez")</x:f>
      </x:c>
      <x:c r="B879" t="n" s="2">
        <x:v>50</x:v>
      </x:c>
      <x:c r="C879" t="str" s="2">
        <x:v/>
      </x:c>
      <x:c r="D879" t="str" s="2">
        <x:f>=""</x:f>
      </x:c>
      <x:c r="E879" s="0"/>
      <x:c r="F879" t="str" s="2">
        <x:v>Meta Marketplace</x:v>
      </x:c>
      <x:c r="G879" t="str" s="2">
        <x:v>Heritage Housing Mt Pleasant</x:v>
      </x:c>
      <x:c r="H879" t="str" s="2">
        <x:v>Sandra Saldana</x:v>
      </x:c>
      <x:c r="I879" s="0"/>
      <x:c r="J879" t="str" s="2">
        <x:v>Sandra Saldana</x:v>
      </x:c>
      <x:c r="K879" t="n" s="2">
        <x:v>5</x:v>
      </x:c>
      <x:c r="L879" t="str" s="2">
        <x:v>1.1</x:v>
      </x:c>
      <x:c r="M879" t="str" s="2">
        <x:v>Tentative</x:v>
      </x:c>
      <x:c r="N879" t="str" s="2">
        <x:v>Deal Created</x:v>
      </x:c>
      <x:c r="O879" s="0"/>
      <x:c r="P879" s="6">
        <x:v>46258</x:v>
      </x:c>
      <x:c r="Q879" s="6">
        <x:v>46258.56166172454</x:v>
      </x:c>
      <x:c r="R879" s="0"/>
      <x:c r="S879" s="0"/>
      <x:c r="T879" s="0"/>
      <x:c r="U879" s="0"/>
      <x:c r="V879" s="0"/>
      <x:c r="W879" s="0"/>
      <x:c r="X879" t="str" s="2">
        <x:v>9032851249</x:v>
      </x:c>
      <x:c r="Y879" t="str" s="2">
        <x:v>9032851249</x:v>
      </x:c>
      <x:c r="Z879" s="6">
        <x:v>46259.550098761574</x:v>
      </x:c>
      <x:c r="AA879" t="str" s="2">
        <x:v>Sandra Saldana</x:v>
      </x:c>
      <x:c r="AB879" s="6">
        <x:v>46258.561665891204</x:v>
      </x:c>
      <x:c r="AC879" t="n" s="2">
        <x:v>39346</x:v>
      </x:c>
      <x:c r="AD879" s="0"/>
      <x:c r="AE879" s="0"/>
      <x:c r="AF879" s="0"/>
      <x:c r="AG879" s="0"/>
      <x:c r="AH879" s="0"/>
      <x:c r="AI879" s="0"/>
      <x:c r="AJ879" s="0"/>
      <x:c r="AK879" s="0"/>
    </x:row>
    <x:row r="880">
      <x:c r="A880" t="str" s="2">
        <x:f>=HYPERLINK("https://rsms.futurehomex.com/lead/39347", "Steve Collins")</x:f>
      </x:c>
      <x:c r="B880" t="n" s="2">
        <x:v>50</x:v>
      </x:c>
      <x:c r="C880" t="str" s="2">
        <x:v>1/1</x:v>
      </x:c>
      <x:c r="D880" t="str" s="2">
        <x:f>=""</x:f>
      </x:c>
      <x:c r="E880" s="0"/>
      <x:c r="F880" t="str" s="2">
        <x:v>Walk-in</x:v>
      </x:c>
      <x:c r="G880" t="str" s="2">
        <x:v>Heritage Housing of Oklahoma City</x:v>
      </x:c>
      <x:c r="H880" t="str" s="2">
        <x:v>Trey Rixleben</x:v>
      </x:c>
      <x:c r="I880" t="str" s="2">
        <x:v>Karol Romero</x:v>
      </x:c>
      <x:c r="J880" t="str" s="2">
        <x:v>Trey Rixleben</x:v>
      </x:c>
      <x:c r="K880" t="n" s="2">
        <x:v>5</x:v>
      </x:c>
      <x:c r="L880" t="str" s="2">
        <x:v>1.1</x:v>
      </x:c>
      <x:c r="M880" t="str" s="2">
        <x:v>Tentative</x:v>
      </x:c>
      <x:c r="N880" t="str" s="2">
        <x:v>Deal Created</x:v>
      </x:c>
      <x:c r="O880" s="0"/>
      <x:c r="P880" s="6">
        <x:v>46258</x:v>
      </x:c>
      <x:c r="Q880" s="6">
        <x:v>46286.9871190625</x:v>
      </x:c>
      <x:c r="R880" s="0"/>
      <x:c r="S880" s="0"/>
      <x:c r="T880" s="0"/>
      <x:c r="U880" s="0"/>
      <x:c r="V880" s="0"/>
      <x:c r="W880" s="0"/>
      <x:c r="X880" t="str" s="2">
        <x:v>5807360483</x:v>
      </x:c>
      <x:c r="Y880" t="str" s="2">
        <x:v>slcollins1973@gmail.com</x:v>
      </x:c>
      <x:c r="Z880" s="6">
        <x:v>46286.98841646991</x:v>
      </x:c>
      <x:c r="AA880" t="str" s="2">
        <x:v>Trey Rixleben</x:v>
      </x:c>
      <x:c r="AB880" s="6">
        <x:v>46258.60118449074</x:v>
      </x:c>
      <x:c r="AC880" t="n" s="2">
        <x:v>39347</x:v>
      </x:c>
      <x:c r="AD880" s="0"/>
      <x:c r="AE880" s="0"/>
      <x:c r="AF880" s="0"/>
      <x:c r="AG880" s="0"/>
      <x:c r="AH880" s="0"/>
      <x:c r="AI880" s="0"/>
      <x:c r="AJ880" s="0"/>
      <x:c r="AK880" s="0"/>
    </x:row>
    <x:row r="881">
      <x:c r="A881" t="str" s="2">
        <x:f>=HYPERLINK("https://rsms.futurehomex.com/lead/39349", "RW &amp; Sonya Coop")</x:f>
      </x:c>
      <x:c r="B881" t="n" s="2">
        <x:v>50</x:v>
      </x:c>
      <x:c r="C881" t="str" s="2">
        <x:v>1/6</x:v>
      </x:c>
      <x:c r="D881" t="str" s="2">
        <x:f>=""</x:f>
      </x:c>
      <x:c r="E881" s="0"/>
      <x:c r="F881" t="str" s="2">
        <x:v>Facebook Messenger</x:v>
      </x:c>
      <x:c r="G881" t="str" s="2">
        <x:v>Heritage Housing of Oklahoma City</x:v>
      </x:c>
      <x:c r="H881" t="str" s="2">
        <x:v>Steve Castell</x:v>
      </x:c>
      <x:c r="I881" s="0"/>
      <x:c r="J881" t="str" s="2">
        <x:v>Steve Castell</x:v>
      </x:c>
      <x:c r="K881" t="n" s="2">
        <x:v>5</x:v>
      </x:c>
      <x:c r="L881" t="str" s="2">
        <x:v>1.1</x:v>
      </x:c>
      <x:c r="M881" t="str" s="2">
        <x:v>Tentative</x:v>
      </x:c>
      <x:c r="N881" t="str" s="2">
        <x:v>Deal Created</x:v>
      </x:c>
      <x:c r="O881" s="0"/>
      <x:c r="P881" s="6">
        <x:v>46258</x:v>
      </x:c>
      <x:c r="Q881" s="6">
        <x:v>46258.68259552083</x:v>
      </x:c>
      <x:c r="R881" s="0"/>
      <x:c r="S881" s="6">
        <x:v>46258</x:v>
      </x:c>
      <x:c r="T881" s="0"/>
      <x:c r="U881" s="0"/>
      <x:c r="V881" s="0"/>
      <x:c r="W881" s="0"/>
      <x:c r="X881" t="str" s="2">
        <x:v>4055677765</x:v>
      </x:c>
      <x:c r="Y881" t="str" s="2">
        <x:v>cooprw5@gmail.com</x:v>
      </x:c>
      <x:c r="Z881" s="6">
        <x:v>46305.820113229165</x:v>
      </x:c>
      <x:c r="AA881" t="str" s="2">
        <x:v>Steve Castell</x:v>
      </x:c>
      <x:c r="AB881" s="6">
        <x:v>46258.680880520835</x:v>
      </x:c>
      <x:c r="AC881" t="n" s="2">
        <x:v>39349</x:v>
      </x:c>
      <x:c r="AD881" s="0"/>
      <x:c r="AE881" s="0"/>
      <x:c r="AF881" s="0"/>
      <x:c r="AG881" s="0"/>
      <x:c r="AH881" s="0"/>
      <x:c r="AI881" s="0"/>
      <x:c r="AJ881" s="0"/>
      <x:c r="AK881" s="0"/>
    </x:row>
    <x:row r="882">
      <x:c r="A882" t="str" s="2">
        <x:f>=HYPERLINK("https://rsms.futurehomex.com/lead/39350", "Angelic Burleyson")</x:f>
      </x:c>
      <x:c r="B882" t="n" s="2">
        <x:v>50</x:v>
      </x:c>
      <x:c r="C882" t="str" s="2">
        <x:v/>
      </x:c>
      <x:c r="D882" t="str" s="2">
        <x:f>=""</x:f>
      </x:c>
      <x:c r="E882" s="0"/>
      <x:c r="F882" t="str" s="2">
        <x:v>Facebook Messenger</x:v>
      </x:c>
      <x:c r="G882" t="str" s="2">
        <x:v>Heritage Housing of Athens</x:v>
      </x:c>
      <x:c r="H882" t="str" s="2">
        <x:v>Nathan Bishop</x:v>
      </x:c>
      <x:c r="I882" s="0"/>
      <x:c r="J882" t="str" s="2">
        <x:v>Nathan Bishop</x:v>
      </x:c>
      <x:c r="K882" t="n" s="2">
        <x:v>5</x:v>
      </x:c>
      <x:c r="L882" t="str" s="2">
        <x:v>1.1</x:v>
      </x:c>
      <x:c r="M882" t="str" s="2">
        <x:v>Tentative</x:v>
      </x:c>
      <x:c r="N882" t="str" s="2">
        <x:v>Deal Created</x:v>
      </x:c>
      <x:c r="O882" s="0"/>
      <x:c r="P882" s="6">
        <x:v>46258</x:v>
      </x:c>
      <x:c r="Q882" s="6">
        <x:v>46258.68128055555</x:v>
      </x:c>
      <x:c r="R882" s="0"/>
      <x:c r="S882" s="0"/>
      <x:c r="T882" s="0"/>
      <x:c r="U882" s="0"/>
      <x:c r="V882" s="0"/>
      <x:c r="W882" s="0"/>
      <x:c r="X882" t="str" s="2">
        <x:v>7065514782</x:v>
      </x:c>
      <x:c r="Y882" t="str" s="2">
        <x:v>angelicnicole1993@gmail.com</x:v>
      </x:c>
      <x:c r="Z882" s="6">
        <x:v>46258.684607372685</x:v>
      </x:c>
      <x:c r="AA882" t="str" s="2">
        <x:v>Nathan Bishop</x:v>
      </x:c>
      <x:c r="AB882" s="6">
        <x:v>46258.68128197917</x:v>
      </x:c>
      <x:c r="AC882" t="n" s="2">
        <x:v>39350</x:v>
      </x:c>
      <x:c r="AD882" s="0"/>
      <x:c r="AE882" s="0"/>
      <x:c r="AF882" s="0"/>
      <x:c r="AG882" s="0"/>
      <x:c r="AH882" s="0"/>
      <x:c r="AI882" s="0"/>
      <x:c r="AJ882" s="0"/>
      <x:c r="AK882" s="0"/>
    </x:row>
    <x:row r="883">
      <x:c r="A883" t="str" s="2">
        <x:f>=HYPERLINK("https://rsms.futurehomex.com/lead/39351", "FAITH BURGESS")</x:f>
      </x:c>
      <x:c r="B883" t="n" s="2">
        <x:v>50</x:v>
      </x:c>
      <x:c r="C883" t="str" s="2">
        <x:v/>
      </x:c>
      <x:c r="D883" t="str" s="2">
        <x:f>=""</x:f>
      </x:c>
      <x:c r="E883" s="0"/>
      <x:c r="F883" t="str" s="2">
        <x:v>Website</x:v>
      </x:c>
      <x:c r="G883" t="str" s="2">
        <x:v>Heritage Housing of Augusta</x:v>
      </x:c>
      <x:c r="H883" t="str" s="2">
        <x:v>Faye Lively</x:v>
      </x:c>
      <x:c r="I883" t="str" s="2">
        <x:v>Karol Romero</x:v>
      </x:c>
      <x:c r="J883" t="str" s="2">
        <x:v>Faye Lively</x:v>
      </x:c>
      <x:c r="K883" t="n" s="2">
        <x:v>5</x:v>
      </x:c>
      <x:c r="L883" t="str" s="2">
        <x:v>1.1</x:v>
      </x:c>
      <x:c r="M883" t="str" s="2">
        <x:v>Closed</x:v>
      </x:c>
      <x:c r="N883" t="str" s="2">
        <x:v>Deal Created</x:v>
      </x:c>
      <x:c r="O883" s="0"/>
      <x:c r="P883" s="6">
        <x:v>46258</x:v>
      </x:c>
      <x:c r="Q883" s="6">
        <x:v>46280.73624482639</x:v>
      </x:c>
      <x:c r="R883" s="0"/>
      <x:c r="S883" s="0"/>
      <x:c r="T883" s="0"/>
      <x:c r="U883" s="0"/>
      <x:c r="V883" s="0"/>
      <x:c r="W883" s="0"/>
      <x:c r="X883" t="str" s="2">
        <x:v>7067731416</x:v>
      </x:c>
      <x:c r="Y883" t="str" s="2">
        <x:v>faburgess2@gmail.com</x:v>
      </x:c>
      <x:c r="Z883" s="0"/>
      <x:c r="AA883" s="0"/>
      <x:c r="AB883" s="6">
        <x:v>46258.69348834491</x:v>
      </x:c>
      <x:c r="AC883" t="n" s="2">
        <x:v>39351</x:v>
      </x:c>
      <x:c r="AD883" s="0"/>
      <x:c r="AE883" s="0"/>
      <x:c r="AF883" s="0"/>
      <x:c r="AG883" s="0"/>
      <x:c r="AH883" s="0"/>
      <x:c r="AI883" s="0"/>
      <x:c r="AJ883" s="0"/>
      <x:c r="AK883" s="0"/>
    </x:row>
    <x:row r="884">
      <x:c r="A884" t="str" s="2">
        <x:f>=HYPERLINK("https://rsms.futurehomex.com/lead/39352", "Holly Huffaker")</x:f>
      </x:c>
      <x:c r="B884" t="n" s="2">
        <x:v>50</x:v>
      </x:c>
      <x:c r="C884" t="str" s="2">
        <x:v>1/1</x:v>
      </x:c>
      <x:c r="D884" t="str" s="2">
        <x:f>=""</x:f>
      </x:c>
      <x:c r="E884" s="0"/>
      <x:c r="F884" t="str" s="2">
        <x:v>Walk-in</x:v>
      </x:c>
      <x:c r="G884" t="str" s="2">
        <x:v>Heritage Housing of Oklahoma City</x:v>
      </x:c>
      <x:c r="H884" t="str" s="2">
        <x:v>Trey Rixleben</x:v>
      </x:c>
      <x:c r="I884" s="0"/>
      <x:c r="J884" s="0"/>
      <x:c r="K884" t="n" s="2">
        <x:v>5</x:v>
      </x:c>
      <x:c r="L884" t="str" s="2">
        <x:v>1.1</x:v>
      </x:c>
      <x:c r="M884" t="str" s="2">
        <x:v>Tentative</x:v>
      </x:c>
      <x:c r="N884" t="str" s="2">
        <x:v>Deal Created</x:v>
      </x:c>
      <x:c r="O884" s="0"/>
      <x:c r="P884" s="6">
        <x:v>46258</x:v>
      </x:c>
      <x:c r="Q884" s="6">
        <x:v>46258.70109864583</x:v>
      </x:c>
      <x:c r="R884" t="str" s="2">
        <x:v>Steve Castell</x:v>
      </x:c>
      <x:c r="S884" s="6">
        <x:v>46258</x:v>
      </x:c>
      <x:c r="T884" s="0"/>
      <x:c r="U884" s="0"/>
      <x:c r="V884" s="0"/>
      <x:c r="W884" s="0"/>
      <x:c r="X884" t="str" s="2">
        <x:v>4058801787</x:v>
      </x:c>
      <x:c r="Y884" t="str" s="2">
        <x:v>totalequineservicesok@gmail.com</x:v>
      </x:c>
      <x:c r="Z884" s="6">
        <x:v>46258.815411539355</x:v>
      </x:c>
      <x:c r="AA884" t="str" s="2">
        <x:v>Trey Rixleben</x:v>
      </x:c>
      <x:c r="AB884" s="6">
        <x:v>46258.7011</x:v>
      </x:c>
      <x:c r="AC884" t="n" s="2">
        <x:v>39352</x:v>
      </x:c>
      <x:c r="AD884" s="0"/>
      <x:c r="AE884" s="0"/>
      <x:c r="AF884" s="0"/>
      <x:c r="AG884" s="0"/>
      <x:c r="AH884" s="0"/>
      <x:c r="AI884" s="0"/>
      <x:c r="AJ884" s="0"/>
      <x:c r="AK884" s="0"/>
    </x:row>
    <x:row r="885">
      <x:c r="A885" t="str" s="2">
        <x:f>=HYPERLINK("https://rsms.futurehomex.com/lead/39354", "Sydney Stulir")</x:f>
      </x:c>
      <x:c r="B885" t="n" s="2">
        <x:v>50</x:v>
      </x:c>
      <x:c r="C885" t="str" s="2">
        <x:v>1/1</x:v>
      </x:c>
      <x:c r="D885" t="str" s="2">
        <x:f>=""</x:f>
      </x:c>
      <x:c r="E885" s="0"/>
      <x:c r="F885" t="str" s="2">
        <x:v>Office Hot Calls</x:v>
      </x:c>
      <x:c r="G885" t="str" s="2">
        <x:v>Heritage Housing of Oklahoma City</x:v>
      </x:c>
      <x:c r="H885" t="str" s="2">
        <x:v>Trey Rixleben</x:v>
      </x:c>
      <x:c r="I885" t="str" s="2">
        <x:v>Karol Romero</x:v>
      </x:c>
      <x:c r="J885" t="str" s="2">
        <x:v>Trey Rixleben</x:v>
      </x:c>
      <x:c r="K885" t="n" s="2">
        <x:v>5</x:v>
      </x:c>
      <x:c r="L885" t="str" s="2">
        <x:v>1.1</x:v>
      </x:c>
      <x:c r="M885" t="str" s="2">
        <x:v>Tentative</x:v>
      </x:c>
      <x:c r="N885" t="str" s="2">
        <x:v>Deal Created</x:v>
      </x:c>
      <x:c r="O885" s="0"/>
      <x:c r="P885" s="6">
        <x:v>46258</x:v>
      </x:c>
      <x:c r="Q885" s="6">
        <x:v>46258.708308368055</x:v>
      </x:c>
      <x:c r="R885" s="0"/>
      <x:c r="S885" s="6">
        <x:v>46260</x:v>
      </x:c>
      <x:c r="T885" s="0"/>
      <x:c r="U885" s="0"/>
      <x:c r="V885" s="0"/>
      <x:c r="W885" s="0"/>
      <x:c r="X885" t="str" s="2">
        <x:v>5803404752</x:v>
      </x:c>
      <x:c r="Y885" t="str" s="2">
        <x:v>sydney.hurd21@gmail.com</x:v>
      </x:c>
      <x:c r="Z885" s="6">
        <x:v>46261.83152565972</x:v>
      </x:c>
      <x:c r="AA885" t="str" s="2">
        <x:v>Trey Rixleben</x:v>
      </x:c>
      <x:c r="AB885" s="6">
        <x:v>46258.70831006944</x:v>
      </x:c>
      <x:c r="AC885" t="n" s="2">
        <x:v>39354</x:v>
      </x:c>
      <x:c r="AD885" s="0"/>
      <x:c r="AE885" s="0"/>
      <x:c r="AF885" s="0"/>
      <x:c r="AG885" s="0"/>
      <x:c r="AH885" s="0"/>
      <x:c r="AI885" s="0"/>
      <x:c r="AJ885" s="0"/>
      <x:c r="AK885" s="0"/>
    </x:row>
    <x:row r="886">
      <x:c r="A886" t="str" s="2">
        <x:f>=HYPERLINK("https://rsms.futurehomex.com/lead/39355", "Jasmin Prado")</x:f>
      </x:c>
      <x:c r="B886" t="n" s="2">
        <x:v>50</x:v>
      </x:c>
      <x:c r="C886" t="str" s="2">
        <x:v/>
      </x:c>
      <x:c r="D886" t="str" s="2">
        <x:f>=""</x:f>
      </x:c>
      <x:c r="E886" s="0"/>
      <x:c r="F886" t="str" s="2">
        <x:v>Website</x:v>
      </x:c>
      <x:c r="G886" t="str" s="2">
        <x:v>Heritage Housing of Athens</x:v>
      </x:c>
      <x:c r="H886" t="str" s="2">
        <x:v>Nathan Bishop</x:v>
      </x:c>
      <x:c r="I886" s="0"/>
      <x:c r="J886" t="str" s="2">
        <x:v>Nathan Bishop</x:v>
      </x:c>
      <x:c r="K886" t="n" s="2">
        <x:v>5</x:v>
      </x:c>
      <x:c r="L886" t="str" s="2">
        <x:v>1.1</x:v>
      </x:c>
      <x:c r="M886" t="str" s="2">
        <x:v>Tentative</x:v>
      </x:c>
      <x:c r="N886" t="str" s="2">
        <x:v>Prospect</x:v>
      </x:c>
      <x:c r="O886" s="0"/>
      <x:c r="P886" s="6">
        <x:v>46258</x:v>
      </x:c>
      <x:c r="Q886" s="6">
        <x:v>46258.71532256944</x:v>
      </x:c>
      <x:c r="R886" s="0"/>
      <x:c r="S886" s="0"/>
      <x:c r="T886" s="0"/>
      <x:c r="U886" s="0"/>
      <x:c r="V886" s="0"/>
      <x:c r="W886" s="0"/>
      <x:c r="X886" t="str" s="2">
        <x:v>+14692365365</x:v>
      </x:c>
      <x:c r="Y886" t="str" s="2">
        <x:v>jasminprado94@gmail.com</x:v>
      </x:c>
      <x:c r="Z886" s="0"/>
      <x:c r="AA886" s="0"/>
      <x:c r="AB886" s="6">
        <x:v>46258.71532311343</x:v>
      </x:c>
      <x:c r="AC886" t="n" s="2">
        <x:v>39355</x:v>
      </x:c>
      <x:c r="AD886" s="0"/>
      <x:c r="AE886" s="0"/>
      <x:c r="AF886" s="0"/>
      <x:c r="AG886" s="0"/>
      <x:c r="AH886" s="0"/>
      <x:c r="AI886" s="0"/>
      <x:c r="AJ886" s="0"/>
      <x:c r="AK886" s="0"/>
    </x:row>
    <x:row r="887">
      <x:c r="A887" t="str" s="2">
        <x:f>=HYPERLINK("https://rsms.futurehomex.com/lead/39357", "Brianna Burgess")</x:f>
      </x:c>
      <x:c r="B887" t="n" s="2">
        <x:v>50</x:v>
      </x:c>
      <x:c r="C887" t="str" s="2">
        <x:v/>
      </x:c>
      <x:c r="D887" t="str" s="2">
        <x:f>=""</x:f>
      </x:c>
      <x:c r="E887" s="0"/>
      <x:c r="F887" t="str" s="2">
        <x:v>Facebook Messenger</x:v>
      </x:c>
      <x:c r="G887" t="str" s="2">
        <x:v>Heritage Housing of Athens</x:v>
      </x:c>
      <x:c r="H887" t="str" s="2">
        <x:v>Nathan Bishop</x:v>
      </x:c>
      <x:c r="I887" s="0"/>
      <x:c r="J887" t="str" s="2">
        <x:v>Nathan Bishop</x:v>
      </x:c>
      <x:c r="K887" t="n" s="2">
        <x:v>5</x:v>
      </x:c>
      <x:c r="L887" t="str" s="2">
        <x:v>1.1</x:v>
      </x:c>
      <x:c r="M887" t="str" s="2">
        <x:v>Tentative</x:v>
      </x:c>
      <x:c r="N887" t="str" s="2">
        <x:v>Deal Created</x:v>
      </x:c>
      <x:c r="O887" s="0"/>
      <x:c r="P887" s="6">
        <x:v>46258</x:v>
      </x:c>
      <x:c r="Q887" s="6">
        <x:v>46258.722560532406</x:v>
      </x:c>
      <x:c r="R887" s="0"/>
      <x:c r="S887" s="0"/>
      <x:c r="T887" s="0"/>
      <x:c r="U887" s="0"/>
      <x:c r="V887" s="0"/>
      <x:c r="W887" s="0"/>
      <x:c r="X887" t="str" s="2">
        <x:v>6678516108</x:v>
      </x:c>
      <x:c r="Y887" t="str" s="2">
        <x:v>briannaboggus98@gmail.com</x:v>
      </x:c>
      <x:c r="Z887" s="6">
        <x:v>46258.72377392361</x:v>
      </x:c>
      <x:c r="AA887" t="str" s="2">
        <x:v>Timothy Postlethwait</x:v>
      </x:c>
      <x:c r="AB887" s="6">
        <x:v>46258.722562118055</x:v>
      </x:c>
      <x:c r="AC887" t="n" s="2">
        <x:v>39357</x:v>
      </x:c>
      <x:c r="AD887" s="0"/>
      <x:c r="AE887" s="0"/>
      <x:c r="AF887" s="0"/>
      <x:c r="AG887" s="0"/>
      <x:c r="AH887" s="0"/>
      <x:c r="AI887" s="0"/>
      <x:c r="AJ887" s="0"/>
      <x:c r="AK887" s="0"/>
    </x:row>
    <x:row r="888">
      <x:c r="A888" t="str" s="2">
        <x:f>=HYPERLINK("https://rsms.futurehomex.com/lead/39358", "Sequila Butler")</x:f>
      </x:c>
      <x:c r="B888" t="n" s="2">
        <x:v>50</x:v>
      </x:c>
      <x:c r="C888" t="str" s="2">
        <x:v/>
      </x:c>
      <x:c r="D888" t="str" s="2">
        <x:f>=""</x:f>
      </x:c>
      <x:c r="E888" s="0"/>
      <x:c r="F888" t="str" s="2">
        <x:v>Meta Ads - Forms</x:v>
      </x:c>
      <x:c r="G888" t="str" s="2">
        <x:v>Heritage Housing of Albany</x:v>
      </x:c>
      <x:c r="H888" t="str" s="2">
        <x:v>Alexander Bryant</x:v>
      </x:c>
      <x:c r="I888" t="str" s="2">
        <x:v>Karol Romero</x:v>
      </x:c>
      <x:c r="J888" s="0"/>
      <x:c r="K888" t="n" s="2">
        <x:v>5</x:v>
      </x:c>
      <x:c r="L888" t="str" s="2">
        <x:v>1.1</x:v>
      </x:c>
      <x:c r="M888" t="str" s="2">
        <x:v>Tentative</x:v>
      </x:c>
      <x:c r="N888" t="str" s="2">
        <x:v>Prospect</x:v>
      </x:c>
      <x:c r="O888" s="0"/>
      <x:c r="P888" s="6">
        <x:v>46258</x:v>
      </x:c>
      <x:c r="Q888" s="6">
        <x:v>46258.784690162036</x:v>
      </x:c>
      <x:c r="R888" s="0"/>
      <x:c r="S888" s="0"/>
      <x:c r="T888" s="0"/>
      <x:c r="U888" s="0"/>
      <x:c r="V888" s="0"/>
      <x:c r="W888" s="0"/>
      <x:c r="X888" t="str" s="2">
        <x:v>2296559003</x:v>
      </x:c>
      <x:c r="Y888" t="str" s="2">
        <x:v>sequilaholmes568@gmail.com</x:v>
      </x:c>
      <x:c r="Z888" s="0"/>
      <x:c r="AA888" s="0"/>
      <x:c r="AB888" s="6">
        <x:v>46258.769641203704</x:v>
      </x:c>
      <x:c r="AC888" t="n" s="2">
        <x:v>39358</x:v>
      </x:c>
      <x:c r="AD888" s="0"/>
      <x:c r="AE888" s="0"/>
      <x:c r="AF888" s="0"/>
      <x:c r="AG888" s="0"/>
      <x:c r="AH888" s="0"/>
      <x:c r="AI888" t="str" s="2">
        <x:v>536</x:v>
      </x:c>
      <x:c r="AJ888" s="0"/>
      <x:c r="AK888" s="0"/>
    </x:row>
    <x:row r="889">
      <x:c r="A889" t="str" s="2">
        <x:f>=HYPERLINK("https://rsms.futurehomex.com/lead/39359", "Athens Test")</x:f>
      </x:c>
      <x:c r="B889" t="n" s="2">
        <x:v>50</x:v>
      </x:c>
      <x:c r="C889" t="str" s="2">
        <x:v/>
      </x:c>
      <x:c r="D889" t="str" s="2">
        <x:f>=""</x:f>
      </x:c>
      <x:c r="E889" s="0"/>
      <x:c r="F889" t="str" s="2">
        <x:v>Walk-in</x:v>
      </x:c>
      <x:c r="G889" t="str" s="2">
        <x:v>Heritage Housing of Athens</x:v>
      </x:c>
      <x:c r="H889" t="str" s="2">
        <x:v>Nathan Bishop</x:v>
      </x:c>
      <x:c r="I889" s="0"/>
      <x:c r="J889" s="0"/>
      <x:c r="K889" t="n" s="2">
        <x:v>34</x:v>
      </x:c>
      <x:c r="L889" t="str" s="2">
        <x:v>2.4</x:v>
      </x:c>
      <x:c r="M889" t="str" s="2">
        <x:v>Tentative</x:v>
      </x:c>
      <x:c r="N889" t="str" s="2">
        <x:v>Deal approval</x:v>
      </x:c>
      <x:c r="O889" s="0"/>
      <x:c r="P889" s="6">
        <x:v>46258</x:v>
      </x:c>
      <x:c r="Q889" s="6">
        <x:v>46258.81230003472</x:v>
      </x:c>
      <x:c r="R889" s="0"/>
      <x:c r="S889" s="6">
        <x:v>46258</x:v>
      </x:c>
      <x:c r="T889" s="6">
        <x:v>46258</x:v>
      </x:c>
      <x:c r="U889" s="6">
        <x:v>46258</x:v>
      </x:c>
      <x:c r="V889" s="0"/>
      <x:c r="W889" s="0"/>
      <x:c r="X889" t="str" s="2">
        <x:v>6785555555</x:v>
      </x:c>
      <x:c r="Y889" t="str" s="2">
        <x:v>n8sweeps@aol.com</x:v>
      </x:c>
      <x:c r="Z889" s="6">
        <x:v>46258.79624386574</x:v>
      </x:c>
      <x:c r="AA889" t="str" s="2">
        <x:v>Iris McKinley</x:v>
      </x:c>
      <x:c r="AB889" s="6">
        <x:v>46258.77152326389</x:v>
      </x:c>
      <x:c r="AC889" t="n" s="2">
        <x:v>39359</x:v>
      </x:c>
      <x:c r="AD889" t="str" s="2">
        <x:v>Doublewide</x:v>
      </x:c>
      <x:c r="AE889" s="0"/>
      <x:c r="AF889" s="0"/>
      <x:c r="AG889" s="7">
        <x:v>26000</x:v>
      </x:c>
      <x:c r="AH889" s="0"/>
      <x:c r="AI889" s="0"/>
      <x:c r="AJ889" s="0"/>
      <x:c r="AK889" s="0"/>
    </x:row>
    <x:row r="890">
      <x:c r="A890" t="str" s="2">
        <x:f>=HYPERLINK("https://rsms.futurehomex.com/lead/39360", "Gricelda Luna")</x:f>
      </x:c>
      <x:c r="B890" t="n" s="2">
        <x:v>50</x:v>
      </x:c>
      <x:c r="C890" t="str" s="2">
        <x:v>1/1</x:v>
      </x:c>
      <x:c r="D890" t="str" s="2">
        <x:f>=""</x:f>
      </x:c>
      <x:c r="E890" s="0"/>
      <x:c r="F890" t="str" s="2">
        <x:v>WhatsApp</x:v>
      </x:c>
      <x:c r="G890" t="str" s="2">
        <x:v>Legacy Housing Corp. DBA Americasa</x:v>
      </x:c>
      <x:c r="H890" t="str" s="2">
        <x:v>Jose Parada</x:v>
      </x:c>
      <x:c r="I890" t="str" s="2">
        <x:v>Karol Romero</x:v>
      </x:c>
      <x:c r="J890" t="str" s="2">
        <x:v>Rodrigo Ramirez</x:v>
      </x:c>
      <x:c r="K890" t="n" s="2">
        <x:v>5</x:v>
      </x:c>
      <x:c r="L890" t="str" s="2">
        <x:v>1.1</x:v>
      </x:c>
      <x:c r="M890" t="str" s="2">
        <x:v>Tentative</x:v>
      </x:c>
      <x:c r="N890" t="str" s="2">
        <x:v>Deal Created</x:v>
      </x:c>
      <x:c r="O890" s="0"/>
      <x:c r="P890" s="6">
        <x:v>46258</x:v>
      </x:c>
      <x:c r="Q890" s="6">
        <x:v>46258.78792167824</x:v>
      </x:c>
      <x:c r="R890" s="0"/>
      <x:c r="S890" s="0"/>
      <x:c r="T890" s="0"/>
      <x:c r="U890" s="0"/>
      <x:c r="V890" s="0"/>
      <x:c r="W890" s="0"/>
      <x:c r="X890" t="str" s="2">
        <x:v>3463634260</x:v>
      </x:c>
      <x:c r="Y890" t="str" s="2">
        <x:v>3463634260</x:v>
      </x:c>
      <x:c r="Z890" s="6">
        <x:v>46258.78932445602</x:v>
      </x:c>
      <x:c r="AA890" t="str" s="2">
        <x:v>Rodrigo Ramirez</x:v>
      </x:c>
      <x:c r="AB890" s="6">
        <x:v>46258.787922951386</x:v>
      </x:c>
      <x:c r="AC890" t="n" s="2">
        <x:v>39360</x:v>
      </x:c>
      <x:c r="AD890" s="0"/>
      <x:c r="AE890" s="0"/>
      <x:c r="AF890" s="0"/>
      <x:c r="AG890" s="0"/>
      <x:c r="AH890" s="0"/>
      <x:c r="AI890" s="0"/>
      <x:c r="AJ890" s="0"/>
      <x:c r="AK890" s="0"/>
    </x:row>
    <x:row r="891">
      <x:c r="A891" t="str" s="2">
        <x:f>=HYPERLINK("https://rsms.futurehomex.com/lead/39361", "Jackie Moore")</x:f>
      </x:c>
      <x:c r="B891" t="n" s="2">
        <x:v>50</x:v>
      </x:c>
      <x:c r="C891" t="str" s="2">
        <x:v/>
      </x:c>
      <x:c r="D891" t="str" s="2">
        <x:f>=""</x:f>
      </x:c>
      <x:c r="E891" s="0"/>
      <x:c r="F891" t="str" s="2">
        <x:v>Walk-in</x:v>
      </x:c>
      <x:c r="G891" t="str" s="2">
        <x:v>Heritage Housing of Asheboro</x:v>
      </x:c>
      <x:c r="H891" t="str" s="2">
        <x:v>Maria Lopez</x:v>
      </x:c>
      <x:c r="I891" s="0"/>
      <x:c r="J891" s="0"/>
      <x:c r="K891" t="n" s="2">
        <x:v>5</x:v>
      </x:c>
      <x:c r="L891" t="str" s="2">
        <x:v>1.1</x:v>
      </x:c>
      <x:c r="M891" t="str" s="2">
        <x:v>Dead</x:v>
      </x:c>
      <x:c r="N891" t="str" s="2">
        <x:v>Prospect</x:v>
      </x:c>
      <x:c r="O891" s="0"/>
      <x:c r="P891" s="6">
        <x:v>46258</x:v>
      </x:c>
      <x:c r="Q891" s="6">
        <x:v>46258.802117245374</x:v>
      </x:c>
      <x:c r="R891" s="0"/>
      <x:c r="S891" s="0"/>
      <x:c r="T891" s="0"/>
      <x:c r="U891" s="0"/>
      <x:c r="V891" s="0"/>
      <x:c r="W891" s="0"/>
      <x:c r="X891" t="str" s="2">
        <x:v>9108942180</x:v>
      </x:c>
      <x:c r="Y891" t="str" s="2">
        <x:v>jackiemoore@gmail.com</x:v>
      </x:c>
      <x:c r="Z891" s="6">
        <x:v>46258.80746809028</x:v>
      </x:c>
      <x:c r="AA891" t="str" s="2">
        <x:v>Maria Lopez</x:v>
      </x:c>
      <x:c r="AB891" s="6">
        <x:v>46258.802117708336</x:v>
      </x:c>
      <x:c r="AC891" t="n" s="2">
        <x:v>39361</x:v>
      </x:c>
      <x:c r="AD891" s="0"/>
      <x:c r="AE891" s="0"/>
      <x:c r="AF891" s="0"/>
      <x:c r="AG891" s="0"/>
      <x:c r="AH891" s="0"/>
      <x:c r="AI891" s="0"/>
      <x:c r="AJ891" s="0"/>
      <x:c r="AK891" s="0"/>
    </x:row>
    <x:row r="892">
      <x:c r="A892" t="str" s="2">
        <x:f>=HYPERLINK("https://rsms.futurehomex.com/lead/39362", "Maria elena Reza dominguez")</x:f>
      </x:c>
      <x:c r="B892" t="n" s="2">
        <x:v>50</x:v>
      </x:c>
      <x:c r="C892" t="str" s="2">
        <x:v/>
      </x:c>
      <x:c r="D892" t="str" s="2">
        <x:f>=""</x:f>
      </x:c>
      <x:c r="E892" s="0"/>
      <x:c r="F892" t="str" s="2">
        <x:v>Walk-in</x:v>
      </x:c>
      <x:c r="G892" t="str" s="2">
        <x:v>Heritage Housing of Asheboro</x:v>
      </x:c>
      <x:c r="H892" t="str" s="2">
        <x:v>Maria Lopez</x:v>
      </x:c>
      <x:c r="I892" s="0"/>
      <x:c r="J892" s="0"/>
      <x:c r="K892" t="n" s="2">
        <x:v>21</x:v>
      </x:c>
      <x:c r="L892" t="str" s="2">
        <x:v>2.1</x:v>
      </x:c>
      <x:c r="M892" t="str" s="2">
        <x:v>Tentative</x:v>
      </x:c>
      <x:c r="N892" t="str" s="2">
        <x:v>Qualified</x:v>
      </x:c>
      <x:c r="O892" s="0"/>
      <x:c r="P892" s="6">
        <x:v>46258</x:v>
      </x:c>
      <x:c r="Q892" s="6">
        <x:v>46262.675511030095</x:v>
      </x:c>
      <x:c r="R892" s="0"/>
      <x:c r="S892" s="6">
        <x:v>46258</x:v>
      </x:c>
      <x:c r="T892" s="0"/>
      <x:c r="U892" s="0"/>
      <x:c r="V892" s="0"/>
      <x:c r="W892" s="0"/>
      <x:c r="X892" t="str" s="2">
        <x:v>3369636770</x:v>
      </x:c>
      <x:c r="Y892" t="str" s="2">
        <x:v>elenadomingez1986@gmail.com</x:v>
      </x:c>
      <x:c r="Z892" s="6">
        <x:v>46262.67549849537</x:v>
      </x:c>
      <x:c r="AA892" t="str" s="2">
        <x:v>Jeremy Jacques</x:v>
      </x:c>
      <x:c r="AB892" s="6">
        <x:v>46258.84796153935</x:v>
      </x:c>
      <x:c r="AC892" t="n" s="2">
        <x:v>39362</x:v>
      </x:c>
      <x:c r="AD892" s="0"/>
      <x:c r="AE892" s="0"/>
      <x:c r="AF892" s="0"/>
      <x:c r="AG892" s="0"/>
      <x:c r="AH892" s="0"/>
      <x:c r="AI892" s="0"/>
      <x:c r="AJ892" s="0"/>
      <x:c r="AK892" s="0"/>
    </x:row>
    <x:row r="893">
      <x:c r="A893" t="str" s="2">
        <x:f>=HYPERLINK("https://rsms.futurehomex.com/lead/39364", "Luz Zapata")</x:f>
      </x:c>
      <x:c r="B893" t="n" s="2">
        <x:v>50</x:v>
      </x:c>
      <x:c r="C893" t="str" s="2">
        <x:v>0/8</x:v>
      </x:c>
      <x:c r="D893" t="str" s="2">
        <x:f>=""</x:f>
      </x:c>
      <x:c r="E893" t="str" s="2">
        <x:v>Jesus Zapata</x:v>
      </x:c>
      <x:c r="F893" t="str" s="2">
        <x:v>Meta Marketplace</x:v>
      </x:c>
      <x:c r="G893" t="str" s="2">
        <x:v>Heritage Housing Marble Falls</x:v>
      </x:c>
      <x:c r="H893" t="str" s="2">
        <x:v>Stephen Sanders</x:v>
      </x:c>
      <x:c r="I893" t="str" s="2">
        <x:v>Karol Romero</x:v>
      </x:c>
      <x:c r="J893" s="0"/>
      <x:c r="K893" t="n" s="2">
        <x:v>100</x:v>
      </x:c>
      <x:c r="L893" t="str" s="2">
        <x:v>6.2</x:v>
      </x:c>
      <x:c r="M893" t="str" s="2">
        <x:v>Closed</x:v>
      </x:c>
      <x:c r="N893" t="str" s="2">
        <x:v>Delivered</x:v>
      </x:c>
      <x:c r="O893" s="6">
        <x:v>46277</x:v>
      </x:c>
      <x:c r="P893" s="6">
        <x:v>46258</x:v>
      </x:c>
      <x:c r="Q893" s="6">
        <x:v>46296.68776234954</x:v>
      </x:c>
      <x:c r="R893" s="0"/>
      <x:c r="S893" s="6">
        <x:v>46263</x:v>
      </x:c>
      <x:c r="T893" s="6">
        <x:v>46263</x:v>
      </x:c>
      <x:c r="U893" s="6">
        <x:v>46267</x:v>
      </x:c>
      <x:c r="V893" s="6">
        <x:v>46267</x:v>
      </x:c>
      <x:c r="W893" s="6">
        <x:v>46288</x:v>
      </x:c>
      <x:c r="X893" t="str" s="2">
        <x:v>7373886975</x:v>
      </x:c>
      <x:c r="Y893" t="str" s="2">
        <x:v>Luz.zap05@gmail.com</x:v>
      </x:c>
      <x:c r="Z893" s="6">
        <x:v>46281.89971484954</x:v>
      </x:c>
      <x:c r="AA893" t="str" s="2">
        <x:v>Stephen Sanders</x:v>
      </x:c>
      <x:c r="AB893" s="6">
        <x:v>46258.88211840278</x:v>
      </x:c>
      <x:c r="AC893" t="n" s="2">
        <x:v>39364</x:v>
      </x:c>
      <x:c r="AD893" t="str" s="2">
        <x:v>Singlewide</x:v>
      </x:c>
      <x:c r="AE893" t="str" s="2">
        <x:v>Legacy Housing Corporation</x:v>
      </x:c>
      <x:c r="AF893" s="7">
        <x:v>13000</x:v>
      </x:c>
      <x:c r="AG893" s="7">
        <x:v>10000</x:v>
      </x:c>
      <x:c r="AH893" s="0"/>
      <x:c r="AI893" t="str" s="2">
        <x:v>632</x:v>
      </x:c>
      <x:c r="AJ893" s="0"/>
      <x:c r="AK893" s="0"/>
    </x:row>
    <x:row r="894">
      <x:c r="A894" t="str" s="2">
        <x:f>=HYPERLINK("https://rsms.futurehomex.com/lead/39371", "Esbeydy Victoriano")</x:f>
      </x:c>
      <x:c r="B894" t="n" s="2">
        <x:v>50</x:v>
      </x:c>
      <x:c r="C894" t="str" s="2">
        <x:v/>
      </x:c>
      <x:c r="D894" t="str" s="2">
        <x:f>=""</x:f>
      </x:c>
      <x:c r="E894" s="0"/>
      <x:c r="F894" t="str" s="2">
        <x:v>Facebook Messenger</x:v>
      </x:c>
      <x:c r="G894" t="str" s="2">
        <x:v>Heritage Housing Mt Pleasant</x:v>
      </x:c>
      <x:c r="H894" t="str" s="2">
        <x:v>Yarelis Torres</x:v>
      </x:c>
      <x:c r="I894" s="0"/>
      <x:c r="J894" t="str" s="2">
        <x:v>Yarelis Torres</x:v>
      </x:c>
      <x:c r="K894" t="n" s="2">
        <x:v>5</x:v>
      </x:c>
      <x:c r="L894" t="str" s="2">
        <x:v>1.1</x:v>
      </x:c>
      <x:c r="M894" t="str" s="2">
        <x:v>Tentative</x:v>
      </x:c>
      <x:c r="N894" t="str" s="2">
        <x:v>Deal Created</x:v>
      </x:c>
      <x:c r="O894" s="0"/>
      <x:c r="P894" s="6">
        <x:v>46258</x:v>
      </x:c>
      <x:c r="Q894" s="6">
        <x:v>46258.970571956015</x:v>
      </x:c>
      <x:c r="R894" s="0"/>
      <x:c r="S894" s="0"/>
      <x:c r="T894" s="0"/>
      <x:c r="U894" s="0"/>
      <x:c r="V894" s="0"/>
      <x:c r="W894" s="0"/>
      <x:c r="X894" t="str" s="2">
        <x:v>8037575846</x:v>
      </x:c>
      <x:c r="Y894" t="str" s="2">
        <x:v>8037575846</x:v>
      </x:c>
      <x:c r="Z894" s="6">
        <x:v>46262.73573371528</x:v>
      </x:c>
      <x:c r="AA894" t="str" s="2">
        <x:v>Yarelis Torres</x:v>
      </x:c>
      <x:c r="AB894" s="6">
        <x:v>46258.97057314815</x:v>
      </x:c>
      <x:c r="AC894" t="n" s="2">
        <x:v>39371</x:v>
      </x:c>
      <x:c r="AD894" s="0"/>
      <x:c r="AE894" s="0"/>
      <x:c r="AF894" s="0"/>
      <x:c r="AG894" s="0"/>
      <x:c r="AH894" s="0"/>
      <x:c r="AI894" s="0"/>
      <x:c r="AJ894" s="0"/>
      <x:c r="AK894" s="0"/>
    </x:row>
    <x:row r="895">
      <x:c r="A895" t="str" s="2">
        <x:f>=HYPERLINK("https://rsms.futurehomex.com/lead/39373", "Courtney Smith")</x:f>
      </x:c>
      <x:c r="B895" t="n" s="2">
        <x:v>49</x:v>
      </x:c>
      <x:c r="C895" t="str" s="2">
        <x:v>0/1</x:v>
      </x:c>
      <x:c r="D895" t="str" s="2">
        <x:f>=""</x:f>
      </x:c>
      <x:c r="E895" s="0"/>
      <x:c r="F895" t="str" s="2">
        <x:v>Facebook Messenger</x:v>
      </x:c>
      <x:c r="G895" t="str" s="2">
        <x:v>Heritage Housing of Oklahoma City</x:v>
      </x:c>
      <x:c r="H895" t="str" s="2">
        <x:v>Steve Castell</x:v>
      </x:c>
      <x:c r="I895" s="0"/>
      <x:c r="J895" t="str" s="2">
        <x:v>Steve Castell</x:v>
      </x:c>
      <x:c r="K895" t="n" s="2">
        <x:v>5</x:v>
      </x:c>
      <x:c r="L895" t="str" s="2">
        <x:v>1.1</x:v>
      </x:c>
      <x:c r="M895" t="str" s="2">
        <x:v>Dead</x:v>
      </x:c>
      <x:c r="N895" t="str" s="2">
        <x:v>Deal Created</x:v>
      </x:c>
      <x:c r="O895" s="0"/>
      <x:c r="P895" s="6">
        <x:v>46259</x:v>
      </x:c>
      <x:c r="Q895" s="6">
        <x:v>46259.82001038195</x:v>
      </x:c>
      <x:c r="R895" s="0"/>
      <x:c r="S895" s="6">
        <x:v>46260</x:v>
      </x:c>
      <x:c r="T895" s="0"/>
      <x:c r="U895" s="0"/>
      <x:c r="V895" s="0"/>
      <x:c r="W895" s="0"/>
      <x:c r="X895" t="str" s="2">
        <x:v>4053940607</x:v>
      </x:c>
      <x:c r="Y895" t="str" s="2">
        <x:v>courtneylynn405@gmail.com</x:v>
      </x:c>
      <x:c r="Z895" s="6">
        <x:v>46261.9555565625</x:v>
      </x:c>
      <x:c r="AA895" t="str" s="2">
        <x:v>Steve Castell</x:v>
      </x:c>
      <x:c r="AB895" s="6">
        <x:v>46259.62114780093</x:v>
      </x:c>
      <x:c r="AC895" t="n" s="2">
        <x:v>39373</x:v>
      </x:c>
      <x:c r="AD895" s="0"/>
      <x:c r="AE895" s="0"/>
      <x:c r="AF895" s="0"/>
      <x:c r="AG895" s="0"/>
      <x:c r="AH895" s="0"/>
      <x:c r="AI895" s="0"/>
      <x:c r="AJ895" s="0"/>
      <x:c r="AK895" s="0"/>
    </x:row>
    <x:row r="896">
      <x:c r="A896" t="str" s="2">
        <x:f>=HYPERLINK("https://rsms.futurehomex.com/lead/39374", "Gregory Flott")</x:f>
      </x:c>
      <x:c r="B896" t="n" s="2">
        <x:v>49</x:v>
      </x:c>
      <x:c r="C896" t="str" s="2">
        <x:v>0/3</x:v>
      </x:c>
      <x:c r="D896" t="str" s="2">
        <x:f>=""</x:f>
      </x:c>
      <x:c r="E896" s="0"/>
      <x:c r="F896" t="str" s="2">
        <x:v>Landing_BPM</x:v>
      </x:c>
      <x:c r="G896" t="str" s="2">
        <x:v>Heritage Housing of Jennings</x:v>
      </x:c>
      <x:c r="H896" t="str" s="2">
        <x:v>Clint O'Neal</x:v>
      </x:c>
      <x:c r="I896" s="0"/>
      <x:c r="J896" t="str" s="2">
        <x:v>Clint O'Neal</x:v>
      </x:c>
      <x:c r="K896" t="n" s="2">
        <x:v>5</x:v>
      </x:c>
      <x:c r="L896" t="str" s="2">
        <x:v>1.1</x:v>
      </x:c>
      <x:c r="M896" t="str" s="2">
        <x:v>Inactive</x:v>
      </x:c>
      <x:c r="N896" t="str" s="2">
        <x:v>Deal Created</x:v>
      </x:c>
      <x:c r="O896" s="0"/>
      <x:c r="P896" s="6">
        <x:v>46259</x:v>
      </x:c>
      <x:c r="Q896" s="6">
        <x:v>46259.65609089121</x:v>
      </x:c>
      <x:c r="R896" s="0"/>
      <x:c r="S896" s="0"/>
      <x:c r="T896" s="0"/>
      <x:c r="U896" s="0"/>
      <x:c r="V896" s="0"/>
      <x:c r="W896" s="0"/>
      <x:c r="X896" t="str" s="2">
        <x:v>3375329908</x:v>
      </x:c>
      <x:c r="Y896" t="str" s="2">
        <x:v>gflott1977@gmail.com</x:v>
      </x:c>
      <x:c r="Z896" s="6">
        <x:v>46305.75328568287</x:v>
      </x:c>
      <x:c r="AA896" t="str" s="2">
        <x:v>Clint O'Neal</x:v>
      </x:c>
      <x:c r="AB896" s="6">
        <x:v>46259.656091666664</x:v>
      </x:c>
      <x:c r="AC896" t="n" s="2">
        <x:v>39374</x:v>
      </x:c>
      <x:c r="AD896" s="0"/>
      <x:c r="AE896" s="0"/>
      <x:c r="AF896" s="0"/>
      <x:c r="AG896" s="0"/>
      <x:c r="AH896" s="0"/>
      <x:c r="AI896" s="0"/>
      <x:c r="AJ896" s="0"/>
      <x:c r="AK896" s="0"/>
    </x:row>
    <x:row r="897">
      <x:c r="A897" t="str" s="2">
        <x:f>=HYPERLINK("https://rsms.futurehomex.com/lead/39377", "Jacquelyne Legette")</x:f>
      </x:c>
      <x:c r="B897" t="n" s="2">
        <x:v>49</x:v>
      </x:c>
      <x:c r="C897" t="str" s="2">
        <x:v>1/1</x:v>
      </x:c>
      <x:c r="D897" t="str" s="2">
        <x:f>=""</x:f>
      </x:c>
      <x:c r="E897" s="0"/>
      <x:c r="F897" t="str" s="2">
        <x:v>Walk-in</x:v>
      </x:c>
      <x:c r="G897" t="str" s="2">
        <x:v>Heritage Housing of Augusta</x:v>
      </x:c>
      <x:c r="H897" t="str" s="2">
        <x:v>Jennifer Johnson</x:v>
      </x:c>
      <x:c r="I897" t="str" s="2">
        <x:v>Karol Romero</x:v>
      </x:c>
      <x:c r="J897" t="str" s="2">
        <x:v>Jennifer Johnson</x:v>
      </x:c>
      <x:c r="K897" t="n" s="2">
        <x:v>5</x:v>
      </x:c>
      <x:c r="L897" t="str" s="2">
        <x:v>1.1</x:v>
      </x:c>
      <x:c r="M897" t="str" s="2">
        <x:v>Tentative</x:v>
      </x:c>
      <x:c r="N897" t="str" s="2">
        <x:v>Deal Created</x:v>
      </x:c>
      <x:c r="O897" s="6">
        <x:v>46446</x:v>
      </x:c>
      <x:c r="P897" s="6">
        <x:v>46259</x:v>
      </x:c>
      <x:c r="Q897" s="6">
        <x:v>46259.671112881944</x:v>
      </x:c>
      <x:c r="R897" s="0"/>
      <x:c r="S897" s="6">
        <x:v>46259</x:v>
      </x:c>
      <x:c r="T897" s="0"/>
      <x:c r="U897" s="0"/>
      <x:c r="V897" s="0"/>
      <x:c r="W897" s="0"/>
      <x:c r="X897" t="str" s="2">
        <x:v>7063646125</x:v>
      </x:c>
      <x:c r="Y897" t="str" s="2">
        <x:v>7063646125</x:v>
      </x:c>
      <x:c r="Z897" s="6">
        <x:v>46259.68707438657</x:v>
      </x:c>
      <x:c r="AA897" t="str" s="2">
        <x:v>Alex Jones</x:v>
      </x:c>
      <x:c r="AB897" s="6">
        <x:v>46259.66595416667</x:v>
      </x:c>
      <x:c r="AC897" t="n" s="2">
        <x:v>39377</x:v>
      </x:c>
      <x:c r="AD897" s="0"/>
      <x:c r="AE897" s="0"/>
      <x:c r="AF897" s="0"/>
      <x:c r="AG897" s="0"/>
      <x:c r="AH897" s="0"/>
      <x:c r="AI897" s="0"/>
      <x:c r="AJ897" s="0"/>
      <x:c r="AK897" s="0"/>
    </x:row>
    <x:row r="898">
      <x:c r="A898" t="str" s="2">
        <x:f>=HYPERLINK("https://rsms.futurehomex.com/lead/39378", "Monta Rontrevas Jack")</x:f>
      </x:c>
      <x:c r="B898" t="n" s="2">
        <x:v>49</x:v>
      </x:c>
      <x:c r="C898" t="str" s="2">
        <x:v>0/7</x:v>
      </x:c>
      <x:c r="D898" t="str" s="2">
        <x:f>=""</x:f>
      </x:c>
      <x:c r="E898" s="0"/>
      <x:c r="F898" t="str" s="2">
        <x:v>Office Hot Calls</x:v>
      </x:c>
      <x:c r="G898" t="str" s="2">
        <x:v>Heritage Housing of Jennings</x:v>
      </x:c>
      <x:c r="H898" t="str" s="2">
        <x:v>Clint O'Neal</x:v>
      </x:c>
      <x:c r="I898" t="str" s="2">
        <x:v>Karol Romero</x:v>
      </x:c>
      <x:c r="J898" s="0"/>
      <x:c r="K898" t="n" s="2">
        <x:v>5</x:v>
      </x:c>
      <x:c r="L898" t="str" s="2">
        <x:v>1.1</x:v>
      </x:c>
      <x:c r="M898" t="str" s="2">
        <x:v>Active</x:v>
      </x:c>
      <x:c r="N898" t="str" s="2">
        <x:v>Deal Created</x:v>
      </x:c>
      <x:c r="O898" s="0"/>
      <x:c r="P898" s="6">
        <x:v>46259</x:v>
      </x:c>
      <x:c r="Q898" s="6">
        <x:v>46259.87237225694</x:v>
      </x:c>
      <x:c r="R898" t="str" s="2">
        <x:v>Mervin Leslie Smith</x:v>
      </x:c>
      <x:c r="S898" s="6">
        <x:v>46259</x:v>
      </x:c>
      <x:c r="T898" s="0"/>
      <x:c r="U898" s="0"/>
      <x:c r="V898" s="0"/>
      <x:c r="W898" s="0"/>
      <x:c r="X898" t="str" s="2">
        <x:v>3376556974</x:v>
      </x:c>
      <x:c r="Y898" t="str" s="2">
        <x:v>tajack23@yahoo.com</x:v>
      </x:c>
      <x:c r="Z898" s="6">
        <x:v>46294.69544684028</x:v>
      </x:c>
      <x:c r="AA898" t="str" s="2">
        <x:v>Clint O'Neal</x:v>
      </x:c>
      <x:c r="AB898" s="6">
        <x:v>46259.6825474537</x:v>
      </x:c>
      <x:c r="AC898" t="n" s="2">
        <x:v>39378</x:v>
      </x:c>
      <x:c r="AD898" s="0"/>
      <x:c r="AE898" s="0"/>
      <x:c r="AF898" s="0"/>
      <x:c r="AG898" s="0"/>
      <x:c r="AH898" s="0"/>
      <x:c r="AI898" s="0"/>
      <x:c r="AJ898" s="0"/>
      <x:c r="AK898" s="0"/>
    </x:row>
    <x:row r="899">
      <x:c r="A899" t="str" s="2">
        <x:f>=HYPERLINK("https://rsms.futurehomex.com/lead/39379", "Fernando Cruz")</x:f>
      </x:c>
      <x:c r="B899" t="n" s="2">
        <x:v>49</x:v>
      </x:c>
      <x:c r="C899" t="str" s="2">
        <x:v>0/3</x:v>
      </x:c>
      <x:c r="D899" t="str" s="2">
        <x:f>=""</x:f>
      </x:c>
      <x:c r="E899" s="0"/>
      <x:c r="F899" t="str" s="2">
        <x:v>Meta Marketplace</x:v>
      </x:c>
      <x:c r="G899" t="str" s="2">
        <x:v>Heritage Housing Marble Falls</x:v>
      </x:c>
      <x:c r="H899" t="str" s="2">
        <x:v>Stephen Sanders</x:v>
      </x:c>
      <x:c r="I899" t="str" s="2">
        <x:v>Karol Romero</x:v>
      </x:c>
      <x:c r="J899" t="str" s="2">
        <x:v>Stephen Sanders</x:v>
      </x:c>
      <x:c r="K899" t="n" s="2">
        <x:v>5</x:v>
      </x:c>
      <x:c r="L899" t="str" s="2">
        <x:v>1.1</x:v>
      </x:c>
      <x:c r="M899" t="str" s="2">
        <x:v>Tentative</x:v>
      </x:c>
      <x:c r="N899" t="str" s="2">
        <x:v>Deal Created</x:v>
      </x:c>
      <x:c r="O899" s="0"/>
      <x:c r="P899" s="6">
        <x:v>46259</x:v>
      </x:c>
      <x:c r="Q899" s="6">
        <x:v>46259.70856554398</x:v>
      </x:c>
      <x:c r="R899" s="0"/>
      <x:c r="S899" s="6">
        <x:v>46256</x:v>
      </x:c>
      <x:c r="T899" s="0"/>
      <x:c r="U899" s="0"/>
      <x:c r="V899" s="0"/>
      <x:c r="W899" s="0"/>
      <x:c r="X899" t="str" s="2">
        <x:v>5128885689</x:v>
      </x:c>
      <x:c r="Y899" t="str" s="2">
        <x:v>5128885689</x:v>
      </x:c>
      <x:c r="Z899" s="6">
        <x:v>46288.640336145836</x:v>
      </x:c>
      <x:c r="AA899" t="str" s="2">
        <x:v>Stephen Sanders</x:v>
      </x:c>
      <x:c r="AB899" s="6">
        <x:v>46259.704261377316</x:v>
      </x:c>
      <x:c r="AC899" t="n" s="2">
        <x:v>39379</x:v>
      </x:c>
      <x:c r="AD899" s="0"/>
      <x:c r="AE899" s="0"/>
      <x:c r="AF899" s="0"/>
      <x:c r="AG899" s="0"/>
      <x:c r="AH899" s="0"/>
      <x:c r="AI899" s="0"/>
      <x:c r="AJ899" s="0"/>
      <x:c r="AK899" s="0"/>
    </x:row>
    <x:row r="900">
      <x:c r="A900" t="str" s="2">
        <x:f>=HYPERLINK("https://rsms.futurehomex.com/lead/39381", "Sarah Pastorino")</x:f>
      </x:c>
      <x:c r="B900" t="n" s="2">
        <x:v>49</x:v>
      </x:c>
      <x:c r="C900" t="str" s="2">
        <x:v/>
      </x:c>
      <x:c r="D900" t="str" s="2">
        <x:f>=""</x:f>
      </x:c>
      <x:c r="E900" s="0"/>
      <x:c r="F900" t="str" s="2">
        <x:v>Website</x:v>
      </x:c>
      <x:c r="G900" t="str" s="2">
        <x:v>Heritage Housing Mt Pleasant</x:v>
      </x:c>
      <x:c r="H900" t="str" s="2">
        <x:v>Yarelis Torres</x:v>
      </x:c>
      <x:c r="I900" s="0"/>
      <x:c r="J900" s="0"/>
      <x:c r="K900" t="n" s="2">
        <x:v>5</x:v>
      </x:c>
      <x:c r="L900" t="str" s="2">
        <x:v>1.1</x:v>
      </x:c>
      <x:c r="M900" t="str" s="2">
        <x:v>Tentative</x:v>
      </x:c>
      <x:c r="N900" t="str" s="2">
        <x:v>Prospect</x:v>
      </x:c>
      <x:c r="O900" s="0"/>
      <x:c r="P900" s="6">
        <x:v>46259</x:v>
      </x:c>
      <x:c r="Q900" s="6">
        <x:v>46259.754572453705</x:v>
      </x:c>
      <x:c r="R900" s="0"/>
      <x:c r="S900" s="0"/>
      <x:c r="T900" s="0"/>
      <x:c r="U900" s="0"/>
      <x:c r="V900" s="0"/>
      <x:c r="W900" s="0"/>
      <x:c r="X900" t="str" s="2">
        <x:v>4303237394</x:v>
      </x:c>
      <x:c r="Y900" t="str" s="2">
        <x:v>sarahpastorino23@gmail.com</x:v>
      </x:c>
      <x:c r="Z900" s="6">
        <x:v>46259.75508703704</x:v>
      </x:c>
      <x:c r="AA900" t="str" s="2">
        <x:v>Yarelis Torres</x:v>
      </x:c>
      <x:c r="AB900" s="6">
        <x:v>46259.75457349537</x:v>
      </x:c>
      <x:c r="AC900" t="n" s="2">
        <x:v>39381</x:v>
      </x:c>
      <x:c r="AD900" s="0"/>
      <x:c r="AE900" s="0"/>
      <x:c r="AF900" s="0"/>
      <x:c r="AG900" s="0"/>
      <x:c r="AH900" s="0"/>
      <x:c r="AI900" s="0"/>
      <x:c r="AJ900" s="0"/>
      <x:c r="AK900" s="0"/>
    </x:row>
    <x:row r="901">
      <x:c r="A901" t="str" s="2">
        <x:f>=HYPERLINK("https://rsms.futurehomex.com/lead/39382", "Cheyanne Farran")</x:f>
      </x:c>
      <x:c r="B901" t="n" s="2">
        <x:v>49</x:v>
      </x:c>
      <x:c r="C901" t="str" s="2">
        <x:v>1/4</x:v>
      </x:c>
      <x:c r="D901" t="str" s="2">
        <x:f>=""</x:f>
      </x:c>
      <x:c r="E901" s="0"/>
      <x:c r="F901" t="str" s="2">
        <x:v>Landing_BPM</x:v>
      </x:c>
      <x:c r="G901" t="str" s="2">
        <x:v>Heritage Housing of Oklahoma City</x:v>
      </x:c>
      <x:c r="H901" t="str" s="2">
        <x:v>Alejandra Calderon</x:v>
      </x:c>
      <x:c r="I901" s="0"/>
      <x:c r="J901" t="str" s="2">
        <x:v>Alejandra Calderon</x:v>
      </x:c>
      <x:c r="K901" t="n" s="2">
        <x:v>5</x:v>
      </x:c>
      <x:c r="L901" t="str" s="2">
        <x:v>1.1</x:v>
      </x:c>
      <x:c r="M901" t="str" s="2">
        <x:v>Tentative</x:v>
      </x:c>
      <x:c r="N901" t="str" s="2">
        <x:v>Deal Created</x:v>
      </x:c>
      <x:c r="O901" s="0"/>
      <x:c r="P901" s="6">
        <x:v>46259</x:v>
      </x:c>
      <x:c r="Q901" s="6">
        <x:v>46259.758267708334</x:v>
      </x:c>
      <x:c r="R901" s="0"/>
      <x:c r="S901" s="0"/>
      <x:c r="T901" s="0"/>
      <x:c r="U901" s="0"/>
      <x:c r="V901" s="0"/>
      <x:c r="W901" s="0"/>
      <x:c r="X901" t="str" s="2">
        <x:v>4057617208</x:v>
      </x:c>
      <x:c r="Y901" t="str" s="2">
        <x:v>farran.cheyanne@gmail.com</x:v>
      </x:c>
      <x:c r="Z901" s="6">
        <x:v>46305.74943765046</x:v>
      </x:c>
      <x:c r="AA901" t="str" s="2">
        <x:v>Alejandra Calderon</x:v>
      </x:c>
      <x:c r="AB901" s="6">
        <x:v>46274.84696570602</x:v>
      </x:c>
      <x:c r="AC901" t="n" s="2">
        <x:v>39382</x:v>
      </x:c>
      <x:c r="AD901" s="0"/>
      <x:c r="AE901" s="0"/>
      <x:c r="AF901" s="0"/>
      <x:c r="AG901" s="0"/>
      <x:c r="AH901" s="0"/>
      <x:c r="AI901" s="0"/>
      <x:c r="AJ901" s="0"/>
      <x:c r="AK901" s="0"/>
    </x:row>
    <x:row r="902">
      <x:c r="A902" t="str" s="2">
        <x:f>=HYPERLINK("https://rsms.futurehomex.com/lead/39383", "Dena Ware")</x:f>
      </x:c>
      <x:c r="B902" t="n" s="2">
        <x:v>49</x:v>
      </x:c>
      <x:c r="C902" t="str" s="2">
        <x:v/>
      </x:c>
      <x:c r="D902" t="str" s="2">
        <x:f>=""</x:f>
      </x:c>
      <x:c r="E902" s="0"/>
      <x:c r="F902" t="str" s="2">
        <x:v>Walk-in</x:v>
      </x:c>
      <x:c r="G902" t="str" s="2">
        <x:v>Heritage Housing of Minden</x:v>
      </x:c>
      <x:c r="H902" t="str" s="2">
        <x:v>Patrick Schuchart</x:v>
      </x:c>
      <x:c r="I902" t="str" s="2">
        <x:v>Karol Romero</x:v>
      </x:c>
      <x:c r="J902" t="str" s="2">
        <x:v>Patrick Schuchart</x:v>
      </x:c>
      <x:c r="K902" t="n" s="2">
        <x:v>5</x:v>
      </x:c>
      <x:c r="L902" t="str" s="2">
        <x:v>1.1</x:v>
      </x:c>
      <x:c r="M902" t="str" s="2">
        <x:v>Tentative</x:v>
      </x:c>
      <x:c r="N902" t="str" s="2">
        <x:v>Deal Created</x:v>
      </x:c>
      <x:c r="O902" s="0"/>
      <x:c r="P902" s="6">
        <x:v>46259</x:v>
      </x:c>
      <x:c r="Q902" s="6">
        <x:v>46259.790510729166</x:v>
      </x:c>
      <x:c r="R902" s="0"/>
      <x:c r="S902" s="0"/>
      <x:c r="T902" s="0"/>
      <x:c r="U902" s="0"/>
      <x:c r="V902" s="0"/>
      <x:c r="W902" s="0"/>
      <x:c r="X902" t="str" s="2">
        <x:v>8703105443</x:v>
      </x:c>
      <x:c r="Y902" t="str" s="2">
        <x:v>danalware@icloud.com</x:v>
      </x:c>
      <x:c r="Z902" s="6">
        <x:v>46259.79112554398</x:v>
      </x:c>
      <x:c r="AA902" t="str" s="2">
        <x:v>Patrick Schuchart</x:v>
      </x:c>
      <x:c r="AB902" s="6">
        <x:v>46259.79051234954</x:v>
      </x:c>
      <x:c r="AC902" t="n" s="2">
        <x:v>39383</x:v>
      </x:c>
      <x:c r="AD902" s="0"/>
      <x:c r="AE902" s="0"/>
      <x:c r="AF902" s="0"/>
      <x:c r="AG902" s="0"/>
      <x:c r="AH902" s="0"/>
      <x:c r="AI902" s="0"/>
      <x:c r="AJ902" s="0"/>
      <x:c r="AK902" s="0"/>
    </x:row>
    <x:row r="903">
      <x:c r="A903" t="str" s="2">
        <x:f>=HYPERLINK("https://rsms.futurehomex.com/lead/39384", "Brenda Bolton")</x:f>
      </x:c>
      <x:c r="B903" t="n" s="2">
        <x:v>49</x:v>
      </x:c>
      <x:c r="C903" t="str" s="2">
        <x:v>0/2</x:v>
      </x:c>
      <x:c r="D903" t="str" s="2">
        <x:f>=""</x:f>
      </x:c>
      <x:c r="E903" s="0"/>
      <x:c r="F903" t="str" s="2">
        <x:v>Walk-in</x:v>
      </x:c>
      <x:c r="G903" t="str" s="2">
        <x:v>Heritage Housing of Minden</x:v>
      </x:c>
      <x:c r="H903" t="str" s="2">
        <x:v>Patrick Schuchart</x:v>
      </x:c>
      <x:c r="I903" t="str" s="2">
        <x:v>Karol Romero</x:v>
      </x:c>
      <x:c r="J903" t="str" s="2">
        <x:v>Patrick Schuchart</x:v>
      </x:c>
      <x:c r="K903" t="n" s="2">
        <x:v>5</x:v>
      </x:c>
      <x:c r="L903" t="str" s="2">
        <x:v>1.1</x:v>
      </x:c>
      <x:c r="M903" t="str" s="2">
        <x:v>Tentative</x:v>
      </x:c>
      <x:c r="N903" t="str" s="2">
        <x:v>Deal Created</x:v>
      </x:c>
      <x:c r="O903" s="0"/>
      <x:c r="P903" s="6">
        <x:v>46259</x:v>
      </x:c>
      <x:c r="Q903" s="6">
        <x:v>46275.79364390046</x:v>
      </x:c>
      <x:c r="R903" s="0"/>
      <x:c r="S903" s="0"/>
      <x:c r="T903" s="0"/>
      <x:c r="U903" s="0"/>
      <x:c r="V903" s="0"/>
      <x:c r="W903" s="0"/>
      <x:c r="X903" t="str" s="2">
        <x:v>3187532165</x:v>
      </x:c>
      <x:c r="Y903" t="str" s="2">
        <x:v>brendabolton51@gmail.com</x:v>
      </x:c>
      <x:c r="Z903" s="6">
        <x:v>46295.86654829861</x:v>
      </x:c>
      <x:c r="AA903" t="str" s="2">
        <x:v>Kyla Brown</x:v>
      </x:c>
      <x:c r="AB903" s="6">
        <x:v>46259.79230327546</x:v>
      </x:c>
      <x:c r="AC903" t="n" s="2">
        <x:v>39384</x:v>
      </x:c>
      <x:c r="AD903" s="0"/>
      <x:c r="AE903" s="0"/>
      <x:c r="AF903" s="0"/>
      <x:c r="AG903" s="0"/>
      <x:c r="AH903" s="0"/>
      <x:c r="AI903" s="0"/>
      <x:c r="AJ903" s="0"/>
      <x:c r="AK903" s="0"/>
    </x:row>
    <x:row r="904">
      <x:c r="A904" t="str" s="2">
        <x:f>=HYPERLINK("https://rsms.futurehomex.com/lead/39385", "Luis Maldonado")</x:f>
      </x:c>
      <x:c r="B904" t="n" s="2">
        <x:v>49</x:v>
      </x:c>
      <x:c r="C904" t="str" s="2">
        <x:v/>
      </x:c>
      <x:c r="D904" t="str" s="2">
        <x:f>=""</x:f>
      </x:c>
      <x:c r="E904" s="0"/>
      <x:c r="F904" t="str" s="2">
        <x:v>Financing Form</x:v>
      </x:c>
      <x:c r="G904" t="str" s="2">
        <x:v>Legacy Housing Corp. DBA Americasa</x:v>
      </x:c>
      <x:c r="H904" t="str" s="2">
        <x:v>Jose Parada</x:v>
      </x:c>
      <x:c r="I904" t="str" s="2">
        <x:v>Karol Romero</x:v>
      </x:c>
      <x:c r="J904" s="0"/>
      <x:c r="K904" t="n" s="2">
        <x:v>5</x:v>
      </x:c>
      <x:c r="L904" t="str" s="2">
        <x:v>1.1</x:v>
      </x:c>
      <x:c r="M904" t="str" s="2">
        <x:v>Tentative</x:v>
      </x:c>
      <x:c r="N904" t="str" s="2">
        <x:v>Prospect</x:v>
      </x:c>
      <x:c r="O904" s="0"/>
      <x:c r="P904" s="6">
        <x:v>46259</x:v>
      </x:c>
      <x:c r="Q904" s="6">
        <x:v>46259.79287815972</x:v>
      </x:c>
      <x:c r="R904" s="0"/>
      <x:c r="S904" s="0"/>
      <x:c r="T904" s="0"/>
      <x:c r="U904" s="0"/>
      <x:c r="V904" s="0"/>
      <x:c r="W904" s="0"/>
      <x:c r="X904" t="str" s="2">
        <x:v>9363715124</x:v>
      </x:c>
      <x:c r="Y904" t="str" s="2">
        <x:v>luisg13maldonado@gmail.com</x:v>
      </x:c>
      <x:c r="Z904" s="0"/>
      <x:c r="AA904" s="0"/>
      <x:c r="AB904" s="6">
        <x:v>46259.792879050925</x:v>
      </x:c>
      <x:c r="AC904" t="n" s="2">
        <x:v>39385</x:v>
      </x:c>
      <x:c r="AD904" s="0"/>
      <x:c r="AE904" s="0"/>
      <x:c r="AF904" s="0"/>
      <x:c r="AG904" s="0"/>
      <x:c r="AH904" s="0"/>
      <x:c r="AI904" s="0"/>
      <x:c r="AJ904" s="0"/>
      <x:c r="AK904" s="0"/>
    </x:row>
    <x:row r="905">
      <x:c r="A905" t="str" s="2">
        <x:f>=HYPERLINK("https://rsms.futurehomex.com/lead/39386", "Anitra Pete Alexander")</x:f>
      </x:c>
      <x:c r="B905" t="n" s="2">
        <x:v>49</x:v>
      </x:c>
      <x:c r="C905" t="str" s="2">
        <x:v/>
      </x:c>
      <x:c r="D905" t="str" s="2">
        <x:f>="#2  RSO, CASH"</x:f>
      </x:c>
      <x:c r="E905" s="0"/>
      <x:c r="F905" t="str" s="2">
        <x:v>Office Hot Calls</x:v>
      </x:c>
      <x:c r="G905" t="str" s="2">
        <x:v>Heritage Housing of Jennings</x:v>
      </x:c>
      <x:c r="H905" t="str" s="2">
        <x:v>Mervin Leslie Smith</x:v>
      </x:c>
      <x:c r="I905" s="0"/>
      <x:c r="J905" s="0"/>
      <x:c r="K905" t="n" s="2">
        <x:v>53</x:v>
      </x:c>
      <x:c r="L905" t="str" s="2">
        <x:v>4.1</x:v>
      </x:c>
      <x:c r="M905" t="str" s="2">
        <x:v>Active</x:v>
      </x:c>
      <x:c r="N905" t="str" s="2">
        <x:v>Loan Approved</x:v>
      </x:c>
      <x:c r="O905" s="6">
        <x:v>46320</x:v>
      </x:c>
      <x:c r="P905" s="6">
        <x:v>46259</x:v>
      </x:c>
      <x:c r="Q905" s="6">
        <x:v>46267.60898518519</x:v>
      </x:c>
      <x:c r="R905" s="0"/>
      <x:c r="S905" s="6">
        <x:v>46259</x:v>
      </x:c>
      <x:c r="T905" s="0"/>
      <x:c r="U905" s="6">
        <x:v>46265</x:v>
      </x:c>
      <x:c r="V905" s="0"/>
      <x:c r="W905" s="0"/>
      <x:c r="X905" t="str" s="2">
        <x:v>3373293641</x:v>
      </x:c>
      <x:c r="Y905" t="str" s="2">
        <x:v>anitrapete1974@gmail.com</x:v>
      </x:c>
      <x:c r="Z905" s="6">
        <x:v>46286.639233912036</x:v>
      </x:c>
      <x:c r="AA905" t="str" s="2">
        <x:v>Tina Dallas</x:v>
      </x:c>
      <x:c r="AB905" s="6">
        <x:v>46259.81022554398</x:v>
      </x:c>
      <x:c r="AC905" t="n" s="2">
        <x:v>39386</x:v>
      </x:c>
      <x:c r="AD905" s="0"/>
      <x:c r="AE905" s="0"/>
      <x:c r="AF905" s="0"/>
      <x:c r="AG905" s="7">
        <x:v>5</x:v>
      </x:c>
      <x:c r="AH905" s="0"/>
      <x:c r="AI905" s="0"/>
      <x:c r="AJ905" s="0"/>
      <x:c r="AK905" s="0"/>
    </x:row>
    <x:row r="906">
      <x:c r="A906" t="str" s="2">
        <x:f>=HYPERLINK("https://rsms.futurehomex.com/lead/39387", "Katriana Baty")</x:f>
      </x:c>
      <x:c r="B906" t="n" s="2">
        <x:v>49</x:v>
      </x:c>
      <x:c r="C906" t="str" s="2">
        <x:v>0/5</x:v>
      </x:c>
      <x:c r="D906" t="str" s="2">
        <x:f>=""</x:f>
      </x:c>
      <x:c r="E906" s="0"/>
      <x:c r="F906" t="str" s="2">
        <x:v>Landing_BPM</x:v>
      </x:c>
      <x:c r="G906" t="str" s="2">
        <x:v>Heritage Housing of Oklahoma City</x:v>
      </x:c>
      <x:c r="H906" t="str" s="2">
        <x:v>Steve Castell</x:v>
      </x:c>
      <x:c r="I906" s="0"/>
      <x:c r="J906" t="str" s="2">
        <x:v>Richard Bell</x:v>
      </x:c>
      <x:c r="K906" t="n" s="2">
        <x:v>5</x:v>
      </x:c>
      <x:c r="L906" t="str" s="2">
        <x:v>1.1</x:v>
      </x:c>
      <x:c r="M906" t="str" s="2">
        <x:v>Inactive</x:v>
      </x:c>
      <x:c r="N906" t="str" s="2">
        <x:v>Deal Created</x:v>
      </x:c>
      <x:c r="O906" s="0"/>
      <x:c r="P906" s="6">
        <x:v>46259</x:v>
      </x:c>
      <x:c r="Q906" s="6">
        <x:v>46259.838398113425</x:v>
      </x:c>
      <x:c r="R906" s="0"/>
      <x:c r="S906" s="0"/>
      <x:c r="T906" s="0"/>
      <x:c r="U906" s="0"/>
      <x:c r="V906" s="0"/>
      <x:c r="W906" s="0"/>
      <x:c r="X906" t="str" s="2">
        <x:v>4056762392</x:v>
      </x:c>
      <x:c r="Y906" t="str" s="2">
        <x:v>here.now4tomorrow@gmail.com</x:v>
      </x:c>
      <x:c r="Z906" s="6">
        <x:v>46291.04663333333</x:v>
      </x:c>
      <x:c r="AA906" t="str" s="2">
        <x:v>Steve Castell</x:v>
      </x:c>
      <x:c r="AB906" s="6">
        <x:v>46259.838398645836</x:v>
      </x:c>
      <x:c r="AC906" t="n" s="2">
        <x:v>39387</x:v>
      </x:c>
      <x:c r="AD906" s="0"/>
      <x:c r="AE906" s="0"/>
      <x:c r="AF906" s="0"/>
      <x:c r="AG906" s="0"/>
      <x:c r="AH906" s="0"/>
      <x:c r="AI906" s="0"/>
      <x:c r="AJ906" s="0"/>
      <x:c r="AK906" s="0"/>
    </x:row>
    <x:row r="907">
      <x:c r="A907" t="str" s="2">
        <x:f>=HYPERLINK("https://rsms.futurehomex.com/lead/39388", "Robert Felder")</x:f>
      </x:c>
      <x:c r="B907" t="n" s="2">
        <x:v>49</x:v>
      </x:c>
      <x:c r="C907" t="str" s="2">
        <x:v>0/1</x:v>
      </x:c>
      <x:c r="D907" t="str" s="2">
        <x:f>=""</x:f>
      </x:c>
      <x:c r="E907" s="0"/>
      <x:c r="F907" t="str" s="2">
        <x:v>Landing_BPM</x:v>
      </x:c>
      <x:c r="G907" t="str" s="2">
        <x:v>Legacy Housing Corp. DBA Americasa</x:v>
      </x:c>
      <x:c r="H907" t="str" s="2">
        <x:v>Joey Marquez</x:v>
      </x:c>
      <x:c r="I907" t="str" s="2">
        <x:v>Karol Romero</x:v>
      </x:c>
      <x:c r="J907" s="0"/>
      <x:c r="K907" t="n" s="2">
        <x:v>5</x:v>
      </x:c>
      <x:c r="L907" t="str" s="2">
        <x:v>1.1</x:v>
      </x:c>
      <x:c r="M907" t="str" s="2">
        <x:v>Tentative</x:v>
      </x:c>
      <x:c r="N907" t="str" s="2">
        <x:v>Prospect</x:v>
      </x:c>
      <x:c r="O907" s="0"/>
      <x:c r="P907" s="6">
        <x:v>46259</x:v>
      </x:c>
      <x:c r="Q907" s="6">
        <x:v>46259.84092589121</x:v>
      </x:c>
      <x:c r="R907" s="0"/>
      <x:c r="S907" s="0"/>
      <x:c r="T907" s="0"/>
      <x:c r="U907" s="0"/>
      <x:c r="V907" s="0"/>
      <x:c r="W907" s="0"/>
      <x:c r="X907" t="str" s="2">
        <x:v>3468689014</x:v>
      </x:c>
      <x:c r="Y907" t="str" s="2">
        <x:v>robertfelder56@yahoo.com</x:v>
      </x:c>
      <x:c r="Z907" s="6">
        <x:v>46259.87365219907</x:v>
      </x:c>
      <x:c r="AA907" t="str" s="2">
        <x:v>Jose Parada</x:v>
      </x:c>
      <x:c r="AB907" s="6">
        <x:v>46259.84092704861</x:v>
      </x:c>
      <x:c r="AC907" t="n" s="2">
        <x:v>39388</x:v>
      </x:c>
      <x:c r="AD907" s="0"/>
      <x:c r="AE907" s="0"/>
      <x:c r="AF907" s="0"/>
      <x:c r="AG907" s="0"/>
      <x:c r="AH907" s="0"/>
      <x:c r="AI907" s="0"/>
      <x:c r="AJ907" s="0"/>
      <x:c r="AK907" s="0"/>
    </x:row>
    <x:row r="908">
      <x:c r="A908" t="str" s="2">
        <x:f>=HYPERLINK("https://rsms.futurehomex.com/lead/39389", "Juan Garcia")</x:f>
      </x:c>
      <x:c r="B908" t="n" s="2">
        <x:v>49</x:v>
      </x:c>
      <x:c r="C908" t="str" s="2">
        <x:v/>
      </x:c>
      <x:c r="D908" t="str" s="2">
        <x:f>=""</x:f>
      </x:c>
      <x:c r="E908" s="0"/>
      <x:c r="F908" t="str" s="2">
        <x:v>Meta Ads - Forms</x:v>
      </x:c>
      <x:c r="G908" t="str" s="2">
        <x:v>Heritage Housing of Greenville</x:v>
      </x:c>
      <x:c r="H908" t="str" s="2">
        <x:v>Brooklynn Allen</x:v>
      </x:c>
      <x:c r="I908" s="0"/>
      <x:c r="J908" t="str" s="2">
        <x:v>Brooklynn Allen</x:v>
      </x:c>
      <x:c r="K908" t="n" s="2">
        <x:v>5</x:v>
      </x:c>
      <x:c r="L908" t="str" s="2">
        <x:v>1.1</x:v>
      </x:c>
      <x:c r="M908" t="str" s="2">
        <x:v>Active</x:v>
      </x:c>
      <x:c r="N908" t="str" s="2">
        <x:v>Deal Created</x:v>
      </x:c>
      <x:c r="O908" s="0"/>
      <x:c r="P908" s="6">
        <x:v>46259</x:v>
      </x:c>
      <x:c r="Q908" s="6">
        <x:v>46259.84849042824</x:v>
      </x:c>
      <x:c r="R908" s="0"/>
      <x:c r="S908" s="6">
        <x:v>46259</x:v>
      </x:c>
      <x:c r="T908" s="0"/>
      <x:c r="U908" s="0"/>
      <x:c r="V908" s="0"/>
      <x:c r="W908" s="0"/>
      <x:c r="X908" t="str" s="2">
        <x:v>4699295560</x:v>
      </x:c>
      <x:c r="Y908" t="str" s="2">
        <x:v>texgamc@yahoo.com</x:v>
      </x:c>
      <x:c r="Z908" s="6">
        <x:v>46259.85019070602</x:v>
      </x:c>
      <x:c r="AA908" t="str" s="2">
        <x:v>Brooklynn Allen</x:v>
      </x:c>
      <x:c r="AB908" s="6">
        <x:v>46259.84849174768</x:v>
      </x:c>
      <x:c r="AC908" t="n" s="2">
        <x:v>39389</x:v>
      </x:c>
      <x:c r="AD908" s="0"/>
      <x:c r="AE908" s="0"/>
      <x:c r="AF908" s="0"/>
      <x:c r="AG908" s="0"/>
      <x:c r="AH908" s="0"/>
      <x:c r="AI908" s="0"/>
      <x:c r="AJ908" s="0"/>
      <x:c r="AK908" s="0"/>
    </x:row>
    <x:row r="909">
      <x:c r="A909" t="str" s="2">
        <x:f>=HYPERLINK("https://rsms.futurehomex.com/lead/39391", "Betsy Quiroz")</x:f>
      </x:c>
      <x:c r="B909" t="n" s="2">
        <x:v>49</x:v>
      </x:c>
      <x:c r="C909" t="str" s="2">
        <x:v/>
      </x:c>
      <x:c r="D909" t="str" s="2">
        <x:f>=""</x:f>
      </x:c>
      <x:c r="E909" s="0"/>
      <x:c r="F909" t="str" s="2">
        <x:v>Facebook Messenger</x:v>
      </x:c>
      <x:c r="G909" t="str" s="2">
        <x:v>Heritage Housing of Asheboro</x:v>
      </x:c>
      <x:c r="H909" t="str" s="2">
        <x:v>Maria Lopez</x:v>
      </x:c>
      <x:c r="I909" s="0"/>
      <x:c r="J909" s="0"/>
      <x:c r="K909" t="n" s="2">
        <x:v>21</x:v>
      </x:c>
      <x:c r="L909" t="str" s="2">
        <x:v>2.1</x:v>
      </x:c>
      <x:c r="M909" t="str" s="2">
        <x:v>Tentative</x:v>
      </x:c>
      <x:c r="N909" t="str" s="2">
        <x:v>Qualified</x:v>
      </x:c>
      <x:c r="O909" s="0"/>
      <x:c r="P909" s="6">
        <x:v>46259</x:v>
      </x:c>
      <x:c r="Q909" s="6">
        <x:v>46262.67521408565</x:v>
      </x:c>
      <x:c r="R909" s="0"/>
      <x:c r="S909" s="0"/>
      <x:c r="T909" s="0"/>
      <x:c r="U909" s="0"/>
      <x:c r="V909" s="0"/>
      <x:c r="W909" s="0"/>
      <x:c r="X909" t="str" s="2">
        <x:v>3364054238</x:v>
      </x:c>
      <x:c r="Y909" t="str" s="2">
        <x:v>betsabe.quiroz127@gmail.com</x:v>
      </x:c>
      <x:c r="Z909" s="6">
        <x:v>46262.67520181713</x:v>
      </x:c>
      <x:c r="AA909" t="str" s="2">
        <x:v>Jeremy Jacques</x:v>
      </x:c>
      <x:c r="AB909" s="6">
        <x:v>46259.882499768515</x:v>
      </x:c>
      <x:c r="AC909" t="n" s="2">
        <x:v>39391</x:v>
      </x:c>
      <x:c r="AD909" s="0"/>
      <x:c r="AE909" s="0"/>
      <x:c r="AF909" s="0"/>
      <x:c r="AG909" s="0"/>
      <x:c r="AH909" s="0"/>
      <x:c r="AI909" s="0"/>
      <x:c r="AJ909" s="0"/>
      <x:c r="AK909" s="0"/>
    </x:row>
    <x:row r="910">
      <x:c r="A910" t="str" s="2">
        <x:f>=HYPERLINK("https://rsms.futurehomex.com/lead/39392", "Nick Martin")</x:f>
      </x:c>
      <x:c r="B910" t="n" s="2">
        <x:v>49</x:v>
      </x:c>
      <x:c r="C910" t="str" s="2">
        <x:v>0/2</x:v>
      </x:c>
      <x:c r="D910" t="str" s="2">
        <x:f>=""</x:f>
      </x:c>
      <x:c r="E910" s="0"/>
      <x:c r="F910" t="str" s="2">
        <x:v>Facebook Messenger</x:v>
      </x:c>
      <x:c r="G910" t="str" s="2">
        <x:v>Heritage Housing of Oklahoma City</x:v>
      </x:c>
      <x:c r="H910" t="str" s="2">
        <x:v>Steve Castell</x:v>
      </x:c>
      <x:c r="I910" s="0"/>
      <x:c r="J910" t="str" s="2">
        <x:v>Steve Castell</x:v>
      </x:c>
      <x:c r="K910" t="n" s="2">
        <x:v>5</x:v>
      </x:c>
      <x:c r="L910" t="str" s="2">
        <x:v>1.1</x:v>
      </x:c>
      <x:c r="M910" t="str" s="2">
        <x:v>Inactive</x:v>
      </x:c>
      <x:c r="N910" t="str" s="2">
        <x:v>Deal Created</x:v>
      </x:c>
      <x:c r="O910" s="0"/>
      <x:c r="P910" s="6">
        <x:v>46259</x:v>
      </x:c>
      <x:c r="Q910" s="6">
        <x:v>46259.91477121528</x:v>
      </x:c>
      <x:c r="R910" s="0"/>
      <x:c r="S910" s="0"/>
      <x:c r="T910" s="0"/>
      <x:c r="U910" s="0"/>
      <x:c r="V910" s="0"/>
      <x:c r="W910" s="0"/>
      <x:c r="X910" t="str" s="2">
        <x:v>4058730891</x:v>
      </x:c>
      <x:c r="Y910" t="str" s="2">
        <x:v>4058730891</x:v>
      </x:c>
      <x:c r="Z910" s="6">
        <x:v>46274.03861802083</x:v>
      </x:c>
      <x:c r="AA910" t="str" s="2">
        <x:v>Steve Castell</x:v>
      </x:c>
      <x:c r="AB910" s="6">
        <x:v>46259.914772951386</x:v>
      </x:c>
      <x:c r="AC910" t="n" s="2">
        <x:v>39392</x:v>
      </x:c>
      <x:c r="AD910" s="0"/>
      <x:c r="AE910" s="0"/>
      <x:c r="AF910" s="0"/>
      <x:c r="AG910" s="0"/>
      <x:c r="AH910" s="0"/>
      <x:c r="AI910" s="0"/>
      <x:c r="AJ910" s="0"/>
      <x:c r="AK910" s="0"/>
    </x:row>
    <x:row r="911">
      <x:c r="A911" t="str" s="2">
        <x:f>=HYPERLINK("https://rsms.futurehomex.com/lead/39393", "Jaxon Maness")</x:f>
      </x:c>
      <x:c r="B911" t="n" s="2">
        <x:v>49</x:v>
      </x:c>
      <x:c r="C911" t="str" s="2">
        <x:v/>
      </x:c>
      <x:c r="D911" t="str" s="2">
        <x:f>=""</x:f>
      </x:c>
      <x:c r="E911" s="0"/>
      <x:c r="F911" t="str" s="2">
        <x:v>Walk-in</x:v>
      </x:c>
      <x:c r="G911" t="str" s="2">
        <x:v>Heritage Housing of Asheboro</x:v>
      </x:c>
      <x:c r="H911" t="str" s="2">
        <x:v>Maria Lopez</x:v>
      </x:c>
      <x:c r="I911" s="0"/>
      <x:c r="J911" s="0"/>
      <x:c r="K911" t="n" s="2">
        <x:v>21</x:v>
      </x:c>
      <x:c r="L911" t="str" s="2">
        <x:v>2.1</x:v>
      </x:c>
      <x:c r="M911" t="str" s="2">
        <x:v>Tentative</x:v>
      </x:c>
      <x:c r="N911" t="str" s="2">
        <x:v>Qualified</x:v>
      </x:c>
      <x:c r="O911" s="0"/>
      <x:c r="P911" s="6">
        <x:v>46259</x:v>
      </x:c>
      <x:c r="Q911" s="6">
        <x:v>46262.67493619213</x:v>
      </x:c>
      <x:c r="R911" s="0"/>
      <x:c r="S911" s="0"/>
      <x:c r="T911" s="0"/>
      <x:c r="U911" s="0"/>
      <x:c r="V911" s="0"/>
      <x:c r="W911" s="0"/>
      <x:c r="X911" t="str" s="2">
        <x:v>3364605399</x:v>
      </x:c>
      <x:c r="Y911" t="str" s="2">
        <x:v>jaxonmaness219@yahoo.com</x:v>
      </x:c>
      <x:c r="Z911" s="6">
        <x:v>46262.67492311342</x:v>
      </x:c>
      <x:c r="AA911" t="str" s="2">
        <x:v>Jeremy Jacques</x:v>
      </x:c>
      <x:c r="AB911" s="6">
        <x:v>46259.966107754626</x:v>
      </x:c>
      <x:c r="AC911" t="n" s="2">
        <x:v>39393</x:v>
      </x:c>
      <x:c r="AD911" s="0"/>
      <x:c r="AE911" s="0"/>
      <x:c r="AF911" s="0"/>
      <x:c r="AG911" s="0"/>
      <x:c r="AH911" s="0"/>
      <x:c r="AI911" s="0"/>
      <x:c r="AJ911" s="0"/>
      <x:c r="AK911" s="0"/>
    </x:row>
    <x:row r="912">
      <x:c r="A912" t="str" s="2">
        <x:f>=HYPERLINK("https://rsms.futurehomex.com/lead/39394", "Michaela McIntyre")</x:f>
      </x:c>
      <x:c r="B912" t="n" s="2">
        <x:v>49</x:v>
      </x:c>
      <x:c r="C912" t="str" s="2">
        <x:v/>
      </x:c>
      <x:c r="D912" t="str" s="2">
        <x:f>=""</x:f>
      </x:c>
      <x:c r="E912" s="0"/>
      <x:c r="F912" t="str" s="2">
        <x:v>Walk-in</x:v>
      </x:c>
      <x:c r="G912" t="str" s="2">
        <x:v>Heritage Housing of Asheboro</x:v>
      </x:c>
      <x:c r="H912" t="str" s="2">
        <x:v>Maria Lopez</x:v>
      </x:c>
      <x:c r="I912" s="0"/>
      <x:c r="J912" s="0"/>
      <x:c r="K912" t="n" s="2">
        <x:v>21</x:v>
      </x:c>
      <x:c r="L912" t="str" s="2">
        <x:v>2.1</x:v>
      </x:c>
      <x:c r="M912" t="str" s="2">
        <x:v>Tentative</x:v>
      </x:c>
      <x:c r="N912" t="str" s="2">
        <x:v>Qualified</x:v>
      </x:c>
      <x:c r="O912" s="0"/>
      <x:c r="P912" s="6">
        <x:v>46259</x:v>
      </x:c>
      <x:c r="Q912" s="6">
        <x:v>46262.67899320602</x:v>
      </x:c>
      <x:c r="R912" s="0"/>
      <x:c r="S912" s="0"/>
      <x:c r="T912" s="0"/>
      <x:c r="U912" s="0"/>
      <x:c r="V912" s="0"/>
      <x:c r="W912" s="0"/>
      <x:c r="X912" t="str" s="2">
        <x:v>3369635073</x:v>
      </x:c>
      <x:c r="Y912" t="str" s="2">
        <x:v>michaelacm27@gmail.com</x:v>
      </x:c>
      <x:c r="Z912" s="6">
        <x:v>46262.678980439814</x:v>
      </x:c>
      <x:c r="AA912" t="str" s="2">
        <x:v>Jeremy Jacques</x:v>
      </x:c>
      <x:c r="AB912" s="6">
        <x:v>46259.966206516205</x:v>
      </x:c>
      <x:c r="AC912" t="n" s="2">
        <x:v>39394</x:v>
      </x:c>
      <x:c r="AD912" s="0"/>
      <x:c r="AE912" s="0"/>
      <x:c r="AF912" s="0"/>
      <x:c r="AG912" s="0"/>
      <x:c r="AH912" s="0"/>
      <x:c r="AI912" s="0"/>
      <x:c r="AJ912" s="0"/>
      <x:c r="AK912" s="0"/>
    </x:row>
    <x:row r="913">
      <x:c r="A913" t="str" s="2">
        <x:f>=HYPERLINK("https://rsms.futurehomex.com/lead/39395", "Christy Ivey")</x:f>
      </x:c>
      <x:c r="B913" t="n" s="2">
        <x:v>48</x:v>
      </x:c>
      <x:c r="C913" t="str" s="2">
        <x:v>0/3</x:v>
      </x:c>
      <x:c r="D913" t="str" s="2">
        <x:f>=""</x:f>
      </x:c>
      <x:c r="E913" s="0"/>
      <x:c r="F913" t="str" s="2">
        <x:v>Landing_BPM</x:v>
      </x:c>
      <x:c r="G913" t="str" s="2">
        <x:v>Heritage Housing of Oklahoma City</x:v>
      </x:c>
      <x:c r="H913" t="str" s="2">
        <x:v>Trey Rixleben</x:v>
      </x:c>
      <x:c r="I913" s="0"/>
      <x:c r="J913" t="str" s="2">
        <x:v>Richard Bell</x:v>
      </x:c>
      <x:c r="K913" t="n" s="2">
        <x:v>5</x:v>
      </x:c>
      <x:c r="L913" t="str" s="2">
        <x:v>1.1</x:v>
      </x:c>
      <x:c r="M913" t="str" s="2">
        <x:v>Dead</x:v>
      </x:c>
      <x:c r="N913" t="str" s="2">
        <x:v>Deal Created</x:v>
      </x:c>
      <x:c r="O913" s="0"/>
      <x:c r="P913" s="6">
        <x:v>46260</x:v>
      </x:c>
      <x:c r="Q913" s="6">
        <x:v>46260.62551238426</x:v>
      </x:c>
      <x:c r="R913" s="0"/>
      <x:c r="S913" s="0"/>
      <x:c r="T913" s="0"/>
      <x:c r="U913" s="0"/>
      <x:c r="V913" s="0"/>
      <x:c r="W913" s="0"/>
      <x:c r="X913" t="str" s="2">
        <x:v>9186161633</x:v>
      </x:c>
      <x:c r="Y913" t="str" s="2">
        <x:v>christyivey33@gmail.com</x:v>
      </x:c>
      <x:c r="Z913" s="6">
        <x:v>46265.73724533565</x:v>
      </x:c>
      <x:c r="AA913" t="str" s="2">
        <x:v>Richard Bell</x:v>
      </x:c>
      <x:c r="AB913" s="6">
        <x:v>46260.62551435185</x:v>
      </x:c>
      <x:c r="AC913" t="n" s="2">
        <x:v>39395</x:v>
      </x:c>
      <x:c r="AD913" s="0"/>
      <x:c r="AE913" s="0"/>
      <x:c r="AF913" s="0"/>
      <x:c r="AG913" s="0"/>
      <x:c r="AH913" s="0"/>
      <x:c r="AI913" s="0"/>
      <x:c r="AJ913" s="0"/>
      <x:c r="AK913" s="0"/>
    </x:row>
    <x:row r="914">
      <x:c r="A914" t="str" s="2">
        <x:f>=HYPERLINK("https://rsms.futurehomex.com/lead/39396", "Jason Mcneal")</x:f>
      </x:c>
      <x:c r="B914" t="n" s="2">
        <x:v>48</x:v>
      </x:c>
      <x:c r="C914" t="str" s="2">
        <x:v>1/1</x:v>
      </x:c>
      <x:c r="D914" t="str" s="2">
        <x:f>=""</x:f>
      </x:c>
      <x:c r="E914" s="0"/>
      <x:c r="F914" t="str" s="2">
        <x:v>Landing_BPM</x:v>
      </x:c>
      <x:c r="G914" t="str" s="2">
        <x:v>Heritage Housing of Oklahoma City</x:v>
      </x:c>
      <x:c r="H914" t="str" s="2">
        <x:v>Trey Rixleben</x:v>
      </x:c>
      <x:c r="I914" s="0"/>
      <x:c r="J914" t="str" s="2">
        <x:v>Trey Rixleben</x:v>
      </x:c>
      <x:c r="K914" t="n" s="2">
        <x:v>5</x:v>
      </x:c>
      <x:c r="L914" t="str" s="2">
        <x:v>1.1</x:v>
      </x:c>
      <x:c r="M914" t="str" s="2">
        <x:v>Tentative</x:v>
      </x:c>
      <x:c r="N914" t="str" s="2">
        <x:v>Deal Created</x:v>
      </x:c>
      <x:c r="O914" s="0"/>
      <x:c r="P914" s="6">
        <x:v>46260</x:v>
      </x:c>
      <x:c r="Q914" s="6">
        <x:v>46291.79728611111</x:v>
      </x:c>
      <x:c r="R914" s="0"/>
      <x:c r="S914" s="0"/>
      <x:c r="T914" s="0"/>
      <x:c r="U914" s="0"/>
      <x:c r="V914" s="0"/>
      <x:c r="W914" s="0"/>
      <x:c r="X914" t="str" s="2">
        <x:v>3602615150</x:v>
      </x:c>
      <x:c r="Y914" t="str" s="2">
        <x:v>mcneal_jason@yahoo.com</x:v>
      </x:c>
      <x:c r="Z914" s="6">
        <x:v>46291.79801431713</x:v>
      </x:c>
      <x:c r="AA914" t="str" s="2">
        <x:v>Trey Rixleben</x:v>
      </x:c>
      <x:c r="AB914" s="6">
        <x:v>46260.63456628472</x:v>
      </x:c>
      <x:c r="AC914" t="n" s="2">
        <x:v>39396</x:v>
      </x:c>
      <x:c r="AD914" s="0"/>
      <x:c r="AE914" s="0"/>
      <x:c r="AF914" s="0"/>
      <x:c r="AG914" s="0"/>
      <x:c r="AH914" s="0"/>
      <x:c r="AI914" s="0"/>
      <x:c r="AJ914" s="0"/>
      <x:c r="AK914" s="0"/>
    </x:row>
    <x:row r="915">
      <x:c r="A915" t="str" s="2">
        <x:f>=HYPERLINK("https://rsms.futurehomex.com/lead/39397", "Brenda Walker")</x:f>
      </x:c>
      <x:c r="B915" t="n" s="2">
        <x:v>48</x:v>
      </x:c>
      <x:c r="C915" t="str" s="2">
        <x:v/>
      </x:c>
      <x:c r="D915" t="str" s="2">
        <x:f>=""</x:f>
      </x:c>
      <x:c r="E915" s="0"/>
      <x:c r="F915" t="str" s="2">
        <x:v>Other</x:v>
      </x:c>
      <x:c r="G915" t="str" s="2">
        <x:v>Heritage Housing Gainesville</x:v>
      </x:c>
      <x:c r="H915" t="str" s="2">
        <x:v>Kelly Ford</x:v>
      </x:c>
      <x:c r="I915" s="0"/>
      <x:c r="J915" t="str" s="2">
        <x:v>Kelly Ford</x:v>
      </x:c>
      <x:c r="K915" t="n" s="2">
        <x:v>38</x:v>
      </x:c>
      <x:c r="L915" t="str" s="2">
        <x:v>3.2</x:v>
      </x:c>
      <x:c r="M915" t="str" s="2">
        <x:v>Tentative</x:v>
      </x:c>
      <x:c r="N915" t="str" s="2">
        <x:v>Application</x:v>
      </x:c>
      <x:c r="O915" s="0"/>
      <x:c r="P915" s="6">
        <x:v>46260</x:v>
      </x:c>
      <x:c r="Q915" s="6">
        <x:v>46260.66983938657</x:v>
      </x:c>
      <x:c r="R915" s="0"/>
      <x:c r="S915" s="6">
        <x:v>46259</x:v>
      </x:c>
      <x:c r="T915" s="0"/>
      <x:c r="U915" s="0"/>
      <x:c r="V915" s="0"/>
      <x:c r="W915" s="0"/>
      <x:c r="X915" t="str" s="2">
        <x:v>8173470234</x:v>
      </x:c>
      <x:c r="Y915" t="str" s="2">
        <x:v>Txbwalker@gmail.com</x:v>
      </x:c>
      <x:c r="Z915" s="6">
        <x:v>46260.664210219904</x:v>
      </x:c>
      <x:c r="AA915" t="str" s="2">
        <x:v>John Schwichtenberg</x:v>
      </x:c>
      <x:c r="AB915" s="6">
        <x:v>46296.69458221065</x:v>
      </x:c>
      <x:c r="AC915" t="n" s="2">
        <x:v>39397</x:v>
      </x:c>
      <x:c r="AD915" s="0"/>
      <x:c r="AE915" s="0"/>
      <x:c r="AF915" s="0"/>
      <x:c r="AG915" s="0"/>
      <x:c r="AH915" s="0"/>
      <x:c r="AI915" s="0"/>
      <x:c r="AJ915" s="0"/>
      <x:c r="AK915" s="0"/>
    </x:row>
    <x:row r="916">
      <x:c r="A916" t="str" s="2">
        <x:f>=HYPERLINK("https://rsms.futurehomex.com/lead/39398", "Lori Mayfield")</x:f>
      </x:c>
      <x:c r="B916" t="n" s="2">
        <x:v>48</x:v>
      </x:c>
      <x:c r="C916" t="str" s="2">
        <x:v>1/1</x:v>
      </x:c>
      <x:c r="D916" t="str" s="2">
        <x:f>=""</x:f>
      </x:c>
      <x:c r="E916" s="0"/>
      <x:c r="F916" t="str" s="2">
        <x:v>Landing_BPM</x:v>
      </x:c>
      <x:c r="G916" t="str" s="2">
        <x:v>Heritage Housing of Oklahoma City</x:v>
      </x:c>
      <x:c r="H916" t="str" s="2">
        <x:v>Trey Rixleben</x:v>
      </x:c>
      <x:c r="I916" s="0"/>
      <x:c r="J916" t="str" s="2">
        <x:v>Trey Rixleben</x:v>
      </x:c>
      <x:c r="K916" t="n" s="2">
        <x:v>5</x:v>
      </x:c>
      <x:c r="L916" t="str" s="2">
        <x:v>1.1</x:v>
      </x:c>
      <x:c r="M916" t="str" s="2">
        <x:v>Tentative</x:v>
      </x:c>
      <x:c r="N916" t="str" s="2">
        <x:v>Deal Created</x:v>
      </x:c>
      <x:c r="O916" s="0"/>
      <x:c r="P916" s="6">
        <x:v>46260</x:v>
      </x:c>
      <x:c r="Q916" s="6">
        <x:v>46296.70801894676</x:v>
      </x:c>
      <x:c r="R916" s="0"/>
      <x:c r="S916" s="0"/>
      <x:c r="T916" s="0"/>
      <x:c r="U916" s="0"/>
      <x:c r="V916" s="0"/>
      <x:c r="W916" s="0"/>
      <x:c r="X916" t="str" s="2">
        <x:v>3163650513</x:v>
      </x:c>
      <x:c r="Y916" t="str" s="2">
        <x:v>ujglmm13@gmail.com</x:v>
      </x:c>
      <x:c r="Z916" s="6">
        <x:v>46296.71386701389</x:v>
      </x:c>
      <x:c r="AA916" t="str" s="2">
        <x:v>Trey Rixleben</x:v>
      </x:c>
      <x:c r="AB916" s="6">
        <x:v>46260.65770628472</x:v>
      </x:c>
      <x:c r="AC916" t="n" s="2">
        <x:v>39398</x:v>
      </x:c>
      <x:c r="AD916" s="0"/>
      <x:c r="AE916" s="0"/>
      <x:c r="AF916" s="0"/>
      <x:c r="AG916" s="0"/>
      <x:c r="AH916" s="0"/>
      <x:c r="AI916" s="0"/>
      <x:c r="AJ916" s="0"/>
      <x:c r="AK916" s="0"/>
    </x:row>
    <x:row r="917">
      <x:c r="A917" t="str" s="2">
        <x:f>=HYPERLINK("https://rsms.futurehomex.com/lead/39399", "Daniel Mendez")</x:f>
      </x:c>
      <x:c r="B917" t="n" s="2">
        <x:v>48</x:v>
      </x:c>
      <x:c r="C917" t="str" s="2">
        <x:v>0/1</x:v>
      </x:c>
      <x:c r="D917" t="str" s="2">
        <x:f>=""</x:f>
      </x:c>
      <x:c r="E917" t="str" s="2">
        <x:v>Nancy Ranchero</x:v>
      </x:c>
      <x:c r="F917" t="str" s="2">
        <x:v>Facebook Messenger</x:v>
      </x:c>
      <x:c r="G917" t="str" s="2">
        <x:v>Legacy Housing Corp. DBA Americasa</x:v>
      </x:c>
      <x:c r="H917" t="str" s="2">
        <x:v>Jose Parada</x:v>
      </x:c>
      <x:c r="I917" t="str" s="2">
        <x:v>Karol Romero</x:v>
      </x:c>
      <x:c r="J917" t="str" s="2">
        <x:v>Rodrigo Ramirez</x:v>
      </x:c>
      <x:c r="K917" t="n" s="2">
        <x:v>5</x:v>
      </x:c>
      <x:c r="L917" t="str" s="2">
        <x:v>1.1</x:v>
      </x:c>
      <x:c r="M917" t="str" s="2">
        <x:v>Inactive</x:v>
      </x:c>
      <x:c r="N917" t="str" s="2">
        <x:v>Deal Created</x:v>
      </x:c>
      <x:c r="O917" s="0"/>
      <x:c r="P917" s="6">
        <x:v>46260</x:v>
      </x:c>
      <x:c r="Q917" s="6">
        <x:v>46260.674947534724</x:v>
      </x:c>
      <x:c r="R917" s="0"/>
      <x:c r="S917" s="6">
        <x:v>46260</x:v>
      </x:c>
      <x:c r="T917" s="0"/>
      <x:c r="U917" s="0"/>
      <x:c r="V917" s="0"/>
      <x:c r="W917" s="0"/>
      <x:c r="X917" t="str" s="2">
        <x:v>8323501795</x:v>
      </x:c>
      <x:c r="Y917" t="str" s="2">
        <x:v>8323501795</x:v>
      </x:c>
      <x:c r="Z917" s="6">
        <x:v>46293.59170960648</x:v>
      </x:c>
      <x:c r="AA917" t="str" s="2">
        <x:v>Jose Parada</x:v>
      </x:c>
      <x:c r="AB917" s="6">
        <x:v>46260.6737616088</x:v>
      </x:c>
      <x:c r="AC917" t="n" s="2">
        <x:v>39399</x:v>
      </x:c>
      <x:c r="AD917" s="0"/>
      <x:c r="AE917" s="0"/>
      <x:c r="AF917" s="0"/>
      <x:c r="AG917" s="0"/>
      <x:c r="AH917" s="0"/>
      <x:c r="AI917" s="0"/>
      <x:c r="AJ917" s="0"/>
      <x:c r="AK917" s="0"/>
    </x:row>
    <x:row r="918">
      <x:c r="A918" t="str" s="2">
        <x:f>=HYPERLINK("https://rsms.futurehomex.com/lead/39400", "Denise Kerley")</x:f>
      </x:c>
      <x:c r="B918" t="n" s="2">
        <x:v>48</x:v>
      </x:c>
      <x:c r="C918" t="str" s="2">
        <x:v/>
      </x:c>
      <x:c r="D918" t="str" s="2">
        <x:f>=""</x:f>
      </x:c>
      <x:c r="E918" s="0"/>
      <x:c r="F918" t="str" s="2">
        <x:v>Walk-in</x:v>
      </x:c>
      <x:c r="G918" t="str" s="2">
        <x:v>Heritage Housing of Asheboro</x:v>
      </x:c>
      <x:c r="H918" t="str" s="2">
        <x:v>Jeremy Jacques</x:v>
      </x:c>
      <x:c r="I918" s="0"/>
      <x:c r="J918" s="0"/>
      <x:c r="K918" t="n" s="2">
        <x:v>34</x:v>
      </x:c>
      <x:c r="L918" t="str" s="2">
        <x:v>2.4</x:v>
      </x:c>
      <x:c r="M918" t="str" s="2">
        <x:v>Tentative</x:v>
      </x:c>
      <x:c r="N918" t="str" s="2">
        <x:v>Deal approval</x:v>
      </x:c>
      <x:c r="O918" s="0"/>
      <x:c r="P918" s="6">
        <x:v>46260</x:v>
      </x:c>
      <x:c r="Q918" s="6">
        <x:v>46260.756771493056</x:v>
      </x:c>
      <x:c r="R918" t="str" s="2">
        <x:v>Maria Lopez</x:v>
      </x:c>
      <x:c r="S918" s="0"/>
      <x:c r="T918" s="0"/>
      <x:c r="U918" s="0"/>
      <x:c r="V918" s="0"/>
      <x:c r="W918" s="0"/>
      <x:c r="X918" t="str" s="2">
        <x:v>9049779503</x:v>
      </x:c>
      <x:c r="Y918" t="str" s="2">
        <x:v>denisekerley22@gmail.com</x:v>
      </x:c>
      <x:c r="Z918" s="6">
        <x:v>46260.75439383102</x:v>
      </x:c>
      <x:c r="AA918" t="str" s="2">
        <x:v>Jeremy Jacques</x:v>
      </x:c>
      <x:c r="AB918" s="6">
        <x:v>46260.700996527776</x:v>
      </x:c>
      <x:c r="AC918" t="n" s="2">
        <x:v>39400</x:v>
      </x:c>
      <x:c r="AD918" t="str" s="2">
        <x:v>Doublewide</x:v>
      </x:c>
      <x:c r="AE918" s="0"/>
      <x:c r="AF918" s="0"/>
      <x:c r="AG918" s="0"/>
      <x:c r="AH918" s="0"/>
      <x:c r="AI918" s="0"/>
      <x:c r="AJ918" s="0"/>
      <x:c r="AK918" s="0"/>
    </x:row>
    <x:row r="919">
      <x:c r="A919" t="str" s="2">
        <x:f>=HYPERLINK("https://rsms.futurehomex.com/lead/39401", "Sarah Puckett")</x:f>
      </x:c>
      <x:c r="B919" t="n" s="2">
        <x:v>48</x:v>
      </x:c>
      <x:c r="C919" t="str" s="2">
        <x:v>1/1</x:v>
      </x:c>
      <x:c r="D919" t="str" s="2">
        <x:f>=""</x:f>
      </x:c>
      <x:c r="E919" s="0"/>
      <x:c r="F919" t="str" s="2">
        <x:v>LandingPage</x:v>
      </x:c>
      <x:c r="G919" t="str" s="2">
        <x:v>Heritage Housing of Oklahoma City</x:v>
      </x:c>
      <x:c r="H919" t="str" s="2">
        <x:v>Trey Rixleben</x:v>
      </x:c>
      <x:c r="I919" s="0"/>
      <x:c r="J919" s="0"/>
      <x:c r="K919" t="n" s="2">
        <x:v>5</x:v>
      </x:c>
      <x:c r="L919" t="str" s="2">
        <x:v>1.1</x:v>
      </x:c>
      <x:c r="M919" t="str" s="2">
        <x:v>Tentative</x:v>
      </x:c>
      <x:c r="N919" t="str" s="2">
        <x:v>Deal Created</x:v>
      </x:c>
      <x:c r="O919" s="0"/>
      <x:c r="P919" s="6">
        <x:v>46260</x:v>
      </x:c>
      <x:c r="Q919" s="6">
        <x:v>46265.949649918985</x:v>
      </x:c>
      <x:c r="R919" s="0"/>
      <x:c r="S919" s="0"/>
      <x:c r="T919" s="0"/>
      <x:c r="U919" s="0"/>
      <x:c r="V919" s="0"/>
      <x:c r="W919" s="0"/>
      <x:c r="X919" t="str" s="2">
        <x:v>4053323839</x:v>
      </x:c>
      <x:c r="Y919" t="str" s="2">
        <x:v>osusportsfan71@gmail.com</x:v>
      </x:c>
      <x:c r="Z919" s="6">
        <x:v>46265.95084027778</x:v>
      </x:c>
      <x:c r="AA919" t="str" s="2">
        <x:v>Trey Rixleben</x:v>
      </x:c>
      <x:c r="AB919" s="6">
        <x:v>46260.71394398148</x:v>
      </x:c>
      <x:c r="AC919" t="n" s="2">
        <x:v>39401</x:v>
      </x:c>
      <x:c r="AD919" s="0"/>
      <x:c r="AE919" s="0"/>
      <x:c r="AF919" s="0"/>
      <x:c r="AG919" s="0"/>
      <x:c r="AH919" s="0"/>
      <x:c r="AI919" s="0"/>
      <x:c r="AJ919" s="0"/>
      <x:c r="AK919" s="0"/>
    </x:row>
    <x:row r="920">
      <x:c r="A920" t="str" s="2">
        <x:f>=HYPERLINK("https://rsms.futurehomex.com/lead/39402", "Ronnie Jacobs")</x:f>
      </x:c>
      <x:c r="B920" t="n" s="2">
        <x:v>48</x:v>
      </x:c>
      <x:c r="C920" t="str" s="2">
        <x:v/>
      </x:c>
      <x:c r="D920" t="str" s="2">
        <x:f>=""</x:f>
      </x:c>
      <x:c r="E920" s="0"/>
      <x:c r="F920" t="str" s="2">
        <x:v>TikTok</x:v>
      </x:c>
      <x:c r="G920" t="str" s="2">
        <x:v>Heritage Housing of Greenville</x:v>
      </x:c>
      <x:c r="H920" t="str" s="2">
        <x:v>Ana Garcia</x:v>
      </x:c>
      <x:c r="I920" s="0"/>
      <x:c r="J920" t="str" s="2">
        <x:v>Ana Garcia</x:v>
      </x:c>
      <x:c r="K920" t="n" s="2">
        <x:v>38</x:v>
      </x:c>
      <x:c r="L920" t="str" s="2">
        <x:v>3.2</x:v>
      </x:c>
      <x:c r="M920" t="str" s="2">
        <x:v>Denied</x:v>
      </x:c>
      <x:c r="N920" t="str" s="2">
        <x:v>Application</x:v>
      </x:c>
      <x:c r="O920" s="0"/>
      <x:c r="P920" s="6">
        <x:v>46260</x:v>
      </x:c>
      <x:c r="Q920" s="6">
        <x:v>46261.71388167824</x:v>
      </x:c>
      <x:c r="R920" s="0"/>
      <x:c r="S920" s="6">
        <x:v>46260</x:v>
      </x:c>
      <x:c r="T920" s="6">
        <x:v>46260</x:v>
      </x:c>
      <x:c r="U920" s="6">
        <x:v>46260</x:v>
      </x:c>
      <x:c r="V920" s="0"/>
      <x:c r="W920" s="0"/>
      <x:c r="X920" t="str" s="2">
        <x:v>4303687063</x:v>
      </x:c>
      <x:c r="Y920" t="str" s="2">
        <x:v>4303687063</x:v>
      </x:c>
      <x:c r="Z920" s="6">
        <x:v>46261.75359024305</x:v>
      </x:c>
      <x:c r="AA920" t="str" s="2">
        <x:v>Meliza Banda</x:v>
      </x:c>
      <x:c r="AB920" s="6">
        <x:v>46260.71490972222</x:v>
      </x:c>
      <x:c r="AC920" t="n" s="2">
        <x:v>39402</x:v>
      </x:c>
      <x:c r="AD920" t="str" s="2">
        <x:v>Singlewide</x:v>
      </x:c>
      <x:c r="AE920" s="0"/>
      <x:c r="AF920" s="0"/>
      <x:c r="AG920" s="7">
        <x:v>5600</x:v>
      </x:c>
      <x:c r="AH920" s="0"/>
      <x:c r="AI920" t="str" s="2">
        <x:v>513</x:v>
      </x:c>
      <x:c r="AJ920" s="0"/>
      <x:c r="AK920" s="0"/>
    </x:row>
    <x:row r="921">
      <x:c r="A921" t="str" s="2">
        <x:f>=HYPERLINK("https://rsms.futurehomex.com/lead/39405", "Kenneth Lanier")</x:f>
      </x:c>
      <x:c r="B921" t="n" s="2">
        <x:v>48</x:v>
      </x:c>
      <x:c r="C921" t="str" s="2">
        <x:v>0/2</x:v>
      </x:c>
      <x:c r="D921" t="str" s="2">
        <x:f>=""</x:f>
      </x:c>
      <x:c r="E921" s="0"/>
      <x:c r="F921" t="str" s="2">
        <x:v>Financing Form</x:v>
      </x:c>
      <x:c r="G921" t="str" s="2">
        <x:v>Heritage Housing of Oklahoma City</x:v>
      </x:c>
      <x:c r="H921" t="str" s="2">
        <x:v>Trey Rixleben</x:v>
      </x:c>
      <x:c r="I921" s="0"/>
      <x:c r="J921" t="str" s="2">
        <x:v>Trey Rixleben</x:v>
      </x:c>
      <x:c r="K921" t="n" s="2">
        <x:v>5</x:v>
      </x:c>
      <x:c r="L921" t="str" s="2">
        <x:v>1.1</x:v>
      </x:c>
      <x:c r="M921" t="str" s="2">
        <x:v>Dead</x:v>
      </x:c>
      <x:c r="N921" t="str" s="2">
        <x:v>Deal Created</x:v>
      </x:c>
      <x:c r="O921" s="0"/>
      <x:c r="P921" s="6">
        <x:v>46260</x:v>
      </x:c>
      <x:c r="Q921" s="6">
        <x:v>46260.75237974537</x:v>
      </x:c>
      <x:c r="R921" s="0"/>
      <x:c r="S921" s="0"/>
      <x:c r="T921" s="0"/>
      <x:c r="U921" s="0"/>
      <x:c r="V921" s="0"/>
      <x:c r="W921" s="0"/>
      <x:c r="X921" t="str" s="2">
        <x:v>4056799253</x:v>
      </x:c>
      <x:c r="Y921" t="str" s="2">
        <x:v>ken.lanier75@gmail.com</x:v>
      </x:c>
      <x:c r="Z921" s="6">
        <x:v>46265.73757839121</x:v>
      </x:c>
      <x:c r="AA921" t="str" s="2">
        <x:v>Richard Bell</x:v>
      </x:c>
      <x:c r="AB921" s="6">
        <x:v>46260.751630439816</x:v>
      </x:c>
      <x:c r="AC921" t="n" s="2">
        <x:v>39405</x:v>
      </x:c>
      <x:c r="AD921" s="0"/>
      <x:c r="AE921" s="0"/>
      <x:c r="AF921" s="0"/>
      <x:c r="AG921" s="0"/>
      <x:c r="AH921" s="0"/>
      <x:c r="AI921" s="0"/>
      <x:c r="AJ921" s="0"/>
      <x:c r="AK921" s="0"/>
    </x:row>
    <x:row r="922">
      <x:c r="A922" t="str" s="2">
        <x:f>=HYPERLINK("https://rsms.futurehomex.com/lead/39406", "Donna Voeller")</x:f>
      </x:c>
      <x:c r="B922" t="n" s="2">
        <x:v>48</x:v>
      </x:c>
      <x:c r="C922" t="str" s="2">
        <x:v>0/1</x:v>
      </x:c>
      <x:c r="D922" t="str" s="2">
        <x:f>=""</x:f>
      </x:c>
      <x:c r="E922" s="0"/>
      <x:c r="F922" t="str" s="2">
        <x:v>Walk-in</x:v>
      </x:c>
      <x:c r="G922" t="str" s="2">
        <x:v>Heritage Housing of Jennings</x:v>
      </x:c>
      <x:c r="H922" t="str" s="2">
        <x:v>Mervin Leslie Smith</x:v>
      </x:c>
      <x:c r="I922" s="0"/>
      <x:c r="J922" s="0"/>
      <x:c r="K922" t="n" s="2">
        <x:v>5</x:v>
      </x:c>
      <x:c r="L922" t="str" s="2">
        <x:v>1.1</x:v>
      </x:c>
      <x:c r="M922" t="str" s="2">
        <x:v>Dead</x:v>
      </x:c>
      <x:c r="N922" t="str" s="2">
        <x:v>Prospect</x:v>
      </x:c>
      <x:c r="O922" s="0"/>
      <x:c r="P922" s="6">
        <x:v>46260</x:v>
      </x:c>
      <x:c r="Q922" s="6">
        <x:v>46260.798680092594</x:v>
      </x:c>
      <x:c r="R922" s="0"/>
      <x:c r="S922" s="0"/>
      <x:c r="T922" s="0"/>
      <x:c r="U922" s="0"/>
      <x:c r="V922" s="0"/>
      <x:c r="W922" s="0"/>
      <x:c r="X922" t="str" s="2">
        <x:v>5093108542</x:v>
      </x:c>
      <x:c r="Y922" t="str" s="2">
        <x:v>gemzstory1960@gmail.com</x:v>
      </x:c>
      <x:c r="Z922" s="6">
        <x:v>46267.82464594908</x:v>
      </x:c>
      <x:c r="AA922" t="str" s="2">
        <x:v>Mervin Leslie Smith</x:v>
      </x:c>
      <x:c r="AB922" s="6">
        <x:v>46260.798680671294</x:v>
      </x:c>
      <x:c r="AC922" t="n" s="2">
        <x:v>39406</x:v>
      </x:c>
      <x:c r="AD922" s="0"/>
      <x:c r="AE922" s="0"/>
      <x:c r="AF922" s="0"/>
      <x:c r="AG922" s="0"/>
      <x:c r="AH922" s="0"/>
      <x:c r="AI922" s="0"/>
      <x:c r="AJ922" s="0"/>
      <x:c r="AK922" s="0"/>
    </x:row>
    <x:row r="923">
      <x:c r="A923" t="str" s="2">
        <x:f>=HYPERLINK("https://rsms.futurehomex.com/lead/39409", "Shiloh Parr")</x:f>
      </x:c>
      <x:c r="B923" t="n" s="2">
        <x:v>48</x:v>
      </x:c>
      <x:c r="C923" t="str" s="2">
        <x:v>0/2</x:v>
      </x:c>
      <x:c r="D923" t="str" s="2">
        <x:f>=""</x:f>
      </x:c>
      <x:c r="E923" s="0"/>
      <x:c r="F923" t="str" s="2">
        <x:v>Referrals</x:v>
      </x:c>
      <x:c r="G923" t="str" s="2">
        <x:v>Heritage Housing of Oklahoma City</x:v>
      </x:c>
      <x:c r="H923" t="str" s="2">
        <x:v>Alejandra Calderon</x:v>
      </x:c>
      <x:c r="I923" s="0"/>
      <x:c r="J923" t="str" s="2">
        <x:v>Alejandra Calderon</x:v>
      </x:c>
      <x:c r="K923" t="n" s="2">
        <x:v>5</x:v>
      </x:c>
      <x:c r="L923" t="str" s="2">
        <x:v>1.1</x:v>
      </x:c>
      <x:c r="M923" t="str" s="2">
        <x:v>Tentative</x:v>
      </x:c>
      <x:c r="N923" t="str" s="2">
        <x:v>Deal Created</x:v>
      </x:c>
      <x:c r="O923" s="0"/>
      <x:c r="P923" s="6">
        <x:v>46260</x:v>
      </x:c>
      <x:c r="Q923" s="6">
        <x:v>46267.96237005787</x:v>
      </x:c>
      <x:c r="R923" s="0"/>
      <x:c r="S923" s="0"/>
      <x:c r="T923" s="0"/>
      <x:c r="U923" s="0"/>
      <x:c r="V923" s="0"/>
      <x:c r="W923" s="0"/>
      <x:c r="X923" t="str" s="2">
        <x:v>4053208544</x:v>
      </x:c>
      <x:c r="Y923" t="str" s="2">
        <x:v>shilohparr@icloud.com</x:v>
      </x:c>
      <x:c r="Z923" s="6">
        <x:v>46279.97350462963</x:v>
      </x:c>
      <x:c r="AA923" t="str" s="2">
        <x:v>Alejandra Calderon</x:v>
      </x:c>
      <x:c r="AB923" s="6">
        <x:v>46260.82988831018</x:v>
      </x:c>
      <x:c r="AC923" t="n" s="2">
        <x:v>39409</x:v>
      </x:c>
      <x:c r="AD923" s="0"/>
      <x:c r="AE923" s="0"/>
      <x:c r="AF923" s="0"/>
      <x:c r="AG923" s="0"/>
      <x:c r="AH923" s="0"/>
      <x:c r="AI923" s="0"/>
      <x:c r="AJ923" s="0"/>
      <x:c r="AK923" s="0"/>
    </x:row>
    <x:row r="924">
      <x:c r="A924" t="str" s="2">
        <x:f>=HYPERLINK("https://rsms.futurehomex.com/lead/39412", "Leon Harris")</x:f>
      </x:c>
      <x:c r="B924" t="n" s="2">
        <x:v>48</x:v>
      </x:c>
      <x:c r="C924" t="str" s="2">
        <x:v>0/1</x:v>
      </x:c>
      <x:c r="D924" t="str" s="2">
        <x:f>=""</x:f>
      </x:c>
      <x:c r="E924" s="0"/>
      <x:c r="F924" t="str" s="2">
        <x:v>Walk-in</x:v>
      </x:c>
      <x:c r="G924" t="str" s="2">
        <x:v>Heritage Housing of Minden</x:v>
      </x:c>
      <x:c r="H924" t="str" s="2">
        <x:v>Patrick Schuchart</x:v>
      </x:c>
      <x:c r="I924" t="str" s="2">
        <x:v>Karol Romero</x:v>
      </x:c>
      <x:c r="J924" t="str" s="2">
        <x:v>Patrick Schuchart</x:v>
      </x:c>
      <x:c r="K924" t="n" s="2">
        <x:v>5</x:v>
      </x:c>
      <x:c r="L924" t="str" s="2">
        <x:v>1.1</x:v>
      </x:c>
      <x:c r="M924" t="str" s="2">
        <x:v>Tentative</x:v>
      </x:c>
      <x:c r="N924" t="str" s="2">
        <x:v>Deal Created</x:v>
      </x:c>
      <x:c r="O924" s="0"/>
      <x:c r="P924" s="6">
        <x:v>46260</x:v>
      </x:c>
      <x:c r="Q924" s="6">
        <x:v>46260.894265625</x:v>
      </x:c>
      <x:c r="R924" t="str" s="2">
        <x:v>Patrick Schuchart</x:v>
      </x:c>
      <x:c r="S924" s="0"/>
      <x:c r="T924" s="0"/>
      <x:c r="U924" s="0"/>
      <x:c r="V924" s="0"/>
      <x:c r="W924" s="0"/>
      <x:c r="X924" t="str" s="2">
        <x:v>8704892048</x:v>
      </x:c>
      <x:c r="Y924" t="str" s="2">
        <x:v>8704892048</x:v>
      </x:c>
      <x:c r="Z924" s="6">
        <x:v>46295.89799633102</x:v>
      </x:c>
      <x:c r="AA924" t="str" s="2">
        <x:v>Kyla Brown</x:v>
      </x:c>
      <x:c r="AB924" s="6">
        <x:v>46260.894267627315</x:v>
      </x:c>
      <x:c r="AC924" t="n" s="2">
        <x:v>39412</x:v>
      </x:c>
      <x:c r="AD924" s="0"/>
      <x:c r="AE924" s="0"/>
      <x:c r="AF924" s="0"/>
      <x:c r="AG924" s="0"/>
      <x:c r="AH924" s="0"/>
      <x:c r="AI924" s="0"/>
      <x:c r="AJ924" s="0"/>
      <x:c r="AK924" s="0"/>
    </x:row>
    <x:row r="925">
      <x:c r="A925" t="str" s="2">
        <x:f>=HYPERLINK("https://rsms.futurehomex.com/lead/39413", "Anna Diehr")</x:f>
      </x:c>
      <x:c r="B925" t="n" s="2">
        <x:v>48</x:v>
      </x:c>
      <x:c r="C925" t="str" s="2">
        <x:v/>
      </x:c>
      <x:c r="D925" t="str" s="2">
        <x:f>=""</x:f>
      </x:c>
      <x:c r="E925" s="0"/>
      <x:c r="F925" t="str" s="2">
        <x:v>LandingPage</x:v>
      </x:c>
      <x:c r="G925" t="str" s="2">
        <x:v>Heritage Housing of Asheboro</x:v>
      </x:c>
      <x:c r="H925" t="str" s="2">
        <x:v>Jeremy Jacques</x:v>
      </x:c>
      <x:c r="I925" s="0"/>
      <x:c r="J925" t="str" s="2">
        <x:v>Dane Lara</x:v>
      </x:c>
      <x:c r="K925" t="n" s="2">
        <x:v>5</x:v>
      </x:c>
      <x:c r="L925" t="str" s="2">
        <x:v>1.1</x:v>
      </x:c>
      <x:c r="M925" t="str" s="2">
        <x:v>Active</x:v>
      </x:c>
      <x:c r="N925" t="str" s="2">
        <x:v>Prospect</x:v>
      </x:c>
      <x:c r="O925" s="0"/>
      <x:c r="P925" s="6">
        <x:v>46260</x:v>
      </x:c>
      <x:c r="Q925" s="6">
        <x:v>46260.91423862269</x:v>
      </x:c>
      <x:c r="R925" s="0"/>
      <x:c r="S925" s="0"/>
      <x:c r="T925" s="0"/>
      <x:c r="U925" s="0"/>
      <x:c r="V925" s="0"/>
      <x:c r="W925" s="0"/>
      <x:c r="X925" t="str" s="2">
        <x:v>8048363435</x:v>
      </x:c>
      <x:c r="Y925" t="str" s="2">
        <x:v>anna.diehr@yahoo.com</x:v>
      </x:c>
      <x:c r="Z925" s="0"/>
      <x:c r="AA925" s="0"/>
      <x:c r="AB925" s="6">
        <x:v>46260.91423920139</x:v>
      </x:c>
      <x:c r="AC925" t="n" s="2">
        <x:v>39413</x:v>
      </x:c>
      <x:c r="AD925" s="0"/>
      <x:c r="AE925" s="0"/>
      <x:c r="AF925" s="0"/>
      <x:c r="AG925" s="0"/>
      <x:c r="AH925" s="0"/>
      <x:c r="AI925" s="0"/>
      <x:c r="AJ925" s="0"/>
      <x:c r="AK925" s="0"/>
    </x:row>
    <x:row r="926">
      <x:c r="A926" t="str" s="2">
        <x:f>=HYPERLINK("https://rsms.futurehomex.com/lead/39414", "Aaron Yonkey")</x:f>
      </x:c>
      <x:c r="B926" t="n" s="2">
        <x:v>48</x:v>
      </x:c>
      <x:c r="C926" t="str" s="2">
        <x:v>1/1</x:v>
      </x:c>
      <x:c r="D926" t="str" s="2">
        <x:f>=""</x:f>
      </x:c>
      <x:c r="E926" s="0"/>
      <x:c r="F926" t="str" s="2">
        <x:v>Facebook Messenger</x:v>
      </x:c>
      <x:c r="G926" t="str" s="2">
        <x:v>Heritage Housing of Oklahoma City</x:v>
      </x:c>
      <x:c r="H926" t="str" s="2">
        <x:v>Trey Rixleben</x:v>
      </x:c>
      <x:c r="I926" t="str" s="2">
        <x:v>Karol Romero</x:v>
      </x:c>
      <x:c r="J926" t="str" s="2">
        <x:v>Trey Rixleben</x:v>
      </x:c>
      <x:c r="K926" t="n" s="2">
        <x:v>5</x:v>
      </x:c>
      <x:c r="L926" t="str" s="2">
        <x:v>1.1</x:v>
      </x:c>
      <x:c r="M926" t="str" s="2">
        <x:v>Tentative</x:v>
      </x:c>
      <x:c r="N926" t="str" s="2">
        <x:v>Deal Created</x:v>
      </x:c>
      <x:c r="O926" s="0"/>
      <x:c r="P926" s="6">
        <x:v>46260</x:v>
      </x:c>
      <x:c r="Q926" s="6">
        <x:v>46260.945131099536</x:v>
      </x:c>
      <x:c r="R926" s="0"/>
      <x:c r="S926" s="0"/>
      <x:c r="T926" s="0"/>
      <x:c r="U926" s="0"/>
      <x:c r="V926" s="0"/>
      <x:c r="W926" s="0"/>
      <x:c r="X926" t="str" s="2">
        <x:v>5802912128</x:v>
      </x:c>
      <x:c r="Y926" t="str" s="2">
        <x:v>5802912128</x:v>
      </x:c>
      <x:c r="Z926" s="6">
        <x:v>46265.90327607639</x:v>
      </x:c>
      <x:c r="AA926" t="str" s="2">
        <x:v>Trey Rixleben</x:v>
      </x:c>
      <x:c r="AB926" s="6">
        <x:v>46260.94513267361</x:v>
      </x:c>
      <x:c r="AC926" t="n" s="2">
        <x:v>39414</x:v>
      </x:c>
      <x:c r="AD926" s="0"/>
      <x:c r="AE926" s="0"/>
      <x:c r="AF926" s="0"/>
      <x:c r="AG926" s="0"/>
      <x:c r="AH926" s="0"/>
      <x:c r="AI926" s="0"/>
      <x:c r="AJ926" s="0"/>
      <x:c r="AK926" s="0"/>
    </x:row>
    <x:row r="927">
      <x:c r="A927" t="str" s="2">
        <x:f>=HYPERLINK("https://rsms.futurehomex.com/lead/39417", "Erika Avila Reyna")</x:f>
      </x:c>
      <x:c r="B927" t="n" s="2">
        <x:v>47</x:v>
      </x:c>
      <x:c r="C927" t="str" s="2">
        <x:v>0/1</x:v>
      </x:c>
      <x:c r="D927" t="str" s="2">
        <x:f>=""</x:f>
      </x:c>
      <x:c r="E927" s="0"/>
      <x:c r="F927" t="str" s="2">
        <x:v>TikTok</x:v>
      </x:c>
      <x:c r="G927" t="str" s="2">
        <x:v>Heritage Housing of Greenville</x:v>
      </x:c>
      <x:c r="H927" t="str" s="2">
        <x:v>Ana Garcia</x:v>
      </x:c>
      <x:c r="I927" s="0"/>
      <x:c r="J927" t="str" s="2">
        <x:v>Ana Garcia</x:v>
      </x:c>
      <x:c r="K927" t="n" s="2">
        <x:v>38</x:v>
      </x:c>
      <x:c r="L927" t="str" s="2">
        <x:v>3.2</x:v>
      </x:c>
      <x:c r="M927" t="str" s="2">
        <x:v>Active</x:v>
      </x:c>
      <x:c r="N927" t="str" s="2">
        <x:v>Application</x:v>
      </x:c>
      <x:c r="O927" s="0"/>
      <x:c r="P927" s="6">
        <x:v>46261</x:v>
      </x:c>
      <x:c r="Q927" s="6">
        <x:v>46265.68505335648</x:v>
      </x:c>
      <x:c r="R927" s="0"/>
      <x:c r="S927" s="6">
        <x:v>46261</x:v>
      </x:c>
      <x:c r="T927" s="6">
        <x:v>46261</x:v>
      </x:c>
      <x:c r="U927" s="6">
        <x:v>46261</x:v>
      </x:c>
      <x:c r="V927" s="0"/>
      <x:c r="W927" s="0"/>
      <x:c r="X927" t="str" s="2">
        <x:v>2142819268</x:v>
      </x:c>
      <x:c r="Y927" t="str" s="2">
        <x:v>Olvera1784@gmail.com</x:v>
      </x:c>
      <x:c r="Z927" s="6">
        <x:v>46261.88069586806</x:v>
      </x:c>
      <x:c r="AA927" t="str" s="2">
        <x:v>Sarahi Vazquez</x:v>
      </x:c>
      <x:c r="AB927" s="6">
        <x:v>46261.576946064815</x:v>
      </x:c>
      <x:c r="AC927" t="n" s="2">
        <x:v>39417</x:v>
      </x:c>
      <x:c r="AD927" t="str" s="2">
        <x:v>Doublewide</x:v>
      </x:c>
      <x:c r="AE927" t="str" s="2">
        <x:v>Legacy Housing Corporation</x:v>
      </x:c>
      <x:c r="AF927" s="0"/>
      <x:c r="AG927" s="7">
        <x:v>11000</x:v>
      </x:c>
      <x:c r="AH927" s="0"/>
      <x:c r="AI927" t="str" s="2">
        <x:v>670</x:v>
      </x:c>
      <x:c r="AJ927" s="0"/>
      <x:c r="AK927" s="0"/>
    </x:row>
    <x:row r="928">
      <x:c r="A928" t="str" s="2">
        <x:f>=HYPERLINK("https://rsms.futurehomex.com/lead/39418", "mary blankenship")</x:f>
      </x:c>
      <x:c r="B928" t="n" s="2">
        <x:v>47</x:v>
      </x:c>
      <x:c r="C928" t="str" s="2">
        <x:v/>
      </x:c>
      <x:c r="D928" t="str" s="2">
        <x:f>=""</x:f>
      </x:c>
      <x:c r="E928" s="0"/>
      <x:c r="F928" t="str" s="2">
        <x:v>Website</x:v>
      </x:c>
      <x:c r="G928" t="str" s="2">
        <x:v>Heritage Housing of Athens</x:v>
      </x:c>
      <x:c r="H928" t="str" s="2">
        <x:v>Nathan Bishop</x:v>
      </x:c>
      <x:c r="I928" s="0"/>
      <x:c r="J928" s="0"/>
      <x:c r="K928" t="n" s="2">
        <x:v>5</x:v>
      </x:c>
      <x:c r="L928" t="str" s="2">
        <x:v>1.1</x:v>
      </x:c>
      <x:c r="M928" t="str" s="2">
        <x:v>Tentative</x:v>
      </x:c>
      <x:c r="N928" t="str" s="2">
        <x:v>Prospect</x:v>
      </x:c>
      <x:c r="O928" s="0"/>
      <x:c r="P928" s="6">
        <x:v>46261</x:v>
      </x:c>
      <x:c r="Q928" s="6">
        <x:v>46261.58583344908</x:v>
      </x:c>
      <x:c r="R928" s="0"/>
      <x:c r="S928" s="0"/>
      <x:c r="T928" s="0"/>
      <x:c r="U928" s="0"/>
      <x:c r="V928" s="0"/>
      <x:c r="W928" s="0"/>
      <x:c r="X928" t="str" s="2">
        <x:v>8652969981</x:v>
      </x:c>
      <x:c r="Y928" t="str" s="2">
        <x:v>maryblankenship37865@gmail.com</x:v>
      </x:c>
      <x:c r="Z928" s="6">
        <x:v>46261.6801778588</x:v>
      </x:c>
      <x:c r="AA928" t="str" s="2">
        <x:v>Nathan Bishop</x:v>
      </x:c>
      <x:c r="AB928" s="6">
        <x:v>46261.58583449074</x:v>
      </x:c>
      <x:c r="AC928" t="n" s="2">
        <x:v>39418</x:v>
      </x:c>
      <x:c r="AD928" s="0"/>
      <x:c r="AE928" s="0"/>
      <x:c r="AF928" s="0"/>
      <x:c r="AG928" s="0"/>
      <x:c r="AH928" s="0"/>
      <x:c r="AI928" s="0"/>
      <x:c r="AJ928" s="0"/>
      <x:c r="AK928" s="0"/>
    </x:row>
    <x:row r="929">
      <x:c r="A929" t="str" s="2">
        <x:f>=HYPERLINK("https://rsms.futurehomex.com/lead/39419", "Amy Parker")</x:f>
      </x:c>
      <x:c r="B929" t="n" s="2">
        <x:v>47</x:v>
      </x:c>
      <x:c r="C929" t="str" s="2">
        <x:v>0/1</x:v>
      </x:c>
      <x:c r="D929" t="str" s="2">
        <x:f>=""</x:f>
      </x:c>
      <x:c r="E929" s="0"/>
      <x:c r="F929" t="str" s="2">
        <x:v>Walk-in</x:v>
      </x:c>
      <x:c r="G929" t="str" s="2">
        <x:v>Heritage Housing of Minden</x:v>
      </x:c>
      <x:c r="H929" t="str" s="2">
        <x:v>Patrick Schuchart</x:v>
      </x:c>
      <x:c r="I929" t="str" s="2">
        <x:v>Karol Romero</x:v>
      </x:c>
      <x:c r="J929" t="str" s="2">
        <x:v>Patrick Schuchart</x:v>
      </x:c>
      <x:c r="K929" t="n" s="2">
        <x:v>5</x:v>
      </x:c>
      <x:c r="L929" t="str" s="2">
        <x:v>1.1</x:v>
      </x:c>
      <x:c r="M929" t="str" s="2">
        <x:v>Inactive</x:v>
      </x:c>
      <x:c r="N929" t="str" s="2">
        <x:v>Deal Created</x:v>
      </x:c>
      <x:c r="O929" s="0"/>
      <x:c r="P929" s="6">
        <x:v>46261</x:v>
      </x:c>
      <x:c r="Q929" s="6">
        <x:v>46261.59967222222</x:v>
      </x:c>
      <x:c r="R929" s="0"/>
      <x:c r="S929" s="0"/>
      <x:c r="T929" s="0"/>
      <x:c r="U929" s="0"/>
      <x:c r="V929" s="0"/>
      <x:c r="W929" s="0"/>
      <x:c r="X929" t="str" s="2">
        <x:v>3185570116</x:v>
      </x:c>
      <x:c r="Y929" t="str" s="2">
        <x:v>3185570116</x:v>
      </x:c>
      <x:c r="Z929" s="6">
        <x:v>46295.854128969906</x:v>
      </x:c>
      <x:c r="AA929" t="str" s="2">
        <x:v>Kyla Brown</x:v>
      </x:c>
      <x:c r="AB929" s="6">
        <x:v>46261.59967361111</x:v>
      </x:c>
      <x:c r="AC929" t="n" s="2">
        <x:v>39419</x:v>
      </x:c>
      <x:c r="AD929" s="0"/>
      <x:c r="AE929" s="0"/>
      <x:c r="AF929" s="0"/>
      <x:c r="AG929" s="0"/>
      <x:c r="AH929" s="0"/>
      <x:c r="AI929" s="0"/>
      <x:c r="AJ929" s="0"/>
      <x:c r="AK929" s="0"/>
    </x:row>
    <x:row r="930">
      <x:c r="A930" t="str" s="2">
        <x:f>=HYPERLINK("https://rsms.futurehomex.com/lead/39420", "Lori Schara")</x:f>
      </x:c>
      <x:c r="B930" t="n" s="2">
        <x:v>47</x:v>
      </x:c>
      <x:c r="C930" t="str" s="2">
        <x:v>0/4</x:v>
      </x:c>
      <x:c r="D930" t="str" s="2">
        <x:f>=""</x:f>
      </x:c>
      <x:c r="E930" s="0"/>
      <x:c r="F930" t="str" s="2">
        <x:v>Financing Form</x:v>
      </x:c>
      <x:c r="G930" t="str" s="2">
        <x:v>Heritage Housing of Oklahoma City</x:v>
      </x:c>
      <x:c r="H930" t="str" s="2">
        <x:v>Steve Castell</x:v>
      </x:c>
      <x:c r="I930" s="0"/>
      <x:c r="J930" t="str" s="2">
        <x:v>Steve Castell</x:v>
      </x:c>
      <x:c r="K930" t="n" s="2">
        <x:v>5</x:v>
      </x:c>
      <x:c r="L930" t="str" s="2">
        <x:v>1.1</x:v>
      </x:c>
      <x:c r="M930" t="str" s="2">
        <x:v>Inactive</x:v>
      </x:c>
      <x:c r="N930" t="str" s="2">
        <x:v>Deal Created</x:v>
      </x:c>
      <x:c r="O930" s="0"/>
      <x:c r="P930" s="6">
        <x:v>46261</x:v>
      </x:c>
      <x:c r="Q930" s="6">
        <x:v>46261.606983136575</x:v>
      </x:c>
      <x:c r="R930" s="0"/>
      <x:c r="S930" s="0"/>
      <x:c r="T930" s="0"/>
      <x:c r="U930" s="0"/>
      <x:c r="V930" s="0"/>
      <x:c r="W930" s="0"/>
      <x:c r="X930" t="str" s="2">
        <x:v>4059051057</x:v>
      </x:c>
      <x:c r="Y930" t="str" s="2">
        <x:v>lorioakes40@gmail.com</x:v>
      </x:c>
      <x:c r="Z930" s="6">
        <x:v>46287.63613306713</x:v>
      </x:c>
      <x:c r="AA930" t="str" s="2">
        <x:v>Steve Castell</x:v>
      </x:c>
      <x:c r="AB930" s="6">
        <x:v>46261.60644193287</x:v>
      </x:c>
      <x:c r="AC930" t="n" s="2">
        <x:v>39420</x:v>
      </x:c>
      <x:c r="AD930" s="0"/>
      <x:c r="AE930" s="0"/>
      <x:c r="AF930" s="0"/>
      <x:c r="AG930" s="0"/>
      <x:c r="AH930" s="0"/>
      <x:c r="AI930" s="0"/>
      <x:c r="AJ930" s="0"/>
      <x:c r="AK930" s="0"/>
    </x:row>
    <x:row r="931">
      <x:c r="A931" t="str" s="2">
        <x:f>=HYPERLINK("https://rsms.futurehomex.com/lead/39422", "Shantavia Irving")</x:f>
      </x:c>
      <x:c r="B931" t="n" s="2">
        <x:v>47</x:v>
      </x:c>
      <x:c r="C931" t="str" s="2">
        <x:v>1/1</x:v>
      </x:c>
      <x:c r="D931" t="str" s="2">
        <x:f>=""</x:f>
      </x:c>
      <x:c r="E931" s="0"/>
      <x:c r="F931" t="str" s="2">
        <x:v>Landing_BPM</x:v>
      </x:c>
      <x:c r="G931" t="str" s="2">
        <x:v>Heritage Housing of Oklahoma City</x:v>
      </x:c>
      <x:c r="H931" t="str" s="2">
        <x:v>Trey Rixleben</x:v>
      </x:c>
      <x:c r="I931" s="0"/>
      <x:c r="J931" t="str" s="2">
        <x:v>Trey Rixleben</x:v>
      </x:c>
      <x:c r="K931" t="n" s="2">
        <x:v>5</x:v>
      </x:c>
      <x:c r="L931" t="str" s="2">
        <x:v>1.1</x:v>
      </x:c>
      <x:c r="M931" t="str" s="2">
        <x:v>Tentative</x:v>
      </x:c>
      <x:c r="N931" t="str" s="2">
        <x:v>Deal Created</x:v>
      </x:c>
      <x:c r="O931" s="0"/>
      <x:c r="P931" s="6">
        <x:v>46261</x:v>
      </x:c>
      <x:c r="Q931" s="6">
        <x:v>46290.72327052083</x:v>
      </x:c>
      <x:c r="R931" s="0"/>
      <x:c r="S931" s="0"/>
      <x:c r="T931" s="0"/>
      <x:c r="U931" s="0"/>
      <x:c r="V931" s="0"/>
      <x:c r="W931" s="0"/>
      <x:c r="X931" t="str" s="2">
        <x:v>2193144556</x:v>
      </x:c>
      <x:c r="Y931" t="str" s="2">
        <x:v>Eboniee18@gmail.com</x:v>
      </x:c>
      <x:c r="Z931" s="6">
        <x:v>46290.72315138889</x:v>
      </x:c>
      <x:c r="AA931" t="str" s="2">
        <x:v>Trey Rixleben</x:v>
      </x:c>
      <x:c r="AB931" s="6">
        <x:v>46261.625355289354</x:v>
      </x:c>
      <x:c r="AC931" t="n" s="2">
        <x:v>39422</x:v>
      </x:c>
      <x:c r="AD931" s="0"/>
      <x:c r="AE931" s="0"/>
      <x:c r="AF931" s="0"/>
      <x:c r="AG931" s="0"/>
      <x:c r="AH931" s="0"/>
      <x:c r="AI931" s="0"/>
      <x:c r="AJ931" s="0"/>
      <x:c r="AK931" s="0"/>
    </x:row>
    <x:row r="932">
      <x:c r="A932" t="str" s="2">
        <x:f>=HYPERLINK("https://rsms.futurehomex.com/lead/39423", "Kenny Lovejoy")</x:f>
      </x:c>
      <x:c r="B932" t="n" s="2">
        <x:v>47</x:v>
      </x:c>
      <x:c r="C932" t="str" s="2">
        <x:v/>
      </x:c>
      <x:c r="D932" t="str" s="2">
        <x:f>=""</x:f>
      </x:c>
      <x:c r="E932" s="0"/>
      <x:c r="F932" t="str" s="2">
        <x:v>Landing_BPM</x:v>
      </x:c>
      <x:c r="G932" t="str" s="2">
        <x:v>Heritage Housing of Oklahoma City</x:v>
      </x:c>
      <x:c r="H932" t="str" s="2">
        <x:v>Alejandra Calderon</x:v>
      </x:c>
      <x:c r="I932" s="0"/>
      <x:c r="J932" t="str" s="2">
        <x:v>Alejandra Calderon</x:v>
      </x:c>
      <x:c r="K932" t="n" s="2">
        <x:v>5</x:v>
      </x:c>
      <x:c r="L932" t="str" s="2">
        <x:v>1.1</x:v>
      </x:c>
      <x:c r="M932" t="str" s="2">
        <x:v>Dead</x:v>
      </x:c>
      <x:c r="N932" t="str" s="2">
        <x:v>Deal Created</x:v>
      </x:c>
      <x:c r="O932" s="0"/>
      <x:c r="P932" s="6">
        <x:v>46261</x:v>
      </x:c>
      <x:c r="Q932" s="6">
        <x:v>46261.653985763885</x:v>
      </x:c>
      <x:c r="R932" s="0"/>
      <x:c r="S932" s="0"/>
      <x:c r="T932" s="0"/>
      <x:c r="U932" s="0"/>
      <x:c r="V932" s="0"/>
      <x:c r="W932" s="0"/>
      <x:c r="X932" t="str" s="2">
        <x:v>4053711122</x:v>
      </x:c>
      <x:c r="Y932" t="str" s="2">
        <x:v>kennylovejoy99@gmail.com</x:v>
      </x:c>
      <x:c r="Z932" s="6">
        <x:v>46261.65728506944</x:v>
      </x:c>
      <x:c r="AA932" t="str" s="2">
        <x:v>Alejandra Calderon</x:v>
      </x:c>
      <x:c r="AB932" s="6">
        <x:v>46261.65398630787</x:v>
      </x:c>
      <x:c r="AC932" t="n" s="2">
        <x:v>39423</x:v>
      </x:c>
      <x:c r="AD932" s="0"/>
      <x:c r="AE932" s="0"/>
      <x:c r="AF932" s="0"/>
      <x:c r="AG932" s="0"/>
      <x:c r="AH932" s="0"/>
      <x:c r="AI932" s="0"/>
      <x:c r="AJ932" s="0"/>
      <x:c r="AK932" s="0"/>
    </x:row>
    <x:row r="933">
      <x:c r="A933" t="str" s="2">
        <x:f>=HYPERLINK("https://rsms.futurehomex.com/lead/39424", "Jason Gilner")</x:f>
      </x:c>
      <x:c r="B933" t="n" s="2">
        <x:v>47</x:v>
      </x:c>
      <x:c r="C933" t="str" s="2">
        <x:v>0/5</x:v>
      </x:c>
      <x:c r="D933" t="str" s="2">
        <x:f>=""</x:f>
      </x:c>
      <x:c r="E933" s="0"/>
      <x:c r="F933" t="str" s="2">
        <x:v>Landing_BPM</x:v>
      </x:c>
      <x:c r="G933" t="str" s="2">
        <x:v>Heritage Housing of Oklahoma City</x:v>
      </x:c>
      <x:c r="H933" t="str" s="2">
        <x:v>Alejandra Calderon</x:v>
      </x:c>
      <x:c r="I933" s="0"/>
      <x:c r="J933" t="str" s="2">
        <x:v>Alejandra Calderon</x:v>
      </x:c>
      <x:c r="K933" t="n" s="2">
        <x:v>5</x:v>
      </x:c>
      <x:c r="L933" t="str" s="2">
        <x:v>1.1</x:v>
      </x:c>
      <x:c r="M933" t="str" s="2">
        <x:v>Dead</x:v>
      </x:c>
      <x:c r="N933" t="str" s="2">
        <x:v>Deal Created</x:v>
      </x:c>
      <x:c r="O933" s="0"/>
      <x:c r="P933" s="6">
        <x:v>46261</x:v>
      </x:c>
      <x:c r="Q933" s="6">
        <x:v>46267.96726527778</x:v>
      </x:c>
      <x:c r="R933" s="0"/>
      <x:c r="S933" s="0"/>
      <x:c r="T933" s="0"/>
      <x:c r="U933" s="0"/>
      <x:c r="V933" s="0"/>
      <x:c r="W933" s="0"/>
      <x:c r="X933" t="str" s="2">
        <x:v>5802629156</x:v>
      </x:c>
      <x:c r="Y933" t="str" s="2">
        <x:v>gilner678@gmail.com</x:v>
      </x:c>
      <x:c r="Z933" s="6">
        <x:v>46297.923311342594</x:v>
      </x:c>
      <x:c r="AA933" t="str" s="2">
        <x:v>Alejandra Calderon</x:v>
      </x:c>
      <x:c r="AB933" s="6">
        <x:v>46261.66274128472</x:v>
      </x:c>
      <x:c r="AC933" t="n" s="2">
        <x:v>39424</x:v>
      </x:c>
      <x:c r="AD933" s="0"/>
      <x:c r="AE933" s="0"/>
      <x:c r="AF933" s="0"/>
      <x:c r="AG933" s="0"/>
      <x:c r="AH933" s="0"/>
      <x:c r="AI933" s="0"/>
      <x:c r="AJ933" s="0"/>
      <x:c r="AK933" s="0"/>
    </x:row>
    <x:row r="934">
      <x:c r="A934" t="str" s="2">
        <x:f>=HYPERLINK("https://rsms.futurehomex.com/lead/39425", "Aaron Yonkey")</x:f>
      </x:c>
      <x:c r="B934" t="n" s="2">
        <x:v>47</x:v>
      </x:c>
      <x:c r="C934" t="str" s="2">
        <x:v>1/1</x:v>
      </x:c>
      <x:c r="D934" t="str" s="2">
        <x:f>=""</x:f>
      </x:c>
      <x:c r="E934" t="str" s="2">
        <x:v>Brenda Winters</x:v>
      </x:c>
      <x:c r="F934" t="str" s="2">
        <x:v>Walk-in</x:v>
      </x:c>
      <x:c r="G934" t="str" s="2">
        <x:v>Heritage Housing of Oklahoma City</x:v>
      </x:c>
      <x:c r="H934" t="str" s="2">
        <x:v>Trey Rixleben</x:v>
      </x:c>
      <x:c r="I934" s="0"/>
      <x:c r="J934" s="0"/>
      <x:c r="K934" t="n" s="2">
        <x:v>5</x:v>
      </x:c>
      <x:c r="L934" t="str" s="2">
        <x:v>1.1</x:v>
      </x:c>
      <x:c r="M934" t="str" s="2">
        <x:v>Tentative</x:v>
      </x:c>
      <x:c r="N934" t="str" s="2">
        <x:v>Deal Created</x:v>
      </x:c>
      <x:c r="O934" s="0"/>
      <x:c r="P934" s="6">
        <x:v>46261</x:v>
      </x:c>
      <x:c r="Q934" s="6">
        <x:v>46261.67319537037</x:v>
      </x:c>
      <x:c r="R934" t="str" s="2">
        <x:v>Eva Misheva</x:v>
      </x:c>
      <x:c r="S934" s="6">
        <x:v>46260</x:v>
      </x:c>
      <x:c r="T934" s="0"/>
      <x:c r="U934" s="0"/>
      <x:c r="V934" s="0"/>
      <x:c r="W934" s="0"/>
      <x:c r="X934" t="str" s="2">
        <x:v>5802912198</x:v>
      </x:c>
      <x:c r="Y934" t="str" s="2">
        <x:v>5802912198</x:v>
      </x:c>
      <x:c r="Z934" s="6">
        <x:v>46290.70116215278</x:v>
      </x:c>
      <x:c r="AA934" t="str" s="2">
        <x:v>Trey Rixleben</x:v>
      </x:c>
      <x:c r="AB934" s="6">
        <x:v>46261.670565625</x:v>
      </x:c>
      <x:c r="AC934" t="n" s="2">
        <x:v>39425</x:v>
      </x:c>
      <x:c r="AD934" s="0"/>
      <x:c r="AE934" s="0"/>
      <x:c r="AF934" s="0"/>
      <x:c r="AG934" s="0"/>
      <x:c r="AH934" s="0"/>
      <x:c r="AI934" s="0"/>
      <x:c r="AJ934" s="0"/>
      <x:c r="AK934" s="0"/>
    </x:row>
    <x:row r="935">
      <x:c r="A935" t="str" s="2">
        <x:f>=HYPERLINK("https://rsms.futurehomex.com/lead/39426", "Laterra Heron")</x:f>
      </x:c>
      <x:c r="B935" t="n" s="2">
        <x:v>47</x:v>
      </x:c>
      <x:c r="C935" t="str" s="2">
        <x:v>0/1</x:v>
      </x:c>
      <x:c r="D935" t="str" s="2">
        <x:f>=""</x:f>
      </x:c>
      <x:c r="E935" s="0"/>
      <x:c r="F935" t="str" s="2">
        <x:v>Facebook Messenger</x:v>
      </x:c>
      <x:c r="G935" t="str" s="2">
        <x:v>Heritage Housing of Minden</x:v>
      </x:c>
      <x:c r="H935" t="str" s="2">
        <x:v>Patrick Schuchart</x:v>
      </x:c>
      <x:c r="I935" t="str" s="2">
        <x:v>Karol Romero</x:v>
      </x:c>
      <x:c r="J935" s="0"/>
      <x:c r="K935" t="n" s="2">
        <x:v>5</x:v>
      </x:c>
      <x:c r="L935" t="str" s="2">
        <x:v>1.1</x:v>
      </x:c>
      <x:c r="M935" t="str" s="2">
        <x:v>Tentative</x:v>
      </x:c>
      <x:c r="N935" t="str" s="2">
        <x:v>Prospect</x:v>
      </x:c>
      <x:c r="O935" s="0"/>
      <x:c r="P935" s="6">
        <x:v>46261</x:v>
      </x:c>
      <x:c r="Q935" s="6">
        <x:v>46267.776829664355</x:v>
      </x:c>
      <x:c r="R935" s="0"/>
      <x:c r="S935" s="0"/>
      <x:c r="T935" s="0"/>
      <x:c r="U935" s="0"/>
      <x:c r="V935" s="0"/>
      <x:c r="W935" s="0"/>
      <x:c r="X935" t="str" s="2">
        <x:v>8635121701</x:v>
      </x:c>
      <x:c r="Y935" t="str" s="2">
        <x:v>8635121701</x:v>
      </x:c>
      <x:c r="Z935" s="6">
        <x:v>46295.861476701386</x:v>
      </x:c>
      <x:c r="AA935" t="str" s="2">
        <x:v>Kyla Brown</x:v>
      </x:c>
      <x:c r="AB935" s="6">
        <x:v>46261.68564505787</x:v>
      </x:c>
      <x:c r="AC935" t="n" s="2">
        <x:v>39426</x:v>
      </x:c>
      <x:c r="AD935" s="0"/>
      <x:c r="AE935" s="0"/>
      <x:c r="AF935" s="0"/>
      <x:c r="AG935" s="0"/>
      <x:c r="AH935" s="0"/>
      <x:c r="AI935" s="0"/>
      <x:c r="AJ935" s="0"/>
      <x:c r="AK935" s="0"/>
    </x:row>
    <x:row r="936">
      <x:c r="A936" t="str" s="2">
        <x:f>=HYPERLINK("https://rsms.futurehomex.com/lead/39427", "Amelia Scott")</x:f>
      </x:c>
      <x:c r="B936" t="n" s="2">
        <x:v>47</x:v>
      </x:c>
      <x:c r="C936" t="str" s="2">
        <x:v>0/2</x:v>
      </x:c>
      <x:c r="D936" t="str" s="2">
        <x:f>=""</x:f>
      </x:c>
      <x:c r="E936" s="0"/>
      <x:c r="F936" t="str" s="2">
        <x:v>Landing_BPM</x:v>
      </x:c>
      <x:c r="G936" t="str" s="2">
        <x:v>Heritage Housing of Oklahoma City</x:v>
      </x:c>
      <x:c r="H936" t="str" s="2">
        <x:v>Trey Rixleben</x:v>
      </x:c>
      <x:c r="I936" s="0"/>
      <x:c r="J936" s="0"/>
      <x:c r="K936" t="n" s="2">
        <x:v>5</x:v>
      </x:c>
      <x:c r="L936" t="str" s="2">
        <x:v>1.1</x:v>
      </x:c>
      <x:c r="M936" t="str" s="2">
        <x:v>Dead</x:v>
      </x:c>
      <x:c r="N936" t="str" s="2">
        <x:v>Deal Created</x:v>
      </x:c>
      <x:c r="O936" s="0"/>
      <x:c r="P936" s="6">
        <x:v>46261</x:v>
      </x:c>
      <x:c r="Q936" s="6">
        <x:v>46290.946917511574</x:v>
      </x:c>
      <x:c r="R936" s="0"/>
      <x:c r="S936" s="0"/>
      <x:c r="T936" s="0"/>
      <x:c r="U936" s="0"/>
      <x:c r="V936" s="0"/>
      <x:c r="W936" s="0"/>
      <x:c r="X936" t="str" s="2">
        <x:v>4058123124</x:v>
      </x:c>
      <x:c r="Y936" t="str" s="2">
        <x:v>grimesamelia@yahoo.com</x:v>
      </x:c>
      <x:c r="Z936" s="6">
        <x:v>46294.63443197917</x:v>
      </x:c>
      <x:c r="AA936" t="str" s="2">
        <x:v>Richard Bell</x:v>
      </x:c>
      <x:c r="AB936" s="6">
        <x:v>46261.70694722222</x:v>
      </x:c>
      <x:c r="AC936" t="n" s="2">
        <x:v>39427</x:v>
      </x:c>
      <x:c r="AD936" s="0"/>
      <x:c r="AE936" s="0"/>
      <x:c r="AF936" s="0"/>
      <x:c r="AG936" s="0"/>
      <x:c r="AH936" s="0"/>
      <x:c r="AI936" s="0"/>
      <x:c r="AJ936" s="0"/>
      <x:c r="AK936" s="0"/>
    </x:row>
    <x:row r="937">
      <x:c r="A937" t="str" s="2">
        <x:f>=HYPERLINK("https://rsms.futurehomex.com/lead/39428", "Manuel Camacho")</x:f>
      </x:c>
      <x:c r="B937" t="n" s="2">
        <x:v>47</x:v>
      </x:c>
      <x:c r="C937" t="str" s="2">
        <x:v>0/6</x:v>
      </x:c>
      <x:c r="D937" t="str" s="2">
        <x:f>=""</x:f>
      </x:c>
      <x:c r="E937" s="0"/>
      <x:c r="F937" t="str" s="2">
        <x:v>Landing_BPM</x:v>
      </x:c>
      <x:c r="G937" t="str" s="2">
        <x:v>Heritage Housing of Oklahoma City</x:v>
      </x:c>
      <x:c r="H937" t="str" s="2">
        <x:v>Alejandra Calderon</x:v>
      </x:c>
      <x:c r="I937" s="0"/>
      <x:c r="J937" t="str" s="2">
        <x:v>Alejandra Calderon</x:v>
      </x:c>
      <x:c r="K937" t="n" s="2">
        <x:v>5</x:v>
      </x:c>
      <x:c r="L937" t="str" s="2">
        <x:v>1.1</x:v>
      </x:c>
      <x:c r="M937" t="str" s="2">
        <x:v>Dead</x:v>
      </x:c>
      <x:c r="N937" t="str" s="2">
        <x:v>Deal Created</x:v>
      </x:c>
      <x:c r="O937" s="0"/>
      <x:c r="P937" s="6">
        <x:v>46261</x:v>
      </x:c>
      <x:c r="Q937" s="6">
        <x:v>46267.96811273148</x:v>
      </x:c>
      <x:c r="R937" s="0"/>
      <x:c r="S937" s="0"/>
      <x:c r="T937" s="0"/>
      <x:c r="U937" s="0"/>
      <x:c r="V937" s="0"/>
      <x:c r="W937" s="0"/>
      <x:c r="X937" t="str" s="2">
        <x:v>9188537087</x:v>
      </x:c>
      <x:c r="Y937" t="str" s="2">
        <x:v>4eimh6526@gmail.com</x:v>
      </x:c>
      <x:c r="Z937" s="6">
        <x:v>46302.96739456018</x:v>
      </x:c>
      <x:c r="AA937" t="str" s="2">
        <x:v>Alejandra Calderon</x:v>
      </x:c>
      <x:c r="AB937" s="6">
        <x:v>46261.7221</x:v>
      </x:c>
      <x:c r="AC937" t="n" s="2">
        <x:v>39428</x:v>
      </x:c>
      <x:c r="AD937" s="0"/>
      <x:c r="AE937" s="0"/>
      <x:c r="AF937" s="0"/>
      <x:c r="AG937" s="0"/>
      <x:c r="AH937" s="0"/>
      <x:c r="AI937" s="0"/>
      <x:c r="AJ937" s="0"/>
      <x:c r="AK937" s="0"/>
    </x:row>
    <x:row r="938">
      <x:c r="A938" t="str" s="2">
        <x:f>=HYPERLINK("https://rsms.futurehomex.com/lead/39429", "Jason Franklin")</x:f>
      </x:c>
      <x:c r="B938" t="n" s="2">
        <x:v>47</x:v>
      </x:c>
      <x:c r="C938" t="str" s="2">
        <x:v/>
      </x:c>
      <x:c r="D938" t="str" s="2">
        <x:f>=""</x:f>
      </x:c>
      <x:c r="E938" s="0"/>
      <x:c r="F938" t="str" s="2">
        <x:v>Other</x:v>
      </x:c>
      <x:c r="G938" t="str" s="2">
        <x:v>Heritage Housing of Albany</x:v>
      </x:c>
      <x:c r="H938" t="str" s="2">
        <x:v>Alexander Bryant</x:v>
      </x:c>
      <x:c r="I938" t="str" s="2">
        <x:v>Karol Romero</x:v>
      </x:c>
      <x:c r="J938" t="str" s="2">
        <x:v>Alexander Bryant</x:v>
      </x:c>
      <x:c r="K938" t="n" s="2">
        <x:v>5</x:v>
      </x:c>
      <x:c r="L938" t="str" s="2">
        <x:v>1.1</x:v>
      </x:c>
      <x:c r="M938" t="str" s="2">
        <x:v>Tentative</x:v>
      </x:c>
      <x:c r="N938" t="str" s="2">
        <x:v>Deal Created</x:v>
      </x:c>
      <x:c r="O938" s="0"/>
      <x:c r="P938" s="6">
        <x:v>46261</x:v>
      </x:c>
      <x:c r="Q938" s="6">
        <x:v>46261.736106944445</x:v>
      </x:c>
      <x:c r="R938" s="0"/>
      <x:c r="S938" s="0"/>
      <x:c r="T938" s="0"/>
      <x:c r="U938" s="0"/>
      <x:c r="V938" s="0"/>
      <x:c r="W938" s="0"/>
      <x:c r="X938" t="str" s="2">
        <x:v>2292371456</x:v>
      </x:c>
      <x:c r="Y938" t="str" s="2">
        <x:v>jdfranklin032579@gmail.com</x:v>
      </x:c>
      <x:c r="Z938" s="0"/>
      <x:c r="AA938" s="0"/>
      <x:c r="AB938" s="6">
        <x:v>46261.736108680554</x:v>
      </x:c>
      <x:c r="AC938" t="n" s="2">
        <x:v>39429</x:v>
      </x:c>
      <x:c r="AD938" s="0"/>
      <x:c r="AE938" s="0"/>
      <x:c r="AF938" s="0"/>
      <x:c r="AG938" s="0"/>
      <x:c r="AH938" s="0"/>
      <x:c r="AI938" s="0"/>
      <x:c r="AJ938" s="0"/>
      <x:c r="AK938" s="0"/>
    </x:row>
    <x:row r="939">
      <x:c r="A939" t="str" s="2">
        <x:f>=HYPERLINK("https://rsms.futurehomex.com/lead/39430", "Kerstin Hunt")</x:f>
      </x:c>
      <x:c r="B939" t="n" s="2">
        <x:v>47</x:v>
      </x:c>
      <x:c r="C939" t="str" s="2">
        <x:v>0/2</x:v>
      </x:c>
      <x:c r="D939" t="str" s="2">
        <x:f>=""</x:f>
      </x:c>
      <x:c r="E939" s="0"/>
      <x:c r="F939" t="str" s="2">
        <x:v>Landing_BPM</x:v>
      </x:c>
      <x:c r="G939" t="str" s="2">
        <x:v>Heritage Housing of Oklahoma City</x:v>
      </x:c>
      <x:c r="H939" t="str" s="2">
        <x:v>Steve Castell</x:v>
      </x:c>
      <x:c r="I939" s="0"/>
      <x:c r="J939" t="str" s="2">
        <x:v>Richard Bell</x:v>
      </x:c>
      <x:c r="K939" t="n" s="2">
        <x:v>5</x:v>
      </x:c>
      <x:c r="L939" t="str" s="2">
        <x:v>1.1</x:v>
      </x:c>
      <x:c r="M939" t="str" s="2">
        <x:v>Dead</x:v>
      </x:c>
      <x:c r="N939" t="str" s="2">
        <x:v>Deal Created</x:v>
      </x:c>
      <x:c r="O939" s="0"/>
      <x:c r="P939" s="6">
        <x:v>46261</x:v>
      </x:c>
      <x:c r="Q939" s="6">
        <x:v>46261.794237766204</x:v>
      </x:c>
      <x:c r="R939" s="0"/>
      <x:c r="S939" s="0"/>
      <x:c r="T939" s="0"/>
      <x:c r="U939" s="0"/>
      <x:c r="V939" s="0"/>
      <x:c r="W939" s="0"/>
      <x:c r="X939" t="str" s="2">
        <x:v>4054286439</x:v>
      </x:c>
      <x:c r="Y939" t="str" s="2">
        <x:v>sherwoodkerstin0@gmail.com</x:v>
      </x:c>
      <x:c r="Z939" s="6">
        <x:v>46261.9451503125</x:v>
      </x:c>
      <x:c r="AA939" t="str" s="2">
        <x:v>Steve Castell</x:v>
      </x:c>
      <x:c r="AB939" s="6">
        <x:v>46261.79404988426</x:v>
      </x:c>
      <x:c r="AC939" t="n" s="2">
        <x:v>39430</x:v>
      </x:c>
      <x:c r="AD939" s="0"/>
      <x:c r="AE939" s="0"/>
      <x:c r="AF939" s="0"/>
      <x:c r="AG939" s="0"/>
      <x:c r="AH939" s="0"/>
      <x:c r="AI939" s="0"/>
      <x:c r="AJ939" s="0"/>
      <x:c r="AK939" s="0"/>
    </x:row>
    <x:row r="940">
      <x:c r="A940" t="str" s="2">
        <x:f>=HYPERLINK("https://rsms.futurehomex.com/lead/39432", "Jenelle Thibodeaux")</x:f>
      </x:c>
      <x:c r="B940" t="n" s="2">
        <x:v>47</x:v>
      </x:c>
      <x:c r="C940" t="str" s="2">
        <x:v>1/2</x:v>
      </x:c>
      <x:c r="D940" t="str" s="2">
        <x:f>="CASH"</x:f>
      </x:c>
      <x:c r="E940" s="0"/>
      <x:c r="F940" t="str" s="2">
        <x:v>Walk-in</x:v>
      </x:c>
      <x:c r="G940" t="str" s="2">
        <x:v>Heritage Housing of Jennings</x:v>
      </x:c>
      <x:c r="H940" t="str" s="2">
        <x:v>Clint O'Neal</x:v>
      </x:c>
      <x:c r="I940" s="0"/>
      <x:c r="J940" s="0"/>
      <x:c r="K940" t="n" s="2">
        <x:v>80</x:v>
      </x:c>
      <x:c r="L940" t="str" s="2">
        <x:v>5.3</x:v>
      </x:c>
      <x:c r="M940" t="str" s="2">
        <x:v>Active</x:v>
      </x:c>
      <x:c r="N940" t="str" s="2">
        <x:v>Pending Delivery</x:v>
      </x:c>
      <x:c r="O940" s="6">
        <x:v>46341</x:v>
      </x:c>
      <x:c r="P940" s="6">
        <x:v>46261</x:v>
      </x:c>
      <x:c r="Q940" s="6">
        <x:v>46296.5173746875</x:v>
      </x:c>
      <x:c r="R940" s="0"/>
      <x:c r="S940" s="6">
        <x:v>46261</x:v>
      </x:c>
      <x:c r="T940" s="6">
        <x:v>46261</x:v>
      </x:c>
      <x:c r="U940" s="6">
        <x:v>46273</x:v>
      </x:c>
      <x:c r="V940" s="0"/>
      <x:c r="W940" s="0"/>
      <x:c r="X940" t="str" s="2">
        <x:v>3373687655</x:v>
      </x:c>
      <x:c r="Y940" t="str" s="2">
        <x:v>willlfontenot@gmail.com</x:v>
      </x:c>
      <x:c r="Z940" s="6">
        <x:v>46286.63364054398</x:v>
      </x:c>
      <x:c r="AA940" t="str" s="2">
        <x:v>Tina Dallas</x:v>
      </x:c>
      <x:c r="AB940" s="6">
        <x:v>46261.811270335646</x:v>
      </x:c>
      <x:c r="AC940" t="n" s="2">
        <x:v>39432</x:v>
      </x:c>
      <x:c r="AD940" t="str" s="2">
        <x:v>Doublewide</x:v>
      </x:c>
      <x:c r="AE940" s="0"/>
      <x:c r="AF940" s="7">
        <x:v>500</x:v>
      </x:c>
      <x:c r="AG940" s="7">
        <x:v>107670.53</x:v>
      </x:c>
      <x:c r="AH940" s="7">
        <x:v>500</x:v>
      </x:c>
      <x:c r="AI940" s="0"/>
      <x:c r="AJ940" s="0"/>
      <x:c r="AK940" s="0"/>
    </x:row>
    <x:row r="941">
      <x:c r="A941" t="str" s="2">
        <x:f>=HYPERLINK("https://rsms.futurehomex.com/lead/39434", "Jose Arturo Pereira")</x:f>
      </x:c>
      <x:c r="B941" t="n" s="2">
        <x:v>47</x:v>
      </x:c>
      <x:c r="C941" t="str" s="2">
        <x:v>0/2</x:v>
      </x:c>
      <x:c r="D941" t="str" s="2">
        <x:f>=""</x:f>
      </x:c>
      <x:c r="E941" s="0"/>
      <x:c r="F941" t="str" s="2">
        <x:v>Referrals</x:v>
      </x:c>
      <x:c r="G941" t="str" s="2">
        <x:v>Legacy Housing Corp. DBA Americasa</x:v>
      </x:c>
      <x:c r="H941" t="str" s="2">
        <x:v>Joey Marquez</x:v>
      </x:c>
      <x:c r="I941" t="str" s="2">
        <x:v>Karol Romero</x:v>
      </x:c>
      <x:c r="J941" s="0"/>
      <x:c r="K941" t="n" s="2">
        <x:v>5</x:v>
      </x:c>
      <x:c r="L941" t="str" s="2">
        <x:v>1.1</x:v>
      </x:c>
      <x:c r="M941" t="str" s="2">
        <x:v>Tentative</x:v>
      </x:c>
      <x:c r="N941" t="str" s="2">
        <x:v>Prospect</x:v>
      </x:c>
      <x:c r="O941" s="0"/>
      <x:c r="P941" s="6">
        <x:v>46261</x:v>
      </x:c>
      <x:c r="Q941" s="6">
        <x:v>46261.844403159725</x:v>
      </x:c>
      <x:c r="R941" s="0"/>
      <x:c r="S941" s="0"/>
      <x:c r="T941" s="0"/>
      <x:c r="U941" s="0"/>
      <x:c r="V941" s="0"/>
      <x:c r="W941" s="0"/>
      <x:c r="X941" t="str" s="2">
        <x:v>7139920161</x:v>
      </x:c>
      <x:c r="Y941" t="str" s="2">
        <x:v>7139920161</x:v>
      </x:c>
      <x:c r="Z941" s="6">
        <x:v>46289.6157625</x:v>
      </x:c>
      <x:c r="AA941" t="str" s="2">
        <x:v>Joey Marquez</x:v>
      </x:c>
      <x:c r="AB941" s="6">
        <x:v>46261.83750046296</x:v>
      </x:c>
      <x:c r="AC941" t="n" s="2">
        <x:v>39434</x:v>
      </x:c>
      <x:c r="AD941" s="0"/>
      <x:c r="AE941" s="0"/>
      <x:c r="AF941" s="0"/>
      <x:c r="AG941" s="0"/>
      <x:c r="AH941" s="0"/>
      <x:c r="AI941" s="0"/>
      <x:c r="AJ941" s="0"/>
      <x:c r="AK941" s="0"/>
    </x:row>
    <x:row r="942">
      <x:c r="A942" t="str" s="2">
        <x:f>=HYPERLINK("https://rsms.futurehomex.com/lead/39435", "Lisa Husband")</x:f>
      </x:c>
      <x:c r="B942" t="n" s="2">
        <x:v>47</x:v>
      </x:c>
      <x:c r="C942" t="str" s="2">
        <x:v/>
      </x:c>
      <x:c r="D942" t="str" s="2">
        <x:f>=""</x:f>
      </x:c>
      <x:c r="E942" s="0"/>
      <x:c r="F942" t="str" s="2">
        <x:v>Walk-in</x:v>
      </x:c>
      <x:c r="G942" t="str" s="2">
        <x:v>Heritage Housing of Tulsa</x:v>
      </x:c>
      <x:c r="H942" t="str" s="2">
        <x:v>Brittany Cobb</x:v>
      </x:c>
      <x:c r="I942" s="0"/>
      <x:c r="J942" s="0"/>
      <x:c r="K942" t="n" s="2">
        <x:v>5</x:v>
      </x:c>
      <x:c r="L942" t="str" s="2">
        <x:v>1.1</x:v>
      </x:c>
      <x:c r="M942" t="str" s="2">
        <x:v>Dead</x:v>
      </x:c>
      <x:c r="N942" t="str" s="2">
        <x:v>Prospect</x:v>
      </x:c>
      <x:c r="O942" s="0"/>
      <x:c r="P942" s="6">
        <x:v>46261</x:v>
      </x:c>
      <x:c r="Q942" s="6">
        <x:v>46261.86049432871</x:v>
      </x:c>
      <x:c r="R942" s="0"/>
      <x:c r="S942" s="0"/>
      <x:c r="T942" s="0"/>
      <x:c r="U942" s="0"/>
      <x:c r="V942" s="0"/>
      <x:c r="W942" s="0"/>
      <x:c r="X942" t="str" s="2">
        <x:v>4057608343</x:v>
      </x:c>
      <x:c r="Y942" t="str" s="2">
        <x:v>husbandlisa380@gmail.com</x:v>
      </x:c>
      <x:c r="Z942" s="0"/>
      <x:c r="AA942" s="0"/>
      <x:c r="AB942" s="6">
        <x:v>46261.860495023146</x:v>
      </x:c>
      <x:c r="AC942" t="n" s="2">
        <x:v>39435</x:v>
      </x:c>
      <x:c r="AD942" s="0"/>
      <x:c r="AE942" s="0"/>
      <x:c r="AF942" s="0"/>
      <x:c r="AG942" s="0"/>
      <x:c r="AH942" s="0"/>
      <x:c r="AI942" s="0"/>
      <x:c r="AJ942" s="0"/>
      <x:c r="AK942" s="0"/>
    </x:row>
    <x:row r="943">
      <x:c r="A943" t="str" s="2">
        <x:f>=HYPERLINK("https://rsms.futurehomex.com/lead/39436", "Dion &amp; Angela Coats")</x:f>
      </x:c>
      <x:c r="B943" t="n" s="2">
        <x:v>47</x:v>
      </x:c>
      <x:c r="C943" t="str" s="2">
        <x:v>1/4</x:v>
      </x:c>
      <x:c r="D943" t="str" s="2">
        <x:f>=""</x:f>
      </x:c>
      <x:c r="E943" s="0"/>
      <x:c r="F943" t="str" s="2">
        <x:v>Other</x:v>
      </x:c>
      <x:c r="G943" t="str" s="2">
        <x:v>Heritage Housing of Oklahoma City</x:v>
      </x:c>
      <x:c r="H943" t="str" s="2">
        <x:v>Steve Castell</x:v>
      </x:c>
      <x:c r="I943" s="0"/>
      <x:c r="J943" t="str" s="2">
        <x:v>Steve Castell</x:v>
      </x:c>
      <x:c r="K943" t="n" s="2">
        <x:v>5</x:v>
      </x:c>
      <x:c r="L943" t="str" s="2">
        <x:v>1.1</x:v>
      </x:c>
      <x:c r="M943" t="str" s="2">
        <x:v>Tentative</x:v>
      </x:c>
      <x:c r="N943" t="str" s="2">
        <x:v>Deal Created</x:v>
      </x:c>
      <x:c r="O943" s="0"/>
      <x:c r="P943" s="6">
        <x:v>46261</x:v>
      </x:c>
      <x:c r="Q943" s="6">
        <x:v>46261.87042615741</x:v>
      </x:c>
      <x:c r="R943" s="0"/>
      <x:c r="S943" s="0"/>
      <x:c r="T943" s="0"/>
      <x:c r="U943" s="0"/>
      <x:c r="V943" s="0"/>
      <x:c r="W943" s="0"/>
      <x:c r="X943" t="str" s="2">
        <x:v>4056405012</x:v>
      </x:c>
      <x:c r="Y943" t="str" s="2">
        <x:v>dacoats414@gmail.com</x:v>
      </x:c>
      <x:c r="Z943" s="6">
        <x:v>46296.96215853009</x:v>
      </x:c>
      <x:c r="AA943" t="str" s="2">
        <x:v>Steve Castell</x:v>
      </x:c>
      <x:c r="AB943" s="6">
        <x:v>46261.870427581016</x:v>
      </x:c>
      <x:c r="AC943" t="n" s="2">
        <x:v>39436</x:v>
      </x:c>
      <x:c r="AD943" s="0"/>
      <x:c r="AE943" s="0"/>
      <x:c r="AF943" s="0"/>
      <x:c r="AG943" s="0"/>
      <x:c r="AH943" s="0"/>
      <x:c r="AI943" s="0"/>
      <x:c r="AJ943" s="0"/>
      <x:c r="AK943" s="0"/>
    </x:row>
    <x:row r="944">
      <x:c r="A944" t="str" s="2">
        <x:f>=HYPERLINK("https://rsms.futurehomex.com/lead/39437", "Latara Shipp")</x:f>
      </x:c>
      <x:c r="B944" t="n" s="2">
        <x:v>47</x:v>
      </x:c>
      <x:c r="C944" t="str" s="2">
        <x:v>0/1</x:v>
      </x:c>
      <x:c r="D944" t="str" s="2">
        <x:f>=""</x:f>
      </x:c>
      <x:c r="E944" s="0"/>
      <x:c r="F944" t="str" s="2">
        <x:v>Landing_BPM</x:v>
      </x:c>
      <x:c r="G944" t="str" s="2">
        <x:v>Heritage Housing of Oklahoma City</x:v>
      </x:c>
      <x:c r="H944" t="str" s="2">
        <x:v>Steve Castell</x:v>
      </x:c>
      <x:c r="I944" s="0"/>
      <x:c r="J944" t="str" s="2">
        <x:v>Steve Castell</x:v>
      </x:c>
      <x:c r="K944" t="n" s="2">
        <x:v>5</x:v>
      </x:c>
      <x:c r="L944" t="str" s="2">
        <x:v>1.1</x:v>
      </x:c>
      <x:c r="M944" t="str" s="2">
        <x:v>Dead</x:v>
      </x:c>
      <x:c r="N944" t="str" s="2">
        <x:v>Deal Created</x:v>
      </x:c>
      <x:c r="O944" s="0"/>
      <x:c r="P944" s="6">
        <x:v>46261</x:v>
      </x:c>
      <x:c r="Q944" s="6">
        <x:v>46261.97881400463</x:v>
      </x:c>
      <x:c r="R944" s="0"/>
      <x:c r="S944" s="0"/>
      <x:c r="T944" s="0"/>
      <x:c r="U944" s="0"/>
      <x:c r="V944" s="0"/>
      <x:c r="W944" s="0"/>
      <x:c r="X944" t="str" s="2">
        <x:v>9015039507</x:v>
      </x:c>
      <x:c r="Y944" t="str" s="2">
        <x:v>dabestship37@gmail.com</x:v>
      </x:c>
      <x:c r="Z944" s="6">
        <x:v>46266.0981033912</x:v>
      </x:c>
      <x:c r="AA944" t="str" s="2">
        <x:v>Steve Castell</x:v>
      </x:c>
      <x:c r="AB944" s="6">
        <x:v>46261.97881458333</x:v>
      </x:c>
      <x:c r="AC944" t="n" s="2">
        <x:v>39437</x:v>
      </x:c>
      <x:c r="AD944" s="0"/>
      <x:c r="AE944" s="0"/>
      <x:c r="AF944" s="0"/>
      <x:c r="AG944" s="0"/>
      <x:c r="AH944" s="0"/>
      <x:c r="AI944" s="0"/>
      <x:c r="AJ944" s="0"/>
      <x:c r="AK944" s="0"/>
    </x:row>
    <x:row r="945">
      <x:c r="A945" t="str" s="2">
        <x:f>=HYPERLINK("https://rsms.futurehomex.com/lead/39438", "Norma A Andaverdi")</x:f>
      </x:c>
      <x:c r="B945" t="n" s="2">
        <x:v>47</x:v>
      </x:c>
      <x:c r="C945" t="str" s="2">
        <x:v>0/2</x:v>
      </x:c>
      <x:c r="D945" t="str" s="2">
        <x:f>=""</x:f>
      </x:c>
      <x:c r="E945" s="0"/>
      <x:c r="F945" t="str" s="2">
        <x:v>Landing_BPM</x:v>
      </x:c>
      <x:c r="G945" t="str" s="2">
        <x:v>Heritage Housing of Oklahoma City</x:v>
      </x:c>
      <x:c r="H945" t="str" s="2">
        <x:v>Steve Castell</x:v>
      </x:c>
      <x:c r="I945" s="0"/>
      <x:c r="J945" t="str" s="2">
        <x:v>Steve Castell</x:v>
      </x:c>
      <x:c r="K945" t="n" s="2">
        <x:v>5</x:v>
      </x:c>
      <x:c r="L945" t="str" s="2">
        <x:v>1.1</x:v>
      </x:c>
      <x:c r="M945" t="str" s="2">
        <x:v>Dead</x:v>
      </x:c>
      <x:c r="N945" t="str" s="2">
        <x:v>Deal Created</x:v>
      </x:c>
      <x:c r="O945" s="0"/>
      <x:c r="P945" s="6">
        <x:v>46261</x:v>
      </x:c>
      <x:c r="Q945" s="6">
        <x:v>46261.98277299768</x:v>
      </x:c>
      <x:c r="R945" s="0"/>
      <x:c r="S945" s="0"/>
      <x:c r="T945" s="0"/>
      <x:c r="U945" s="0"/>
      <x:c r="V945" s="0"/>
      <x:c r="W945" s="0"/>
      <x:c r="X945" t="str" s="2">
        <x:v>9185234037</x:v>
      </x:c>
      <x:c r="Y945" t="str" s="2">
        <x:v>andaverdi23@gmail.com</x:v>
      </x:c>
      <x:c r="Z945" s="6">
        <x:v>46276.93476045139</x:v>
      </x:c>
      <x:c r="AA945" t="str" s="2">
        <x:v>Steve Castell</x:v>
      </x:c>
      <x:c r="AB945" s="6">
        <x:v>46261.98277361111</x:v>
      </x:c>
      <x:c r="AC945" t="n" s="2">
        <x:v>39438</x:v>
      </x:c>
      <x:c r="AD945" s="0"/>
      <x:c r="AE945" s="0"/>
      <x:c r="AF945" s="0"/>
      <x:c r="AG945" s="0"/>
      <x:c r="AH945" s="0"/>
      <x:c r="AI945" s="0"/>
      <x:c r="AJ945" s="0"/>
      <x:c r="AK945" s="0"/>
    </x:row>
    <x:row r="946">
      <x:c r="A946" t="str" s="2">
        <x:f>=HYPERLINK("https://rsms.futurehomex.com/lead/39439", "Sharon Reynolds")</x:f>
      </x:c>
      <x:c r="B946" t="n" s="2">
        <x:v>46</x:v>
      </x:c>
      <x:c r="C946" t="str" s="2">
        <x:v/>
      </x:c>
      <x:c r="D946" t="str" s="2">
        <x:f>=""</x:f>
      </x:c>
      <x:c r="E946" s="0"/>
      <x:c r="F946" t="str" s="2">
        <x:v>Facebook Messenger</x:v>
      </x:c>
      <x:c r="G946" t="str" s="2">
        <x:v>Heritage Housing of Asheboro</x:v>
      </x:c>
      <x:c r="H946" t="str" s="2">
        <x:v>Maria Lopez</x:v>
      </x:c>
      <x:c r="I946" s="0"/>
      <x:c r="J946" s="0"/>
      <x:c r="K946" t="n" s="2">
        <x:v>21</x:v>
      </x:c>
      <x:c r="L946" t="str" s="2">
        <x:v>2.1</x:v>
      </x:c>
      <x:c r="M946" t="str" s="2">
        <x:v>Dead</x:v>
      </x:c>
      <x:c r="N946" t="str" s="2">
        <x:v>Qualified</x:v>
      </x:c>
      <x:c r="O946" s="0"/>
      <x:c r="P946" s="6">
        <x:v>46262</x:v>
      </x:c>
      <x:c r="Q946" s="6">
        <x:v>46262.67421508102</x:v>
      </x:c>
      <x:c r="R946" s="0"/>
      <x:c r="S946" s="6">
        <x:v>46262</x:v>
      </x:c>
      <x:c r="T946" s="0"/>
      <x:c r="U946" s="0"/>
      <x:c r="V946" s="0"/>
      <x:c r="W946" s="0"/>
      <x:c r="X946" t="str" s="2">
        <x:v>3369634791</x:v>
      </x:c>
      <x:c r="Y946" t="str" s="2">
        <x:v>spreynolds83@yahoo.com</x:v>
      </x:c>
      <x:c r="Z946" s="6">
        <x:v>46268.77610297454</x:v>
      </x:c>
      <x:c r="AA946" t="str" s="2">
        <x:v>Maria Lopez</x:v>
      </x:c>
      <x:c r="AB946" s="6">
        <x:v>46262.53597592592</x:v>
      </x:c>
      <x:c r="AC946" t="n" s="2">
        <x:v>39439</x:v>
      </x:c>
      <x:c r="AD946" s="0"/>
      <x:c r="AE946" s="0"/>
      <x:c r="AF946" s="0"/>
      <x:c r="AG946" s="0"/>
      <x:c r="AH946" s="0"/>
      <x:c r="AI946" s="0"/>
      <x:c r="AJ946" s="0"/>
      <x:c r="AK946" s="0"/>
    </x:row>
    <x:row r="947">
      <x:c r="A947" t="str" s="2">
        <x:f>=HYPERLINK("https://rsms.futurehomex.com/lead/39440", "Jose Martinez")</x:f>
      </x:c>
      <x:c r="B947" t="n" s="2">
        <x:v>46</x:v>
      </x:c>
      <x:c r="C947" t="str" s="2">
        <x:v/>
      </x:c>
      <x:c r="D947" t="str" s="2">
        <x:f>=""</x:f>
      </x:c>
      <x:c r="E947" s="0"/>
      <x:c r="F947" t="str" s="2">
        <x:v>Walk-in</x:v>
      </x:c>
      <x:c r="G947" t="str" s="2">
        <x:v>Heritage Housing of Asheboro</x:v>
      </x:c>
      <x:c r="H947" t="str" s="2">
        <x:v>Maria Lopez</x:v>
      </x:c>
      <x:c r="I947" s="0"/>
      <x:c r="J947" s="0"/>
      <x:c r="K947" t="n" s="2">
        <x:v>21</x:v>
      </x:c>
      <x:c r="L947" t="str" s="2">
        <x:v>2.1</x:v>
      </x:c>
      <x:c r="M947" t="str" s="2">
        <x:v>Tentative</x:v>
      </x:c>
      <x:c r="N947" t="str" s="2">
        <x:v>Qualified</x:v>
      </x:c>
      <x:c r="O947" s="0"/>
      <x:c r="P947" s="6">
        <x:v>46262</x:v>
      </x:c>
      <x:c r="Q947" s="6">
        <x:v>46262.674477465276</x:v>
      </x:c>
      <x:c r="R947" s="0"/>
      <x:c r="S947" s="0"/>
      <x:c r="T947" s="0"/>
      <x:c r="U947" s="0"/>
      <x:c r="V947" s="0"/>
      <x:c r="W947" s="0"/>
      <x:c r="X947" t="str" s="2">
        <x:v>4722037500</x:v>
      </x:c>
      <x:c r="Y947" t="str" s="2">
        <x:v>pantita605@gmail.com</x:v>
      </x:c>
      <x:c r="Z947" s="6">
        <x:v>46262.88694285879</x:v>
      </x:c>
      <x:c r="AA947" t="str" s="2">
        <x:v>Maria Lopez</x:v>
      </x:c>
      <x:c r="AB947" s="6">
        <x:v>46262.551609988426</x:v>
      </x:c>
      <x:c r="AC947" t="n" s="2">
        <x:v>39440</x:v>
      </x:c>
      <x:c r="AD947" s="0"/>
      <x:c r="AE947" s="0"/>
      <x:c r="AF947" s="0"/>
      <x:c r="AG947" s="0"/>
      <x:c r="AH947" s="0"/>
      <x:c r="AI947" s="0"/>
      <x:c r="AJ947" s="0"/>
      <x:c r="AK947" s="0"/>
    </x:row>
    <x:row r="948">
      <x:c r="A948" t="str" s="2">
        <x:f>=HYPERLINK("https://rsms.futurehomex.com/lead/39441", "Nathan Seeley")</x:f>
      </x:c>
      <x:c r="B948" t="n" s="2">
        <x:v>46</x:v>
      </x:c>
      <x:c r="C948" t="str" s="2">
        <x:v>1/1</x:v>
      </x:c>
      <x:c r="D948" t="str" s="2">
        <x:f>=""</x:f>
      </x:c>
      <x:c r="E948" s="0"/>
      <x:c r="F948" t="str" s="2">
        <x:v>Walk-in</x:v>
      </x:c>
      <x:c r="G948" t="str" s="2">
        <x:v>Heritage Housing of Oklahoma City</x:v>
      </x:c>
      <x:c r="H948" t="str" s="2">
        <x:v>Trey Rixleben</x:v>
      </x:c>
      <x:c r="I948" s="0"/>
      <x:c r="J948" s="0"/>
      <x:c r="K948" t="n" s="2">
        <x:v>5</x:v>
      </x:c>
      <x:c r="L948" t="str" s="2">
        <x:v>1.1</x:v>
      </x:c>
      <x:c r="M948" t="str" s="2">
        <x:v>Tentative</x:v>
      </x:c>
      <x:c r="N948" t="str" s="2">
        <x:v>Deal Created</x:v>
      </x:c>
      <x:c r="O948" s="0"/>
      <x:c r="P948" s="6">
        <x:v>46262</x:v>
      </x:c>
      <x:c r="Q948" s="6">
        <x:v>46296.70462696759</x:v>
      </x:c>
      <x:c r="R948" s="0"/>
      <x:c r="S948" s="6">
        <x:v>46261</x:v>
      </x:c>
      <x:c r="T948" s="0"/>
      <x:c r="U948" s="0"/>
      <x:c r="V948" s="0"/>
      <x:c r="W948" s="0"/>
      <x:c r="X948" t="str" s="2">
        <x:v>4059153570</x:v>
      </x:c>
      <x:c r="Y948" t="str" s="2">
        <x:v>Nathanseeley06@gmail.com</x:v>
      </x:c>
      <x:c r="Z948" s="6">
        <x:v>46296.70621438658</x:v>
      </x:c>
      <x:c r="AA948" t="str" s="2">
        <x:v>Trey Rixleben</x:v>
      </x:c>
      <x:c r="AB948" s="6">
        <x:v>46262.64666643518</x:v>
      </x:c>
      <x:c r="AC948" t="n" s="2">
        <x:v>39441</x:v>
      </x:c>
      <x:c r="AD948" s="0"/>
      <x:c r="AE948" s="0"/>
      <x:c r="AF948" s="0"/>
      <x:c r="AG948" s="0"/>
      <x:c r="AH948" s="0"/>
      <x:c r="AI948" s="0"/>
      <x:c r="AJ948" s="0"/>
      <x:c r="AK948" s="0"/>
    </x:row>
    <x:row r="949">
      <x:c r="A949" t="str" s="2">
        <x:f>=HYPERLINK("https://rsms.futurehomex.com/lead/39442", "Jada Bishop")</x:f>
      </x:c>
      <x:c r="B949" t="n" s="2">
        <x:v>46</x:v>
      </x:c>
      <x:c r="C949" t="str" s="2">
        <x:v>1/5</x:v>
      </x:c>
      <x:c r="D949" t="str" s="2">
        <x:f>=""</x:f>
      </x:c>
      <x:c r="E949" s="0"/>
      <x:c r="F949" t="str" s="2">
        <x:v>Landing_BPM</x:v>
      </x:c>
      <x:c r="G949" t="str" s="2">
        <x:v>Heritage Housing of Oklahoma City</x:v>
      </x:c>
      <x:c r="H949" t="str" s="2">
        <x:v>Alejandra Calderon</x:v>
      </x:c>
      <x:c r="I949" s="0"/>
      <x:c r="J949" t="str" s="2">
        <x:v>Richard Bell</x:v>
      </x:c>
      <x:c r="K949" t="n" s="2">
        <x:v>5</x:v>
      </x:c>
      <x:c r="L949" t="str" s="2">
        <x:v>1.1</x:v>
      </x:c>
      <x:c r="M949" t="str" s="2">
        <x:v>Tentative</x:v>
      </x:c>
      <x:c r="N949" t="str" s="2">
        <x:v>Deal Created</x:v>
      </x:c>
      <x:c r="O949" s="0"/>
      <x:c r="P949" s="6">
        <x:v>46262</x:v>
      </x:c>
      <x:c r="Q949" s="6">
        <x:v>46270.8247059375</x:v>
      </x:c>
      <x:c r="R949" s="0"/>
      <x:c r="S949" s="0"/>
      <x:c r="T949" s="0"/>
      <x:c r="U949" s="0"/>
      <x:c r="V949" s="0"/>
      <x:c r="W949" s="0"/>
      <x:c r="X949" t="str" s="2">
        <x:v>4173858421</x:v>
      </x:c>
      <x:c r="Y949" t="str" s="2">
        <x:v>jada.bishop57@gmail.com</x:v>
      </x:c>
      <x:c r="Z949" s="6">
        <x:v>46289.97982627315</x:v>
      </x:c>
      <x:c r="AA949" t="str" s="2">
        <x:v>Alejandra Calderon</x:v>
      </x:c>
      <x:c r="AB949" s="6">
        <x:v>46262.6538255787</x:v>
      </x:c>
      <x:c r="AC949" t="n" s="2">
        <x:v>39442</x:v>
      </x:c>
      <x:c r="AD949" s="0"/>
      <x:c r="AE949" s="0"/>
      <x:c r="AF949" s="0"/>
      <x:c r="AG949" s="0"/>
      <x:c r="AH949" s="0"/>
      <x:c r="AI949" s="0"/>
      <x:c r="AJ949" s="0"/>
      <x:c r="AK949" s="0"/>
    </x:row>
    <x:row r="950">
      <x:c r="A950" t="str" s="2">
        <x:f>=HYPERLINK("https://rsms.futurehomex.com/lead/39443", "Allie Briley")</x:f>
      </x:c>
      <x:c r="B950" t="n" s="2">
        <x:v>46</x:v>
      </x:c>
      <x:c r="C950" t="str" s="2">
        <x:v/>
      </x:c>
      <x:c r="D950" t="str" s="2">
        <x:f>=""</x:f>
      </x:c>
      <x:c r="E950" s="0"/>
      <x:c r="F950" t="str" s="2">
        <x:v>Walk-in</x:v>
      </x:c>
      <x:c r="G950" t="str" s="2">
        <x:v>Heritage Housing of Asheboro</x:v>
      </x:c>
      <x:c r="H950" t="str" s="2">
        <x:v>Maria Lopez</x:v>
      </x:c>
      <x:c r="I950" s="0"/>
      <x:c r="J950" s="0"/>
      <x:c r="K950" t="n" s="2">
        <x:v>21</x:v>
      </x:c>
      <x:c r="L950" t="str" s="2">
        <x:v>2.1</x:v>
      </x:c>
      <x:c r="M950" t="str" s="2">
        <x:v>Tentative</x:v>
      </x:c>
      <x:c r="N950" t="str" s="2">
        <x:v>Qualified</x:v>
      </x:c>
      <x:c r="O950" s="0"/>
      <x:c r="P950" s="6">
        <x:v>46262</x:v>
      </x:c>
      <x:c r="Q950" s="6">
        <x:v>46262.67320269676</x:v>
      </x:c>
      <x:c r="R950" s="0"/>
      <x:c r="S950" s="6">
        <x:v>46262</x:v>
      </x:c>
      <x:c r="T950" s="0"/>
      <x:c r="U950" s="0"/>
      <x:c r="V950" s="0"/>
      <x:c r="W950" s="0"/>
      <x:c r="X950" t="str" s="2">
        <x:v>3366879225</x:v>
      </x:c>
      <x:c r="Y950" t="str" s="2">
        <x:v>triplejay2804@gmail.com</x:v>
      </x:c>
      <x:c r="Z950" s="6">
        <x:v>46262.88593943287</x:v>
      </x:c>
      <x:c r="AA950" t="str" s="2">
        <x:v>Maria Lopez</x:v>
      </x:c>
      <x:c r="AB950" s="6">
        <x:v>46262.6693071412</x:v>
      </x:c>
      <x:c r="AC950" t="n" s="2">
        <x:v>39443</x:v>
      </x:c>
      <x:c r="AD950" s="0"/>
      <x:c r="AE950" s="0"/>
      <x:c r="AF950" s="0"/>
      <x:c r="AG950" s="0"/>
      <x:c r="AH950" s="0"/>
      <x:c r="AI950" s="0"/>
      <x:c r="AJ950" s="0"/>
      <x:c r="AK950" s="0"/>
    </x:row>
    <x:row r="951">
      <x:c r="A951" t="str" s="2">
        <x:f>=HYPERLINK("https://rsms.futurehomex.com/lead/39446", "Manuel Camacho")</x:f>
      </x:c>
      <x:c r="B951" t="n" s="2">
        <x:v>46</x:v>
      </x:c>
      <x:c r="C951" t="str" s="2">
        <x:v>0/3</x:v>
      </x:c>
      <x:c r="D951" t="str" s="2">
        <x:f>=""</x:f>
      </x:c>
      <x:c r="E951" s="0"/>
      <x:c r="F951" t="str" s="2">
        <x:v>Landing_BPM</x:v>
      </x:c>
      <x:c r="G951" t="str" s="2">
        <x:v>Heritage Housing of Oklahoma City</x:v>
      </x:c>
      <x:c r="H951" t="str" s="2">
        <x:v>Alejandra Calderon</x:v>
      </x:c>
      <x:c r="I951" s="0"/>
      <x:c r="J951" t="str" s="2">
        <x:v>Alejandra Calderon</x:v>
      </x:c>
      <x:c r="K951" t="n" s="2">
        <x:v>5</x:v>
      </x:c>
      <x:c r="L951" t="str" s="2">
        <x:v>1.1</x:v>
      </x:c>
      <x:c r="M951" t="str" s="2">
        <x:v>Dead</x:v>
      </x:c>
      <x:c r="N951" t="str" s="2">
        <x:v>Deal Created</x:v>
      </x:c>
      <x:c r="O951" s="0"/>
      <x:c r="P951" s="6">
        <x:v>46262</x:v>
      </x:c>
      <x:c r="Q951" s="6">
        <x:v>46266.86374837963</x:v>
      </x:c>
      <x:c r="R951" s="0"/>
      <x:c r="S951" s="0"/>
      <x:c r="T951" s="0"/>
      <x:c r="U951" s="0"/>
      <x:c r="V951" s="0"/>
      <x:c r="W951" s="0"/>
      <x:c r="X951" t="str" s="2">
        <x:v>9188537087</x:v>
      </x:c>
      <x:c r="Y951" t="str" s="2">
        <x:v>4eimh6526@gmail.com</x:v>
      </x:c>
      <x:c r="Z951" s="6">
        <x:v>46280.95947862269</x:v>
      </x:c>
      <x:c r="AA951" t="str" s="2">
        <x:v>Alejandra Calderon</x:v>
      </x:c>
      <x:c r="AB951" s="6">
        <x:v>46262.70869417824</x:v>
      </x:c>
      <x:c r="AC951" t="n" s="2">
        <x:v>39446</x:v>
      </x:c>
      <x:c r="AD951" s="0"/>
      <x:c r="AE951" s="0"/>
      <x:c r="AF951" s="0"/>
      <x:c r="AG951" s="0"/>
      <x:c r="AH951" s="0"/>
      <x:c r="AI951" s="0"/>
      <x:c r="AJ951" s="0"/>
      <x:c r="AK951" s="0"/>
    </x:row>
    <x:row r="952">
      <x:c r="A952" t="str" s="2">
        <x:f>=HYPERLINK("https://rsms.futurehomex.com/lead/39447", "Yovani Ochoa")</x:f>
      </x:c>
      <x:c r="B952" t="n" s="2">
        <x:v>46</x:v>
      </x:c>
      <x:c r="C952" t="str" s="2">
        <x:v/>
      </x:c>
      <x:c r="D952" t="str" s="2">
        <x:f>=""</x:f>
      </x:c>
      <x:c r="E952" s="0"/>
      <x:c r="F952" t="str" s="2">
        <x:v>Meta Marketplace</x:v>
      </x:c>
      <x:c r="G952" t="str" s="2">
        <x:v>Heritage Housing Mt Pleasant</x:v>
      </x:c>
      <x:c r="H952" t="str" s="2">
        <x:v>Elias Gallardo</x:v>
      </x:c>
      <x:c r="I952" s="0"/>
      <x:c r="J952" t="str" s="2">
        <x:v>Elias Gallardo</x:v>
      </x:c>
      <x:c r="K952" t="n" s="2">
        <x:v>5</x:v>
      </x:c>
      <x:c r="L952" t="str" s="2">
        <x:v>1.1</x:v>
      </x:c>
      <x:c r="M952" t="str" s="2">
        <x:v>Active</x:v>
      </x:c>
      <x:c r="N952" t="str" s="2">
        <x:v>Deal Created</x:v>
      </x:c>
      <x:c r="O952" s="0"/>
      <x:c r="P952" s="6">
        <x:v>46262</x:v>
      </x:c>
      <x:c r="Q952" s="6">
        <x:v>46262.72669012732</x:v>
      </x:c>
      <x:c r="R952" s="0"/>
      <x:c r="S952" s="0"/>
      <x:c r="T952" s="0"/>
      <x:c r="U952" s="0"/>
      <x:c r="V952" s="0"/>
      <x:c r="W952" s="0"/>
      <x:c r="X952" t="str" s="2">
        <x:v>9039522968</x:v>
      </x:c>
      <x:c r="Y952" t="str" s="2">
        <x:v>9039522968</x:v>
      </x:c>
      <x:c r="Z952" s="0"/>
      <x:c r="AA952" s="0"/>
      <x:c r="AB952" s="6">
        <x:v>46262.72669181713</x:v>
      </x:c>
      <x:c r="AC952" t="n" s="2">
        <x:v>39447</x:v>
      </x:c>
      <x:c r="AD952" s="0"/>
      <x:c r="AE952" s="0"/>
      <x:c r="AF952" s="0"/>
      <x:c r="AG952" s="0"/>
      <x:c r="AH952" s="0"/>
      <x:c r="AI952" s="0"/>
      <x:c r="AJ952" s="0"/>
      <x:c r="AK952" s="0"/>
    </x:row>
    <x:row r="953">
      <x:c r="A953" t="str" s="2">
        <x:f>=HYPERLINK("https://rsms.futurehomex.com/lead/39449", "Dane Athens Test")</x:f>
      </x:c>
      <x:c r="B953" t="n" s="2">
        <x:v>46</x:v>
      </x:c>
      <x:c r="C953" t="str" s="2">
        <x:v/>
      </x:c>
      <x:c r="D953" t="str" s="2">
        <x:f>=""</x:f>
      </x:c>
      <x:c r="E953" s="0"/>
      <x:c r="F953" t="str" s="2">
        <x:v>Walk-in</x:v>
      </x:c>
      <x:c r="G953" t="str" s="2">
        <x:v>Heritage Housing of Athens</x:v>
      </x:c>
      <x:c r="H953" t="str" s="2">
        <x:v>Dane Lara</x:v>
      </x:c>
      <x:c r="I953" s="0"/>
      <x:c r="J953" s="0"/>
      <x:c r="K953" t="n" s="2">
        <x:v>5</x:v>
      </x:c>
      <x:c r="L953" t="str" s="2">
        <x:v>1.1</x:v>
      </x:c>
      <x:c r="M953" t="str" s="2">
        <x:v>Dead</x:v>
      </x:c>
      <x:c r="N953" t="str" s="2">
        <x:v>Prospect</x:v>
      </x:c>
      <x:c r="O953" s="0"/>
      <x:c r="P953" s="6">
        <x:v>46262</x:v>
      </x:c>
      <x:c r="Q953" s="6">
        <x:v>46275.85577326389</x:v>
      </x:c>
      <x:c r="R953" s="0"/>
      <x:c r="S953" s="6">
        <x:v>46275</x:v>
      </x:c>
      <x:c r="T953" s="0"/>
      <x:c r="U953" s="0"/>
      <x:c r="V953" s="0"/>
      <x:c r="W953" s="0"/>
      <x:c r="X953" t="str" s="2">
        <x:v>9874321765</x:v>
      </x:c>
      <x:c r="Y953" t="str" s="2">
        <x:v>daneathenstest@nomail.com</x:v>
      </x:c>
      <x:c r="Z953" s="0"/>
      <x:c r="AA953" s="0"/>
      <x:c r="AB953" s="6">
        <x:v>46262.79846689815</x:v>
      </x:c>
      <x:c r="AC953" t="n" s="2">
        <x:v>39449</x:v>
      </x:c>
      <x:c r="AD953" s="0"/>
      <x:c r="AE953" s="0"/>
      <x:c r="AF953" s="0"/>
      <x:c r="AG953" s="0"/>
      <x:c r="AH953" s="0"/>
      <x:c r="AI953" s="0"/>
      <x:c r="AJ953" s="0"/>
      <x:c r="AK953" s="0"/>
    </x:row>
    <x:row r="954">
      <x:c r="A954" t="str" s="2">
        <x:f>=HYPERLINK("https://rsms.futurehomex.com/lead/39450", "Dane Asheboro Test")</x:f>
      </x:c>
      <x:c r="B954" t="n" s="2">
        <x:v>46</x:v>
      </x:c>
      <x:c r="C954" t="str" s="2">
        <x:v/>
      </x:c>
      <x:c r="D954" t="str" s="2">
        <x:f>=""</x:f>
      </x:c>
      <x:c r="E954" s="0"/>
      <x:c r="F954" t="str" s="2">
        <x:v>Walk-in</x:v>
      </x:c>
      <x:c r="G954" t="str" s="2">
        <x:v>Heritage Housing of Asheboro</x:v>
      </x:c>
      <x:c r="H954" t="str" s="2">
        <x:v>Dane Lara</x:v>
      </x:c>
      <x:c r="I954" s="0"/>
      <x:c r="J954" s="0"/>
      <x:c r="K954" t="n" s="2">
        <x:v>5</x:v>
      </x:c>
      <x:c r="L954" t="str" s="2">
        <x:v>1.1</x:v>
      </x:c>
      <x:c r="M954" t="str" s="2">
        <x:v>Dead</x:v>
      </x:c>
      <x:c r="N954" t="str" s="2">
        <x:v>Prospect</x:v>
      </x:c>
      <x:c r="O954" s="0"/>
      <x:c r="P954" s="6">
        <x:v>46262</x:v>
      </x:c>
      <x:c r="Q954" s="6">
        <x:v>46262.80044684028</x:v>
      </x:c>
      <x:c r="R954" s="0"/>
      <x:c r="S954" s="0"/>
      <x:c r="T954" s="0"/>
      <x:c r="U954" s="0"/>
      <x:c r="V954" s="0"/>
      <x:c r="W954" s="0"/>
      <x:c r="X954" t="str" s="2">
        <x:v>8756370026</x:v>
      </x:c>
      <x:c r="Y954" t="str" s="2">
        <x:v>daneasheborotest@nomail.com</x:v>
      </x:c>
      <x:c r="Z954" s="0"/>
      <x:c r="AA954" s="0"/>
      <x:c r="AB954" s="6">
        <x:v>46262.80044733796</x:v>
      </x:c>
      <x:c r="AC954" t="n" s="2">
        <x:v>39450</x:v>
      </x:c>
      <x:c r="AD954" s="0"/>
      <x:c r="AE954" s="0"/>
      <x:c r="AF954" s="0"/>
      <x:c r="AG954" s="0"/>
      <x:c r="AH954" s="0"/>
      <x:c r="AI954" s="0"/>
      <x:c r="AJ954" s="0"/>
      <x:c r="AK954" s="0"/>
    </x:row>
    <x:row r="955">
      <x:c r="A955" t="str" s="2">
        <x:f>=HYPERLINK("https://rsms.futurehomex.com/lead/39451", "Dane Maria Test")</x:f>
      </x:c>
      <x:c r="B955" t="n" s="2">
        <x:v>46</x:v>
      </x:c>
      <x:c r="C955" t="str" s="2">
        <x:v>0/2</x:v>
      </x:c>
      <x:c r="D955" t="str" s="2">
        <x:f>=""</x:f>
      </x:c>
      <x:c r="E955" s="0"/>
      <x:c r="F955" t="str" s="2">
        <x:v>Walk-in</x:v>
      </x:c>
      <x:c r="G955" t="str" s="2">
        <x:v>Heritage Housing of Asheboro</x:v>
      </x:c>
      <x:c r="H955" t="str" s="2">
        <x:v>Maria Lopez</x:v>
      </x:c>
      <x:c r="I955" s="0"/>
      <x:c r="J955" s="0"/>
      <x:c r="K955" t="n" s="2">
        <x:v>5</x:v>
      </x:c>
      <x:c r="L955" t="str" s="2">
        <x:v>1.1</x:v>
      </x:c>
      <x:c r="M955" t="str" s="2">
        <x:v>Dead</x:v>
      </x:c>
      <x:c r="N955" t="str" s="2">
        <x:v>Prospect</x:v>
      </x:c>
      <x:c r="O955" s="0"/>
      <x:c r="P955" s="6">
        <x:v>46262</x:v>
      </x:c>
      <x:c r="Q955" s="6">
        <x:v>46269.83363734954</x:v>
      </x:c>
      <x:c r="R955" s="0"/>
      <x:c r="S955" s="6">
        <x:v>46269</x:v>
      </x:c>
      <x:c r="T955" s="0"/>
      <x:c r="U955" s="0"/>
      <x:c r="V955" s="0"/>
      <x:c r="W955" s="0"/>
      <x:c r="X955" t="str" s="2">
        <x:v>8528056735</x:v>
      </x:c>
      <x:c r="Y955" t="str" s="2">
        <x:v>danemaria@nomail.com</x:v>
      </x:c>
      <x:c r="Z955" s="6">
        <x:v>46269.829327928244</x:v>
      </x:c>
      <x:c r="AA955" t="str" s="2">
        <x:v>Dane Lara</x:v>
      </x:c>
      <x:c r="AB955" s="6">
        <x:v>46262.80716924769</x:v>
      </x:c>
      <x:c r="AC955" t="n" s="2">
        <x:v>39451</x:v>
      </x:c>
      <x:c r="AD955" s="0"/>
      <x:c r="AE955" s="0"/>
      <x:c r="AF955" s="0"/>
      <x:c r="AG955" s="7">
        <x:v>20000</x:v>
      </x:c>
      <x:c r="AH955" s="0"/>
      <x:c r="AI955" s="0"/>
      <x:c r="AJ955" s="0"/>
      <x:c r="AK955" s="0"/>
    </x:row>
    <x:row r="956">
      <x:c r="A956" t="str" s="2">
        <x:f>=HYPERLINK("https://rsms.futurehomex.com/lead/39453", "Derico Hart")</x:f>
      </x:c>
      <x:c r="B956" t="n" s="2">
        <x:v>46</x:v>
      </x:c>
      <x:c r="C956" t="str" s="2">
        <x:v/>
      </x:c>
      <x:c r="D956" t="str" s="2">
        <x:f>=""</x:f>
      </x:c>
      <x:c r="E956" s="0"/>
      <x:c r="F956" t="str" s="2">
        <x:v>Walk-in</x:v>
      </x:c>
      <x:c r="G956" t="str" s="2">
        <x:v>Heritage Housing of Asheboro</x:v>
      </x:c>
      <x:c r="H956" t="str" s="2">
        <x:v>Maria Lopez</x:v>
      </x:c>
      <x:c r="I956" s="0"/>
      <x:c r="J956" s="0"/>
      <x:c r="K956" t="n" s="2">
        <x:v>5</x:v>
      </x:c>
      <x:c r="L956" t="str" s="2">
        <x:v>1.1</x:v>
      </x:c>
      <x:c r="M956" t="str" s="2">
        <x:v>Dead</x:v>
      </x:c>
      <x:c r="N956" t="str" s="2">
        <x:v>Prospect</x:v>
      </x:c>
      <x:c r="O956" s="0"/>
      <x:c r="P956" s="6">
        <x:v>46262</x:v>
      </x:c>
      <x:c r="Q956" s="6">
        <x:v>46262.80894930555</x:v>
      </x:c>
      <x:c r="R956" s="0"/>
      <x:c r="S956" s="0"/>
      <x:c r="T956" s="0"/>
      <x:c r="U956" s="0"/>
      <x:c r="V956" s="0"/>
      <x:c r="W956" s="0"/>
      <x:c r="X956" t="str" s="2">
        <x:v>3366532142</x:v>
      </x:c>
      <x:c r="Y956" t="str" s="2">
        <x:v>drico@gmail.com</x:v>
      </x:c>
      <x:c r="Z956" s="6">
        <x:v>46262.810023645834</x:v>
      </x:c>
      <x:c r="AA956" t="str" s="2">
        <x:v>Maria Lopez</x:v>
      </x:c>
      <x:c r="AB956" s="6">
        <x:v>46262.80894976852</x:v>
      </x:c>
      <x:c r="AC956" t="n" s="2">
        <x:v>39453</x:v>
      </x:c>
      <x:c r="AD956" s="0"/>
      <x:c r="AE956" s="0"/>
      <x:c r="AF956" s="0"/>
      <x:c r="AG956" s="0"/>
      <x:c r="AH956" s="0"/>
      <x:c r="AI956" s="0"/>
      <x:c r="AJ956" s="0"/>
      <x:c r="AK956" s="0"/>
    </x:row>
    <x:row r="957">
      <x:c r="A957" t="str" s="2">
        <x:f>=HYPERLINK("https://rsms.futurehomex.com/lead/39456", "Dereco Hart")</x:f>
      </x:c>
      <x:c r="B957" t="n" s="2">
        <x:v>46</x:v>
      </x:c>
      <x:c r="C957" t="str" s="2">
        <x:v/>
      </x:c>
      <x:c r="D957" t="str" s="2">
        <x:f>=""</x:f>
      </x:c>
      <x:c r="E957" s="0"/>
      <x:c r="F957" t="str" s="2">
        <x:v>Cliengo Bot</x:v>
      </x:c>
      <x:c r="G957" t="str" s="2">
        <x:v>Heritage Housing of Asheboro</x:v>
      </x:c>
      <x:c r="H957" t="str" s="2">
        <x:v>Maria Lopez</x:v>
      </x:c>
      <x:c r="I957" t="str" s="2">
        <x:v>Karol Romero</x:v>
      </x:c>
      <x:c r="J957" s="0"/>
      <x:c r="K957" t="n" s="2">
        <x:v>5</x:v>
      </x:c>
      <x:c r="L957" t="str" s="2">
        <x:v>1.1</x:v>
      </x:c>
      <x:c r="M957" t="str" s="2">
        <x:v>Tentative</x:v>
      </x:c>
      <x:c r="N957" t="str" s="2">
        <x:v>Prospect</x:v>
      </x:c>
      <x:c r="O957" s="0"/>
      <x:c r="P957" s="6">
        <x:v>46262</x:v>
      </x:c>
      <x:c r="Q957" s="6">
        <x:v>46262.87722025463</x:v>
      </x:c>
      <x:c r="R957" s="0"/>
      <x:c r="S957" s="0"/>
      <x:c r="T957" s="0"/>
      <x:c r="U957" s="0"/>
      <x:c r="V957" s="0"/>
      <x:c r="W957" s="0"/>
      <x:c r="X957" t="str" s="2">
        <x:v>9196368400</x:v>
      </x:c>
      <x:c r="Y957" t="str" s="2">
        <x:v>dereco.hart@gmail.com</x:v>
      </x:c>
      <x:c r="Z957" s="0"/>
      <x:c r="AA957" s="0"/>
      <x:c r="AB957" s="6">
        <x:v>46262.87722480324</x:v>
      </x:c>
      <x:c r="AC957" t="n" s="2">
        <x:v>39456</x:v>
      </x:c>
      <x:c r="AD957" s="0"/>
      <x:c r="AE957" s="0"/>
      <x:c r="AF957" s="0"/>
      <x:c r="AG957" s="0"/>
      <x:c r="AH957" s="0"/>
      <x:c r="AI957" s="0"/>
      <x:c r="AJ957" s="0"/>
      <x:c r="AK957" s="0"/>
    </x:row>
    <x:row r="958">
      <x:c r="A958" t="str" s="2">
        <x:f>=HYPERLINK("https://rsms.futurehomex.com/lead/39457", "MARY DIXON")</x:f>
      </x:c>
      <x:c r="B958" t="n" s="2">
        <x:v>46</x:v>
      </x:c>
      <x:c r="C958" t="str" s="2">
        <x:v>0/1</x:v>
      </x:c>
      <x:c r="D958" t="str" s="2">
        <x:f>="CASH"</x:f>
      </x:c>
      <x:c r="E958" t="str" s="2">
        <x:v>Robert DIxon</x:v>
      </x:c>
      <x:c r="F958" t="str" s="2">
        <x:v>Facebook Messenger</x:v>
      </x:c>
      <x:c r="G958" t="str" s="2">
        <x:v>Heritage Housing of Canton</x:v>
      </x:c>
      <x:c r="H958" t="str" s="2">
        <x:v>Jacob Hatten</x:v>
      </x:c>
      <x:c r="I958" s="0"/>
      <x:c r="J958" t="str" s="2">
        <x:v>Jacob Hatten</x:v>
      </x:c>
      <x:c r="K958" t="n" s="2">
        <x:v>100</x:v>
      </x:c>
      <x:c r="L958" t="str" s="2">
        <x:v>6.2</x:v>
      </x:c>
      <x:c r="M958" t="str" s="2">
        <x:v>Closed</x:v>
      </x:c>
      <x:c r="N958" t="str" s="2">
        <x:v>Delivered</x:v>
      </x:c>
      <x:c r="O958" s="6">
        <x:v>46282</x:v>
      </x:c>
      <x:c r="P958" s="6">
        <x:v>46262</x:v>
      </x:c>
      <x:c r="Q958" s="6">
        <x:v>46287.860554942126</x:v>
      </x:c>
      <x:c r="R958" s="0"/>
      <x:c r="S958" s="0"/>
      <x:c r="T958" s="0"/>
      <x:c r="U958" s="6">
        <x:v>46267</x:v>
      </x:c>
      <x:c r="V958" s="0"/>
      <x:c r="W958" s="6">
        <x:v>46288</x:v>
      </x:c>
      <x:c r="X958" t="str" s="2">
        <x:v>4694698828</x:v>
      </x:c>
      <x:c r="Y958" t="str" s="2">
        <x:v>odubsmail@gmail.com</x:v>
      </x:c>
      <x:c r="Z958" s="6">
        <x:v>46282.67366716435</x:v>
      </x:c>
      <x:c r="AA958" t="str" s="2">
        <x:v>Kristin Breedlove</x:v>
      </x:c>
      <x:c r="AB958" s="6">
        <x:v>46262.885452002316</x:v>
      </x:c>
      <x:c r="AC958" t="n" s="2">
        <x:v>39457</x:v>
      </x:c>
      <x:c r="AD958" t="str" s="2">
        <x:v>Singlewide</x:v>
      </x:c>
      <x:c r="AE958" s="0"/>
      <x:c r="AF958" s="7">
        <x:v>62000</x:v>
      </x:c>
      <x:c r="AG958" s="0"/>
      <x:c r="AH958" s="7">
        <x:v>62000</x:v>
      </x:c>
      <x:c r="AI958" s="0"/>
      <x:c r="AJ958" s="0"/>
      <x:c r="AK958" s="0"/>
    </x:row>
    <x:row r="959">
      <x:c r="A959" t="str" s="2">
        <x:f>=HYPERLINK("https://rsms.futurehomex.com/lead/39458", "Mirian Cerda")</x:f>
      </x:c>
      <x:c r="B959" t="n" s="2">
        <x:v>46</x:v>
      </x:c>
      <x:c r="C959" t="str" s="2">
        <x:v>1/1</x:v>
      </x:c>
      <x:c r="D959" t="str" s="2">
        <x:f>=""</x:f>
      </x:c>
      <x:c r="E959" s="0"/>
      <x:c r="F959" t="str" s="2">
        <x:v>Facebook Messenger</x:v>
      </x:c>
      <x:c r="G959" t="str" s="2">
        <x:v>Legacy Housing Corp. DBA Americasa</x:v>
      </x:c>
      <x:c r="H959" t="str" s="2">
        <x:v>Angelica Mendoza </x:v>
      </x:c>
      <x:c r="I959" t="str" s="2">
        <x:v>Karol Romero</x:v>
      </x:c>
      <x:c r="J959" t="str" s="2">
        <x:v>Rodrigo Ramirez</x:v>
      </x:c>
      <x:c r="K959" t="n" s="2">
        <x:v>5</x:v>
      </x:c>
      <x:c r="L959" t="str" s="2">
        <x:v>1.1</x:v>
      </x:c>
      <x:c r="M959" t="str" s="2">
        <x:v>Tentative</x:v>
      </x:c>
      <x:c r="N959" t="str" s="2">
        <x:v>Deal Created</x:v>
      </x:c>
      <x:c r="O959" s="0"/>
      <x:c r="P959" s="6">
        <x:v>46262</x:v>
      </x:c>
      <x:c r="Q959" s="6">
        <x:v>46262.8931559375</x:v>
      </x:c>
      <x:c r="R959" s="0"/>
      <x:c r="S959" s="0"/>
      <x:c r="T959" s="0"/>
      <x:c r="U959" s="0"/>
      <x:c r="V959" s="0"/>
      <x:c r="W959" s="0"/>
      <x:c r="X959" t="str" s="2">
        <x:v>3467304968</x:v>
      </x:c>
      <x:c r="Y959" t="str" s="2">
        <x:v>3467304968</x:v>
      </x:c>
      <x:c r="Z959" s="6">
        <x:v>46262.89355732639</x:v>
      </x:c>
      <x:c r="AA959" t="str" s="2">
        <x:v>Rodrigo Ramirez</x:v>
      </x:c>
      <x:c r="AB959" s="6">
        <x:v>46262.89315957176</x:v>
      </x:c>
      <x:c r="AC959" t="n" s="2">
        <x:v>39458</x:v>
      </x:c>
      <x:c r="AD959" s="0"/>
      <x:c r="AE959" s="0"/>
      <x:c r="AF959" s="0"/>
      <x:c r="AG959" s="0"/>
      <x:c r="AH959" s="0"/>
      <x:c r="AI959" s="0"/>
      <x:c r="AJ959" s="0"/>
      <x:c r="AK959" s="0"/>
    </x:row>
    <x:row r="960">
      <x:c r="A960" t="str" s="2">
        <x:f>=HYPERLINK("https://rsms.futurehomex.com/lead/39459", "Meg Prestidge")</x:f>
      </x:c>
      <x:c r="B960" t="n" s="2">
        <x:v>46</x:v>
      </x:c>
      <x:c r="C960" t="str" s="2">
        <x:v>0/4</x:v>
      </x:c>
      <x:c r="D960" t="str" s="2">
        <x:f>=""</x:f>
      </x:c>
      <x:c r="E960" s="0"/>
      <x:c r="F960" t="str" s="2">
        <x:v>Landing_BPM</x:v>
      </x:c>
      <x:c r="G960" t="str" s="2">
        <x:v>Heritage Housing of Oklahoma City</x:v>
      </x:c>
      <x:c r="H960" t="str" s="2">
        <x:v>Steve Castell</x:v>
      </x:c>
      <x:c r="I960" s="0"/>
      <x:c r="J960" t="str" s="2">
        <x:v>Steve Castell</x:v>
      </x:c>
      <x:c r="K960" t="n" s="2">
        <x:v>5</x:v>
      </x:c>
      <x:c r="L960" t="str" s="2">
        <x:v>1.1</x:v>
      </x:c>
      <x:c r="M960" t="str" s="2">
        <x:v>Dead</x:v>
      </x:c>
      <x:c r="N960" t="str" s="2">
        <x:v>Deal Created</x:v>
      </x:c>
      <x:c r="O960" s="0"/>
      <x:c r="P960" s="6">
        <x:v>46262</x:v>
      </x:c>
      <x:c r="Q960" s="6">
        <x:v>46262.910838344906</x:v>
      </x:c>
      <x:c r="R960" s="0"/>
      <x:c r="S960" s="0"/>
      <x:c r="T960" s="0"/>
      <x:c r="U960" s="0"/>
      <x:c r="V960" s="0"/>
      <x:c r="W960" s="0"/>
      <x:c r="X960" t="str" s="2">
        <x:v>4058157587</x:v>
      </x:c>
      <x:c r="Y960" t="str" s="2">
        <x:v>mlprestidge@gmail.com</x:v>
      </x:c>
      <x:c r="Z960" s="6">
        <x:v>46296.65321674768</x:v>
      </x:c>
      <x:c r="AA960" t="str" s="2">
        <x:v>Steve Castell</x:v>
      </x:c>
      <x:c r="AB960" s="6">
        <x:v>46262.91083912037</x:v>
      </x:c>
      <x:c r="AC960" t="n" s="2">
        <x:v>39459</x:v>
      </x:c>
      <x:c r="AD960" s="0"/>
      <x:c r="AE960" s="0"/>
      <x:c r="AF960" s="0"/>
      <x:c r="AG960" s="0"/>
      <x:c r="AH960" s="0"/>
      <x:c r="AI960" s="0"/>
      <x:c r="AJ960" s="0"/>
      <x:c r="AK960" s="0"/>
    </x:row>
    <x:row r="961">
      <x:c r="A961" t="str" s="2">
        <x:f>=HYPERLINK("https://rsms.futurehomex.com/lead/39460", "Sharon Gray")</x:f>
      </x:c>
      <x:c r="B961" t="n" s="2">
        <x:v>46</x:v>
      </x:c>
      <x:c r="C961" t="str" s="2">
        <x:v>0/1</x:v>
      </x:c>
      <x:c r="D961" t="str" s="2">
        <x:f>=""</x:f>
      </x:c>
      <x:c r="E961" s="0"/>
      <x:c r="F961" t="str" s="2">
        <x:v>Financing Form</x:v>
      </x:c>
      <x:c r="G961" t="str" s="2">
        <x:v>Heritage Housing of Oklahoma City</x:v>
      </x:c>
      <x:c r="H961" t="str" s="2">
        <x:v>Steve Castell</x:v>
      </x:c>
      <x:c r="I961" s="0"/>
      <x:c r="J961" t="str" s="2">
        <x:v>Steve Castell</x:v>
      </x:c>
      <x:c r="K961" t="n" s="2">
        <x:v>5</x:v>
      </x:c>
      <x:c r="L961" t="str" s="2">
        <x:v>1.1</x:v>
      </x:c>
      <x:c r="M961" t="str" s="2">
        <x:v>Dead</x:v>
      </x:c>
      <x:c r="N961" t="str" s="2">
        <x:v>Deal Created</x:v>
      </x:c>
      <x:c r="O961" s="0"/>
      <x:c r="P961" s="6">
        <x:v>46262</x:v>
      </x:c>
      <x:c r="Q961" s="6">
        <x:v>46262.911406747684</x:v>
      </x:c>
      <x:c r="R961" s="0"/>
      <x:c r="S961" s="0"/>
      <x:c r="T961" s="0"/>
      <x:c r="U961" s="0"/>
      <x:c r="V961" s="0"/>
      <x:c r="W961" s="0"/>
      <x:c r="X961" t="str" s="2">
        <x:v>4792145278</x:v>
      </x:c>
      <x:c r="Y961" t="str" s="2">
        <x:v>sharonannmiller49@gmail.com</x:v>
      </x:c>
      <x:c r="Z961" s="6">
        <x:v>46262.91253209491</x:v>
      </x:c>
      <x:c r="AA961" t="str" s="2">
        <x:v>Steve Castell</x:v>
      </x:c>
      <x:c r="AB961" s="6">
        <x:v>46262.91140729166</x:v>
      </x:c>
      <x:c r="AC961" t="n" s="2">
        <x:v>39460</x:v>
      </x:c>
      <x:c r="AD961" s="0"/>
      <x:c r="AE961" s="0"/>
      <x:c r="AF961" s="0"/>
      <x:c r="AG961" s="0"/>
      <x:c r="AH961" s="0"/>
      <x:c r="AI961" s="0"/>
      <x:c r="AJ961" s="0"/>
      <x:c r="AK961" s="0"/>
    </x:row>
    <x:row r="962">
      <x:c r="A962" t="str" s="2">
        <x:f>=HYPERLINK("https://rsms.futurehomex.com/lead/39462", "Linda Smith")</x:f>
      </x:c>
      <x:c r="B962" t="n" s="2">
        <x:v>46</x:v>
      </x:c>
      <x:c r="C962" t="str" s="2">
        <x:v/>
      </x:c>
      <x:c r="D962" t="str" s="2">
        <x:f>=""</x:f>
      </x:c>
      <x:c r="E962" s="0"/>
      <x:c r="F962" t="str" s="2">
        <x:v>Bing - Search</x:v>
      </x:c>
      <x:c r="G962" t="str" s="2">
        <x:v>Heritage Housing Mt Pleasant</x:v>
      </x:c>
      <x:c r="H962" t="str" s="2">
        <x:v>Elias Gallardo</x:v>
      </x:c>
      <x:c r="I962" s="0"/>
      <x:c r="J962" t="str" s="2">
        <x:v>Elias Gallardo</x:v>
      </x:c>
      <x:c r="K962" t="n" s="2">
        <x:v>5</x:v>
      </x:c>
      <x:c r="L962" t="str" s="2">
        <x:v>1.1</x:v>
      </x:c>
      <x:c r="M962" t="str" s="2">
        <x:v>Tentative</x:v>
      </x:c>
      <x:c r="N962" t="str" s="2">
        <x:v>Prospect</x:v>
      </x:c>
      <x:c r="O962" s="0"/>
      <x:c r="P962" s="6">
        <x:v>46262</x:v>
      </x:c>
      <x:c r="Q962" s="6">
        <x:v>46262.91632364583</x:v>
      </x:c>
      <x:c r="R962" s="0"/>
      <x:c r="S962" s="0"/>
      <x:c r="T962" s="0"/>
      <x:c r="U962" s="0"/>
      <x:c r="V962" s="0"/>
      <x:c r="W962" s="0"/>
      <x:c r="X962" t="str" s="2">
        <x:v>9032192724</x:v>
      </x:c>
      <x:c r="Y962" t="str" s="2">
        <x:v>lindas2273@gmail.com</x:v>
      </x:c>
      <x:c r="Z962" s="0"/>
      <x:c r="AA962" s="0"/>
      <x:c r="AB962" s="6">
        <x:v>46262.91632418981</x:v>
      </x:c>
      <x:c r="AC962" t="n" s="2">
        <x:v>39462</x:v>
      </x:c>
      <x:c r="AD962" s="0"/>
      <x:c r="AE962" s="0"/>
      <x:c r="AF962" s="0"/>
      <x:c r="AG962" s="0"/>
      <x:c r="AH962" s="0"/>
      <x:c r="AI962" s="0"/>
      <x:c r="AJ962" s="0"/>
      <x:c r="AK962" s="0"/>
    </x:row>
    <x:row r="963">
      <x:c r="A963" t="str" s="2">
        <x:f>=HYPERLINK("https://rsms.futurehomex.com/lead/39463", "Victor Garcia")</x:f>
      </x:c>
      <x:c r="B963" t="n" s="2">
        <x:v>46</x:v>
      </x:c>
      <x:c r="C963" t="str" s="2">
        <x:v>1/4</x:v>
      </x:c>
      <x:c r="D963" t="str" s="2">
        <x:f>=""</x:f>
      </x:c>
      <x:c r="E963" s="0"/>
      <x:c r="F963" t="str" s="2">
        <x:v>Facebook Messenger</x:v>
      </x:c>
      <x:c r="G963" t="str" s="2">
        <x:v>Heritage Housing of Oklahoma City</x:v>
      </x:c>
      <x:c r="H963" t="str" s="2">
        <x:v>Steve Castell</x:v>
      </x:c>
      <x:c r="I963" s="0"/>
      <x:c r="J963" t="str" s="2">
        <x:v>Steve Castell</x:v>
      </x:c>
      <x:c r="K963" t="n" s="2">
        <x:v>5</x:v>
      </x:c>
      <x:c r="L963" t="str" s="2">
        <x:v>1.1</x:v>
      </x:c>
      <x:c r="M963" t="str" s="2">
        <x:v>Tentative</x:v>
      </x:c>
      <x:c r="N963" t="str" s="2">
        <x:v>Deal Created</x:v>
      </x:c>
      <x:c r="O963" s="0"/>
      <x:c r="P963" s="6">
        <x:v>46262</x:v>
      </x:c>
      <x:c r="Q963" s="6">
        <x:v>46262.916328969906</x:v>
      </x:c>
      <x:c r="R963" s="0"/>
      <x:c r="S963" s="0"/>
      <x:c r="T963" s="0"/>
      <x:c r="U963" s="0"/>
      <x:c r="V963" s="0"/>
      <x:c r="W963" s="0"/>
      <x:c r="X963" t="str" s="2">
        <x:v>5756934554</x:v>
      </x:c>
      <x:c r="Y963" t="str" s="2">
        <x:v>5756934554</x:v>
      </x:c>
      <x:c r="Z963" s="6">
        <x:v>46294.94954637731</x:v>
      </x:c>
      <x:c r="AA963" t="str" s="2">
        <x:v>Steve Castell</x:v>
      </x:c>
      <x:c r="AB963" s="6">
        <x:v>46262.916329548614</x:v>
      </x:c>
      <x:c r="AC963" t="n" s="2">
        <x:v>39463</x:v>
      </x:c>
      <x:c r="AD963" s="0"/>
      <x:c r="AE963" s="0"/>
      <x:c r="AF963" s="0"/>
      <x:c r="AG963" s="0"/>
      <x:c r="AH963" s="0"/>
      <x:c r="AI963" s="0"/>
      <x:c r="AJ963" s="0"/>
      <x:c r="AK963" s="0"/>
    </x:row>
    <x:row r="964">
      <x:c r="A964" t="str" s="2">
        <x:f>=HYPERLINK("https://rsms.futurehomex.com/lead/39464", "Miguela Calixto")</x:f>
      </x:c>
      <x:c r="B964" t="n" s="2">
        <x:v>46</x:v>
      </x:c>
      <x:c r="C964" t="str" s="2">
        <x:v/>
      </x:c>
      <x:c r="D964" t="str" s="2">
        <x:f>=""</x:f>
      </x:c>
      <x:c r="E964" s="0"/>
      <x:c r="F964" t="str" s="2">
        <x:v>Other</x:v>
      </x:c>
      <x:c r="G964" t="str" s="2">
        <x:v>Heritage Housing Mt Pleasant</x:v>
      </x:c>
      <x:c r="H964" t="str" s="2">
        <x:v>Sandra Saldana</x:v>
      </x:c>
      <x:c r="I964" s="0"/>
      <x:c r="J964" t="str" s="2">
        <x:v>Sandra Saldana</x:v>
      </x:c>
      <x:c r="K964" t="n" s="2">
        <x:v>5</x:v>
      </x:c>
      <x:c r="L964" t="str" s="2">
        <x:v>1.1</x:v>
      </x:c>
      <x:c r="M964" t="str" s="2">
        <x:v>Tentative</x:v>
      </x:c>
      <x:c r="N964" t="str" s="2">
        <x:v>Deal Created</x:v>
      </x:c>
      <x:c r="O964" s="0"/>
      <x:c r="P964" s="6">
        <x:v>46262</x:v>
      </x:c>
      <x:c r="Q964" s="6">
        <x:v>46262.9168727662</x:v>
      </x:c>
      <x:c r="R964" s="0"/>
      <x:c r="S964" s="0"/>
      <x:c r="T964" s="0"/>
      <x:c r="U964" s="0"/>
      <x:c r="V964" s="0"/>
      <x:c r="W964" s="0"/>
      <x:c r="X964" t="str" s="2">
        <x:v>9034664847</x:v>
      </x:c>
      <x:c r="Y964" t="str" s="2">
        <x:v>9034664847</x:v>
      </x:c>
      <x:c r="Z964" s="6">
        <x:v>46263.723099849536</x:v>
      </x:c>
      <x:c r="AA964" t="str" s="2">
        <x:v>Sandra Saldana</x:v>
      </x:c>
      <x:c r="AB964" s="6">
        <x:v>46262.91687465278</x:v>
      </x:c>
      <x:c r="AC964" t="n" s="2">
        <x:v>39464</x:v>
      </x:c>
      <x:c r="AD964" s="0"/>
      <x:c r="AE964" s="0"/>
      <x:c r="AF964" s="0"/>
      <x:c r="AG964" s="0"/>
      <x:c r="AH964" s="0"/>
      <x:c r="AI964" s="0"/>
      <x:c r="AJ964" s="0"/>
      <x:c r="AK964" s="0"/>
    </x:row>
    <x:row r="965">
      <x:c r="A965" t="str" s="2">
        <x:f>=HYPERLINK("https://rsms.futurehomex.com/lead/39465", "tavion lamb")</x:f>
      </x:c>
      <x:c r="B965" t="n" s="2">
        <x:v>46</x:v>
      </x:c>
      <x:c r="C965" t="str" s="2">
        <x:v/>
      </x:c>
      <x:c r="D965" t="str" s="2">
        <x:f>=""</x:f>
      </x:c>
      <x:c r="E965" s="0"/>
      <x:c r="F965" t="str" s="2">
        <x:v>Landing_BPM</x:v>
      </x:c>
      <x:c r="G965" t="str" s="2">
        <x:v>Heritage Housing of Oklahoma City</x:v>
      </x:c>
      <x:c r="H965" t="str" s="2">
        <x:v>Steve Castell</x:v>
      </x:c>
      <x:c r="I965" s="0"/>
      <x:c r="J965" t="str" s="2">
        <x:v>Steve Castell</x:v>
      </x:c>
      <x:c r="K965" t="n" s="2">
        <x:v>5</x:v>
      </x:c>
      <x:c r="L965" t="str" s="2">
        <x:v>1.1</x:v>
      </x:c>
      <x:c r="M965" t="str" s="2">
        <x:v>Dead</x:v>
      </x:c>
      <x:c r="N965" t="str" s="2">
        <x:v>Deal Created</x:v>
      </x:c>
      <x:c r="O965" s="0"/>
      <x:c r="P965" s="6">
        <x:v>46262</x:v>
      </x:c>
      <x:c r="Q965" s="6">
        <x:v>46262.920957372684</x:v>
      </x:c>
      <x:c r="R965" s="0"/>
      <x:c r="S965" s="0"/>
      <x:c r="T965" s="0"/>
      <x:c r="U965" s="0"/>
      <x:c r="V965" s="0"/>
      <x:c r="W965" s="0"/>
      <x:c r="X965" t="str" s="2">
        <x:v>5802770152</x:v>
      </x:c>
      <x:c r="Y965" t="str" s="2">
        <x:v>davionlamb87@gmail.com</x:v>
      </x:c>
      <x:c r="Z965" s="6">
        <x:v>46262.935697800924</x:v>
      </x:c>
      <x:c r="AA965" t="str" s="2">
        <x:v>Steve Castell</x:v>
      </x:c>
      <x:c r="AB965" s="6">
        <x:v>46262.92095795139</x:v>
      </x:c>
      <x:c r="AC965" t="n" s="2">
        <x:v>39465</x:v>
      </x:c>
      <x:c r="AD965" s="0"/>
      <x:c r="AE965" s="0"/>
      <x:c r="AF965" s="0"/>
      <x:c r="AG965" s="0"/>
      <x:c r="AH965" s="0"/>
      <x:c r="AI965" s="0"/>
      <x:c r="AJ965" s="0"/>
      <x:c r="AK965" s="0"/>
    </x:row>
    <x:row r="966">
      <x:c r="A966" t="str" s="2">
        <x:f>=HYPERLINK("https://rsms.futurehomex.com/lead/39467", "Mandy Torres")</x:f>
      </x:c>
      <x:c r="B966" t="n" s="2">
        <x:v>46</x:v>
      </x:c>
      <x:c r="C966" t="str" s="2">
        <x:v>0/1</x:v>
      </x:c>
      <x:c r="D966" t="str" s="2">
        <x:f>=""</x:f>
      </x:c>
      <x:c r="E966" s="0"/>
      <x:c r="F966" t="str" s="2">
        <x:v>Financing Form</x:v>
      </x:c>
      <x:c r="G966" t="str" s="2">
        <x:v>Heritage Housing of Oklahoma City</x:v>
      </x:c>
      <x:c r="H966" t="str" s="2">
        <x:v>Steve Castell</x:v>
      </x:c>
      <x:c r="I966" s="0"/>
      <x:c r="J966" t="str" s="2">
        <x:v>Steve Castell</x:v>
      </x:c>
      <x:c r="K966" t="n" s="2">
        <x:v>5</x:v>
      </x:c>
      <x:c r="L966" t="str" s="2">
        <x:v>1.1</x:v>
      </x:c>
      <x:c r="M966" t="str" s="2">
        <x:v>Inactive</x:v>
      </x:c>
      <x:c r="N966" t="str" s="2">
        <x:v>Deal Created</x:v>
      </x:c>
      <x:c r="O966" s="0"/>
      <x:c r="P966" s="6">
        <x:v>46262</x:v>
      </x:c>
      <x:c r="Q966" s="6">
        <x:v>46262.952166550924</x:v>
      </x:c>
      <x:c r="R966" s="0"/>
      <x:c r="S966" s="0"/>
      <x:c r="T966" s="0"/>
      <x:c r="U966" s="0"/>
      <x:c r="V966" s="0"/>
      <x:c r="W966" s="0"/>
      <x:c r="X966" t="str" s="2">
        <x:v>4056418811</x:v>
      </x:c>
      <x:c r="Y966" t="str" s="2">
        <x:v>scarryme21@gmail.com</x:v>
      </x:c>
      <x:c r="Z966" s="6">
        <x:v>46286.96346924768</x:v>
      </x:c>
      <x:c r="AA966" t="str" s="2">
        <x:v>Steve Castell</x:v>
      </x:c>
      <x:c r="AB966" s="6">
        <x:v>46262.95216716435</x:v>
      </x:c>
      <x:c r="AC966" t="n" s="2">
        <x:v>39467</x:v>
      </x:c>
      <x:c r="AD966" s="0"/>
      <x:c r="AE966" s="0"/>
      <x:c r="AF966" s="0"/>
      <x:c r="AG966" s="0"/>
      <x:c r="AH966" s="0"/>
      <x:c r="AI966" s="0"/>
      <x:c r="AJ966" s="0"/>
      <x:c r="AK966" s="0"/>
    </x:row>
    <x:row r="967">
      <x:c r="A967" t="str" s="2">
        <x:f>=HYPERLINK("https://rsms.futurehomex.com/lead/39469", "Brandy Lang")</x:f>
      </x:c>
      <x:c r="B967" t="n" s="2">
        <x:v>45</x:v>
      </x:c>
      <x:c r="C967" t="str" s="2">
        <x:v/>
      </x:c>
      <x:c r="D967" t="str" s="2">
        <x:f>=""</x:f>
      </x:c>
      <x:c r="E967" s="0"/>
      <x:c r="F967" t="str" s="2">
        <x:v>Landing_BPM</x:v>
      </x:c>
      <x:c r="G967" t="str" s="2">
        <x:v>Heritage Housing of Asheboro</x:v>
      </x:c>
      <x:c r="H967" t="str" s="2">
        <x:v>Maria Lopez</x:v>
      </x:c>
      <x:c r="I967" t="str" s="2">
        <x:v>Karol Romero</x:v>
      </x:c>
      <x:c r="J967" s="0"/>
      <x:c r="K967" t="n" s="2">
        <x:v>21</x:v>
      </x:c>
      <x:c r="L967" t="str" s="2">
        <x:v>2.1</x:v>
      </x:c>
      <x:c r="M967" t="str" s="2">
        <x:v>Tentative</x:v>
      </x:c>
      <x:c r="N967" t="str" s="2">
        <x:v>Qualified</x:v>
      </x:c>
      <x:c r="O967" s="0"/>
      <x:c r="P967" s="6">
        <x:v>46263</x:v>
      </x:c>
      <x:c r="Q967" s="6">
        <x:v>46282.75878665509</x:v>
      </x:c>
      <x:c r="R967" s="0"/>
      <x:c r="S967" s="0"/>
      <x:c r="T967" s="0"/>
      <x:c r="U967" s="0"/>
      <x:c r="V967" s="0"/>
      <x:c r="W967" s="0"/>
      <x:c r="X967" t="str" s="2">
        <x:v>3376035222</x:v>
      </x:c>
      <x:c r="Y967" t="str" s="2">
        <x:v>bdlang5222@gmail.com</x:v>
      </x:c>
      <x:c r="Z967" s="6">
        <x:v>46282.75877496528</x:v>
      </x:c>
      <x:c r="AA967" t="str" s="2">
        <x:v>Jeremy Jacques</x:v>
      </x:c>
      <x:c r="AB967" s="6">
        <x:v>46263.5495033912</x:v>
      </x:c>
      <x:c r="AC967" t="n" s="2">
        <x:v>39469</x:v>
      </x:c>
      <x:c r="AD967" s="0"/>
      <x:c r="AE967" s="0"/>
      <x:c r="AF967" s="0"/>
      <x:c r="AG967" s="0"/>
      <x:c r="AH967" s="0"/>
      <x:c r="AI967" s="0"/>
      <x:c r="AJ967" s="0"/>
      <x:c r="AK967" s="0"/>
    </x:row>
    <x:row r="968">
      <x:c r="A968" t="str" s="2">
        <x:f>=HYPERLINK("https://rsms.futurehomex.com/lead/39470", "Scott Hunter")</x:f>
      </x:c>
      <x:c r="B968" t="n" s="2">
        <x:v>45</x:v>
      </x:c>
      <x:c r="C968" t="str" s="2">
        <x:v/>
      </x:c>
      <x:c r="D968" t="str" s="2">
        <x:f>=""</x:f>
      </x:c>
      <x:c r="E968" s="0"/>
      <x:c r="F968" t="str" s="2">
        <x:v>Facebook Messenger</x:v>
      </x:c>
      <x:c r="G968" t="str" s="2">
        <x:v>Heritage Housing of Athens</x:v>
      </x:c>
      <x:c r="H968" t="str" s="2">
        <x:v>Nathan Bishop</x:v>
      </x:c>
      <x:c r="I968" s="0"/>
      <x:c r="J968" t="str" s="2">
        <x:v>Nathan Bishop</x:v>
      </x:c>
      <x:c r="K968" t="n" s="2">
        <x:v>5</x:v>
      </x:c>
      <x:c r="L968" t="str" s="2">
        <x:v>1.1</x:v>
      </x:c>
      <x:c r="M968" t="str" s="2">
        <x:v>Tentative</x:v>
      </x:c>
      <x:c r="N968" t="str" s="2">
        <x:v>Deal Created</x:v>
      </x:c>
      <x:c r="O968" s="0"/>
      <x:c r="P968" s="6">
        <x:v>46263</x:v>
      </x:c>
      <x:c r="Q968" s="6">
        <x:v>46263.561903587964</x:v>
      </x:c>
      <x:c r="R968" s="0"/>
      <x:c r="S968" s="0"/>
      <x:c r="T968" s="0"/>
      <x:c r="U968" s="0"/>
      <x:c r="V968" s="0"/>
      <x:c r="W968" s="0"/>
      <x:c r="X968" t="str" s="2">
        <x:v>7067165784</x:v>
      </x:c>
      <x:c r="Y968" t="str" s="2">
        <x:v>7067165784</x:v>
      </x:c>
      <x:c r="Z968" s="6">
        <x:v>46263.56228549768</x:v>
      </x:c>
      <x:c r="AA968" t="str" s="2">
        <x:v>Nathan Bishop</x:v>
      </x:c>
      <x:c r="AB968" s="6">
        <x:v>46263.561905358794</x:v>
      </x:c>
      <x:c r="AC968" t="n" s="2">
        <x:v>39470</x:v>
      </x:c>
      <x:c r="AD968" s="0"/>
      <x:c r="AE968" s="0"/>
      <x:c r="AF968" s="0"/>
      <x:c r="AG968" s="0"/>
      <x:c r="AH968" s="0"/>
      <x:c r="AI968" s="0"/>
      <x:c r="AJ968" s="0"/>
      <x:c r="AK968" s="0"/>
    </x:row>
    <x:row r="969">
      <x:c r="A969" t="str" s="2">
        <x:f>=HYPERLINK("https://rsms.futurehomex.com/lead/39471", "Tamara Walker")</x:f>
      </x:c>
      <x:c r="B969" t="n" s="2">
        <x:v>45</x:v>
      </x:c>
      <x:c r="C969" t="str" s="2">
        <x:v>0/3</x:v>
      </x:c>
      <x:c r="D969" t="str" s="2">
        <x:f>=""</x:f>
      </x:c>
      <x:c r="E969" s="0"/>
      <x:c r="F969" t="str" s="2">
        <x:v>Facebook Messenger</x:v>
      </x:c>
      <x:c r="G969" t="str" s="2">
        <x:v>Heritage Housing of Oklahoma City</x:v>
      </x:c>
      <x:c r="H969" t="str" s="2">
        <x:v>Steve Castell</x:v>
      </x:c>
      <x:c r="I969" s="0"/>
      <x:c r="J969" t="str" s="2">
        <x:v>Steve Castell</x:v>
      </x:c>
      <x:c r="K969" t="n" s="2">
        <x:v>5</x:v>
      </x:c>
      <x:c r="L969" t="str" s="2">
        <x:v>1.1</x:v>
      </x:c>
      <x:c r="M969" t="str" s="2">
        <x:v>Inactive</x:v>
      </x:c>
      <x:c r="N969" t="str" s="2">
        <x:v>Deal Created</x:v>
      </x:c>
      <x:c r="O969" s="0"/>
      <x:c r="P969" s="6">
        <x:v>46263</x:v>
      </x:c>
      <x:c r="Q969" s="6">
        <x:v>46263.75779950232</x:v>
      </x:c>
      <x:c r="R969" s="0"/>
      <x:c r="S969" s="6">
        <x:v>46263</x:v>
      </x:c>
      <x:c r="T969" s="0"/>
      <x:c r="U969" s="0"/>
      <x:c r="V969" s="0"/>
      <x:c r="W969" s="0"/>
      <x:c r="X969" t="str" s="2">
        <x:v>4053204278</x:v>
      </x:c>
      <x:c r="Y969" t="str" s="2">
        <x:v>tntwalker0315@gmail.com</x:v>
      </x:c>
      <x:c r="Z969" s="6">
        <x:v>46303.93363020833</x:v>
      </x:c>
      <x:c r="AA969" t="str" s="2">
        <x:v>Steve Castell</x:v>
      </x:c>
      <x:c r="AB969" s="6">
        <x:v>46263.58466435185</x:v>
      </x:c>
      <x:c r="AC969" t="n" s="2">
        <x:v>39471</x:v>
      </x:c>
      <x:c r="AD969" s="0"/>
      <x:c r="AE969" s="0"/>
      <x:c r="AF969" s="0"/>
      <x:c r="AG969" s="0"/>
      <x:c r="AH969" s="0"/>
      <x:c r="AI969" s="0"/>
      <x:c r="AJ969" s="0"/>
      <x:c r="AK969" s="0"/>
    </x:row>
    <x:row r="970">
      <x:c r="A970" t="str" s="2">
        <x:f>=HYPERLINK("https://rsms.futurehomex.com/lead/39475", "Jeremy Hedrick")</x:f>
      </x:c>
      <x:c r="B970" t="n" s="2">
        <x:v>45</x:v>
      </x:c>
      <x:c r="C970" t="str" s="2">
        <x:v/>
      </x:c>
      <x:c r="D970" t="str" s="2">
        <x:f>=""</x:f>
      </x:c>
      <x:c r="E970" s="0"/>
      <x:c r="F970" t="str" s="2">
        <x:v>Walk-in</x:v>
      </x:c>
      <x:c r="G970" t="str" s="2">
        <x:v>Heritage Housing of Asheboro</x:v>
      </x:c>
      <x:c r="H970" t="str" s="2">
        <x:v>Maria Lopez</x:v>
      </x:c>
      <x:c r="I970" s="0"/>
      <x:c r="J970" s="0"/>
      <x:c r="K970" t="n" s="2">
        <x:v>21</x:v>
      </x:c>
      <x:c r="L970" t="str" s="2">
        <x:v>2.1</x:v>
      </x:c>
      <x:c r="M970" t="str" s="2">
        <x:v>Tentative</x:v>
      </x:c>
      <x:c r="N970" t="str" s="2">
        <x:v>Qualified</x:v>
      </x:c>
      <x:c r="O970" s="0"/>
      <x:c r="P970" s="6">
        <x:v>46263</x:v>
      </x:c>
      <x:c r="Q970" s="6">
        <x:v>46282.75904459491</x:v>
      </x:c>
      <x:c r="R970" s="0"/>
      <x:c r="S970" s="6">
        <x:v>46263</x:v>
      </x:c>
      <x:c r="T970" s="0"/>
      <x:c r="U970" s="0"/>
      <x:c r="V970" s="0"/>
      <x:c r="W970" s="0"/>
      <x:c r="X970" t="str" s="2">
        <x:v>3364705011</x:v>
      </x:c>
      <x:c r="Y970" t="str" s="2">
        <x:v>jeremyhedrick05@gmail.com</x:v>
      </x:c>
      <x:c r="Z970" s="6">
        <x:v>46282.75903232639</x:v>
      </x:c>
      <x:c r="AA970" t="str" s="2">
        <x:v>Jeremy Jacques</x:v>
      </x:c>
      <x:c r="AB970" s="6">
        <x:v>46263.65627997685</x:v>
      </x:c>
      <x:c r="AC970" t="n" s="2">
        <x:v>39475</x:v>
      </x:c>
      <x:c r="AD970" s="0"/>
      <x:c r="AE970" s="0"/>
      <x:c r="AF970" s="0"/>
      <x:c r="AG970" s="0"/>
      <x:c r="AH970" s="0"/>
      <x:c r="AI970" s="0"/>
      <x:c r="AJ970" s="0"/>
      <x:c r="AK970" s="0"/>
    </x:row>
    <x:row r="971">
      <x:c r="A971" t="str" s="2">
        <x:f>=HYPERLINK("https://rsms.futurehomex.com/lead/39476", "Marlina Wren")</x:f>
      </x:c>
      <x:c r="B971" t="n" s="2">
        <x:v>45</x:v>
      </x:c>
      <x:c r="C971" t="str" s="2">
        <x:v>0/1</x:v>
      </x:c>
      <x:c r="D971" t="str" s="2">
        <x:f>=""</x:f>
      </x:c>
      <x:c r="E971" s="0"/>
      <x:c r="F971" t="str" s="2">
        <x:v>Walk-in</x:v>
      </x:c>
      <x:c r="G971" t="str" s="2">
        <x:v>Heritage Housing of Minden</x:v>
      </x:c>
      <x:c r="H971" t="str" s="2">
        <x:v>Patrick Schuchart</x:v>
      </x:c>
      <x:c r="I971" t="str" s="2">
        <x:v>Karol Romero</x:v>
      </x:c>
      <x:c r="J971" t="str" s="2">
        <x:v>Patrick Schuchart</x:v>
      </x:c>
      <x:c r="K971" t="n" s="2">
        <x:v>5</x:v>
      </x:c>
      <x:c r="L971" t="str" s="2">
        <x:v>1.1</x:v>
      </x:c>
      <x:c r="M971" t="str" s="2">
        <x:v>Dead</x:v>
      </x:c>
      <x:c r="N971" t="str" s="2">
        <x:v>Deal Created</x:v>
      </x:c>
      <x:c r="O971" s="0"/>
      <x:c r="P971" s="6">
        <x:v>46263</x:v>
      </x:c>
      <x:c r="Q971" s="6">
        <x:v>46269.79707311343</x:v>
      </x:c>
      <x:c r="R971" s="0"/>
      <x:c r="S971" s="0"/>
      <x:c r="T971" s="0"/>
      <x:c r="U971" s="0"/>
      <x:c r="V971" s="0"/>
      <x:c r="W971" s="0"/>
      <x:c r="X971" t="str" s="2">
        <x:v>3183444949</x:v>
      </x:c>
      <x:c r="Y971" t="str" s="2">
        <x:v>3183444949</x:v>
      </x:c>
      <x:c r="Z971" s="6">
        <x:v>46274.60045153935</x:v>
      </x:c>
      <x:c r="AA971" t="str" s="2">
        <x:v>Patrick Schuchart</x:v>
      </x:c>
      <x:c r="AB971" s="6">
        <x:v>46263.66472670139</x:v>
      </x:c>
      <x:c r="AC971" t="n" s="2">
        <x:v>39476</x:v>
      </x:c>
      <x:c r="AD971" s="0"/>
      <x:c r="AE971" s="0"/>
      <x:c r="AF971" s="0"/>
      <x:c r="AG971" s="0"/>
      <x:c r="AH971" s="0"/>
      <x:c r="AI971" s="0"/>
      <x:c r="AJ971" s="0"/>
      <x:c r="AK971" s="0"/>
    </x:row>
    <x:row r="972">
      <x:c r="A972" t="str" s="2">
        <x:f>=HYPERLINK("https://rsms.futurehomex.com/lead/39477", "Greg Dewey")</x:f>
      </x:c>
      <x:c r="B972" t="n" s="2">
        <x:v>45</x:v>
      </x:c>
      <x:c r="C972" t="str" s="2">
        <x:v>1/4</x:v>
      </x:c>
      <x:c r="D972" t="str" s="2">
        <x:f>=""</x:f>
      </x:c>
      <x:c r="E972" s="0"/>
      <x:c r="F972" t="str" s="2">
        <x:v>Facebook Messenger</x:v>
      </x:c>
      <x:c r="G972" t="str" s="2">
        <x:v>Heritage Housing of Oklahoma City</x:v>
      </x:c>
      <x:c r="H972" t="str" s="2">
        <x:v>Steve Castell</x:v>
      </x:c>
      <x:c r="I972" s="0"/>
      <x:c r="J972" t="str" s="2">
        <x:v>Steve Castell</x:v>
      </x:c>
      <x:c r="K972" t="n" s="2">
        <x:v>5</x:v>
      </x:c>
      <x:c r="L972" t="str" s="2">
        <x:v>1.1</x:v>
      </x:c>
      <x:c r="M972" t="str" s="2">
        <x:v>Tentative</x:v>
      </x:c>
      <x:c r="N972" t="str" s="2">
        <x:v>Deal Created</x:v>
      </x:c>
      <x:c r="O972" s="0"/>
      <x:c r="P972" s="6">
        <x:v>46263</x:v>
      </x:c>
      <x:c r="Q972" s="6">
        <x:v>46263.85222896991</x:v>
      </x:c>
      <x:c r="R972" t="str" s="2">
        <x:v>Alejandra Calderon</x:v>
      </x:c>
      <x:c r="S972" s="6">
        <x:v>46263</x:v>
      </x:c>
      <x:c r="T972" s="0"/>
      <x:c r="U972" s="0"/>
      <x:c r="V972" s="0"/>
      <x:c r="W972" s="0"/>
      <x:c r="X972" t="str" s="2">
        <x:v>4056231510</x:v>
      </x:c>
      <x:c r="Y972" t="str" s="2">
        <x:v>greg.dewey@gmail.com</x:v>
      </x:c>
      <x:c r="Z972" s="6">
        <x:v>46302.073736956016</x:v>
      </x:c>
      <x:c r="AA972" t="str" s="2">
        <x:v>Steve Castell</x:v>
      </x:c>
      <x:c r="AB972" s="6">
        <x:v>46263.69325694445</x:v>
      </x:c>
      <x:c r="AC972" t="n" s="2">
        <x:v>39477</x:v>
      </x:c>
      <x:c r="AD972" s="0"/>
      <x:c r="AE972" s="0"/>
      <x:c r="AF972" s="0"/>
      <x:c r="AG972" s="0"/>
      <x:c r="AH972" s="0"/>
      <x:c r="AI972" s="0"/>
      <x:c r="AJ972" s="0"/>
      <x:c r="AK972" s="0"/>
    </x:row>
    <x:row r="973">
      <x:c r="A973" t="str" s="2">
        <x:f>=HYPERLINK("https://rsms.futurehomex.com/lead/39478", "Beatrice Zavala")</x:f>
      </x:c>
      <x:c r="B973" t="n" s="2">
        <x:v>45</x:v>
      </x:c>
      <x:c r="C973" t="str" s="2">
        <x:v/>
      </x:c>
      <x:c r="D973" t="str" s="2">
        <x:f>=""</x:f>
      </x:c>
      <x:c r="E973" s="0"/>
      <x:c r="F973" t="str" s="2">
        <x:v>LeadTracker</x:v>
      </x:c>
      <x:c r="G973" t="str" s="2">
        <x:v>Legacy Housing Corp. DBA Americasa</x:v>
      </x:c>
      <x:c r="H973" t="str" s="2">
        <x:v>Jose Parada</x:v>
      </x:c>
      <x:c r="I973" t="str" s="2">
        <x:v>Karol Romero</x:v>
      </x:c>
      <x:c r="J973" s="0"/>
      <x:c r="K973" t="n" s="2">
        <x:v>5</x:v>
      </x:c>
      <x:c r="L973" t="str" s="2">
        <x:v>1.1</x:v>
      </x:c>
      <x:c r="M973" t="str" s="2">
        <x:v>Tentative</x:v>
      </x:c>
      <x:c r="N973" t="str" s="2">
        <x:v>Prospect</x:v>
      </x:c>
      <x:c r="O973" s="0"/>
      <x:c r="P973" s="6">
        <x:v>46263</x:v>
      </x:c>
      <x:c r="Q973" s="6">
        <x:v>46263.700562847225</x:v>
      </x:c>
      <x:c r="R973" s="0"/>
      <x:c r="S973" s="6">
        <x:v>46263</x:v>
      </x:c>
      <x:c r="T973" s="0"/>
      <x:c r="U973" s="0"/>
      <x:c r="V973" s="0"/>
      <x:c r="W973" s="0"/>
      <x:c r="X973" t="str" s="2">
        <x:v>3462649723</x:v>
      </x:c>
      <x:c r="Y973" t="str" s="2">
        <x:v>freeb4960@gmail.com</x:v>
      </x:c>
      <x:c r="Z973" s="0"/>
      <x:c r="AA973" s="0"/>
      <x:c r="AB973" s="6">
        <x:v>46263.69583116898</x:v>
      </x:c>
      <x:c r="AC973" t="n" s="2">
        <x:v>39478</x:v>
      </x:c>
      <x:c r="AD973" s="0"/>
      <x:c r="AE973" s="0"/>
      <x:c r="AF973" s="0"/>
      <x:c r="AG973" s="7">
        <x:v>15000</x:v>
      </x:c>
      <x:c r="AH973" s="0"/>
      <x:c r="AI973" s="0"/>
      <x:c r="AJ973" s="0"/>
      <x:c r="AK973" s="0"/>
    </x:row>
    <x:row r="974">
      <x:c r="A974" t="str" s="2">
        <x:f>=HYPERLINK("https://rsms.futurehomex.com/lead/39479", "Kenna Unruh")</x:f>
      </x:c>
      <x:c r="B974" t="n" s="2">
        <x:v>45</x:v>
      </x:c>
      <x:c r="C974" t="str" s="2">
        <x:v>1/1</x:v>
      </x:c>
      <x:c r="D974" t="str" s="2">
        <x:f>=""</x:f>
      </x:c>
      <x:c r="E974" s="0"/>
      <x:c r="F974" t="str" s="2">
        <x:v>Facebook Messenger</x:v>
      </x:c>
      <x:c r="G974" t="str" s="2">
        <x:v>Heritage Housing of Oklahoma City</x:v>
      </x:c>
      <x:c r="H974" t="str" s="2">
        <x:v>Eva Misheva</x:v>
      </x:c>
      <x:c r="I974" s="0"/>
      <x:c r="J974" s="0"/>
      <x:c r="K974" t="n" s="2">
        <x:v>5</x:v>
      </x:c>
      <x:c r="L974" t="str" s="2">
        <x:v>1.1</x:v>
      </x:c>
      <x:c r="M974" t="str" s="2">
        <x:v>Tentative</x:v>
      </x:c>
      <x:c r="N974" t="str" s="2">
        <x:v>Prospect</x:v>
      </x:c>
      <x:c r="O974" s="0"/>
      <x:c r="P974" s="6">
        <x:v>46263</x:v>
      </x:c>
      <x:c r="Q974" s="6">
        <x:v>46263.70667708333</x:v>
      </x:c>
      <x:c r="R974" s="0"/>
      <x:c r="S974" s="6">
        <x:v>46264</x:v>
      </x:c>
      <x:c r="T974" s="0"/>
      <x:c r="U974" s="0"/>
      <x:c r="V974" s="0"/>
      <x:c r="W974" s="0"/>
      <x:c r="X974" t="str" s="2">
        <x:v>6205151630</x:v>
      </x:c>
      <x:c r="Y974" t="str" s="2">
        <x:v>6205151630</x:v>
      </x:c>
      <x:c r="Z974" s="6">
        <x:v>46285.83909487269</x:v>
      </x:c>
      <x:c r="AA974" t="str" s="2">
        <x:v>Eva Misheva</x:v>
      </x:c>
      <x:c r="AB974" s="6">
        <x:v>46263.706678622686</x:v>
      </x:c>
      <x:c r="AC974" t="n" s="2">
        <x:v>39479</x:v>
      </x:c>
      <x:c r="AD974" s="0"/>
      <x:c r="AE974" s="0"/>
      <x:c r="AF974" s="0"/>
      <x:c r="AG974" s="0"/>
      <x:c r="AH974" s="0"/>
      <x:c r="AI974" s="0"/>
      <x:c r="AJ974" s="0"/>
      <x:c r="AK974" s="0"/>
    </x:row>
    <x:row r="975">
      <x:c r="A975" t="str" s="2">
        <x:f>=HYPERLINK("https://rsms.futurehomex.com/lead/39481", "Lawrence Hollifield")</x:f>
      </x:c>
      <x:c r="B975" t="n" s="2">
        <x:v>45</x:v>
      </x:c>
      <x:c r="C975" t="str" s="2">
        <x:v/>
      </x:c>
      <x:c r="D975" t="str" s="2">
        <x:f>=""</x:f>
      </x:c>
      <x:c r="E975" s="0"/>
      <x:c r="F975" t="str" s="2">
        <x:v>Walk-in</x:v>
      </x:c>
      <x:c r="G975" t="str" s="2">
        <x:v>Heritage Housing of Asheboro</x:v>
      </x:c>
      <x:c r="H975" t="str" s="2">
        <x:v>Maria Lopez</x:v>
      </x:c>
      <x:c r="I975" s="0"/>
      <x:c r="J975" s="0"/>
      <x:c r="K975" t="n" s="2">
        <x:v>21</x:v>
      </x:c>
      <x:c r="L975" t="str" s="2">
        <x:v>2.1</x:v>
      </x:c>
      <x:c r="M975" t="str" s="2">
        <x:v>Tentative</x:v>
      </x:c>
      <x:c r="N975" t="str" s="2">
        <x:v>Qualified</x:v>
      </x:c>
      <x:c r="O975" s="0"/>
      <x:c r="P975" s="6">
        <x:v>46263</x:v>
      </x:c>
      <x:c r="Q975" s="6">
        <x:v>46282.75930420139</x:v>
      </x:c>
      <x:c r="R975" s="0"/>
      <x:c r="S975" s="6">
        <x:v>46263</x:v>
      </x:c>
      <x:c r="T975" s="0"/>
      <x:c r="U975" s="0"/>
      <x:c r="V975" s="0"/>
      <x:c r="W975" s="0"/>
      <x:c r="X975" t="str" s="2">
        <x:v>3368441250</x:v>
      </x:c>
      <x:c r="Y975" t="str" s="2">
        <x:v>lawrencehollifield775@gmail.com</x:v>
      </x:c>
      <x:c r="Z975" s="6">
        <x:v>46282.75929163194</x:v>
      </x:c>
      <x:c r="AA975" t="str" s="2">
        <x:v>Jeremy Jacques</x:v>
      </x:c>
      <x:c r="AB975" s="6">
        <x:v>46263.744426770834</x:v>
      </x:c>
      <x:c r="AC975" t="n" s="2">
        <x:v>39481</x:v>
      </x:c>
      <x:c r="AD975" s="0"/>
      <x:c r="AE975" s="0"/>
      <x:c r="AF975" s="0"/>
      <x:c r="AG975" s="0"/>
      <x:c r="AH975" s="0"/>
      <x:c r="AI975" s="0"/>
      <x:c r="AJ975" s="0"/>
      <x:c r="AK975" s="0"/>
    </x:row>
    <x:row r="976">
      <x:c r="A976" t="str" s="2">
        <x:f>=HYPERLINK("https://rsms.futurehomex.com/lead/39482", "Laferra Heron")</x:f>
      </x:c>
      <x:c r="B976" t="n" s="2">
        <x:v>45</x:v>
      </x:c>
      <x:c r="C976" t="str" s="2">
        <x:v>0/1</x:v>
      </x:c>
      <x:c r="D976" t="str" s="2">
        <x:f>=""</x:f>
      </x:c>
      <x:c r="E976" s="0"/>
      <x:c r="F976" t="str" s="2">
        <x:v>Facebook Messenger</x:v>
      </x:c>
      <x:c r="G976" t="str" s="2">
        <x:v>Heritage Housing of Minden</x:v>
      </x:c>
      <x:c r="H976" t="str" s="2">
        <x:v>Patrick Schuchart</x:v>
      </x:c>
      <x:c r="I976" t="str" s="2">
        <x:v>Karol Romero</x:v>
      </x:c>
      <x:c r="J976" t="str" s="2">
        <x:v>Patrick Schuchart</x:v>
      </x:c>
      <x:c r="K976" t="n" s="2">
        <x:v>5</x:v>
      </x:c>
      <x:c r="L976" t="str" s="2">
        <x:v>1.1</x:v>
      </x:c>
      <x:c r="M976" t="str" s="2">
        <x:v>Tentative</x:v>
      </x:c>
      <x:c r="N976" t="str" s="2">
        <x:v>Deal Created</x:v>
      </x:c>
      <x:c r="O976" s="0"/>
      <x:c r="P976" s="6">
        <x:v>46263</x:v>
      </x:c>
      <x:c r="Q976" s="6">
        <x:v>46263.77154123843</x:v>
      </x:c>
      <x:c r="R976" t="str" s="2">
        <x:v>Patrick Schuchart</x:v>
      </x:c>
      <x:c r="S976" s="0"/>
      <x:c r="T976" s="0"/>
      <x:c r="U976" s="0"/>
      <x:c r="V976" s="0"/>
      <x:c r="W976" s="0"/>
      <x:c r="X976" t="str" s="2">
        <x:v>3185627644</x:v>
      </x:c>
      <x:c r="Y976" t="str" s="2">
        <x:v>3185627644</x:v>
      </x:c>
      <x:c r="Z976" s="6">
        <x:v>46295.8677346412</x:v>
      </x:c>
      <x:c r="AA976" t="str" s="2">
        <x:v>Kyla Brown</x:v>
      </x:c>
      <x:c r="AB976" s="6">
        <x:v>46263.771543483796</x:v>
      </x:c>
      <x:c r="AC976" t="n" s="2">
        <x:v>39482</x:v>
      </x:c>
      <x:c r="AD976" s="0"/>
      <x:c r="AE976" s="0"/>
      <x:c r="AF976" s="0"/>
      <x:c r="AG976" s="0"/>
      <x:c r="AH976" s="0"/>
      <x:c r="AI976" s="0"/>
      <x:c r="AJ976" s="0"/>
      <x:c r="AK976" s="0"/>
    </x:row>
    <x:row r="977">
      <x:c r="A977" t="str" s="2">
        <x:f>=HYPERLINK("https://rsms.futurehomex.com/lead/39483", "Jame WeeatherFord")</x:f>
      </x:c>
      <x:c r="B977" t="n" s="2">
        <x:v>45</x:v>
      </x:c>
      <x:c r="C977" t="str" s="2">
        <x:v/>
      </x:c>
      <x:c r="D977" t="str" s="2">
        <x:f>=""</x:f>
      </x:c>
      <x:c r="E977" s="0"/>
      <x:c r="F977" t="str" s="2">
        <x:v>Website</x:v>
      </x:c>
      <x:c r="G977" t="str" s="2">
        <x:v>Heritage Housing Mt Pleasant</x:v>
      </x:c>
      <x:c r="H977" t="str" s="2">
        <x:v>Yarelis Torres</x:v>
      </x:c>
      <x:c r="I977" s="0"/>
      <x:c r="J977" t="str" s="2">
        <x:v>Yarelis Torres</x:v>
      </x:c>
      <x:c r="K977" t="n" s="2">
        <x:v>5</x:v>
      </x:c>
      <x:c r="L977" t="str" s="2">
        <x:v>1.1</x:v>
      </x:c>
      <x:c r="M977" t="str" s="2">
        <x:v>Tentative</x:v>
      </x:c>
      <x:c r="N977" t="str" s="2">
        <x:v>Deal Created</x:v>
      </x:c>
      <x:c r="O977" s="0"/>
      <x:c r="P977" s="6">
        <x:v>46263</x:v>
      </x:c>
      <x:c r="Q977" s="6">
        <x:v>46263.77475181713</x:v>
      </x:c>
      <x:c r="R977" s="0"/>
      <x:c r="S977" s="0"/>
      <x:c r="T977" s="0"/>
      <x:c r="U977" s="0"/>
      <x:c r="V977" s="0"/>
      <x:c r="W977" s="0"/>
      <x:c r="X977" t="str" s="2">
        <x:v>9035377806</x:v>
      </x:c>
      <x:c r="Y977" t="str" s="2">
        <x:v>9035377806</x:v>
      </x:c>
      <x:c r="Z977" s="0"/>
      <x:c r="AA977" s="0"/>
      <x:c r="AB977" s="6">
        <x:v>46263.7747534375</x:v>
      </x:c>
      <x:c r="AC977" t="n" s="2">
        <x:v>39483</x:v>
      </x:c>
      <x:c r="AD977" s="0"/>
      <x:c r="AE977" s="0"/>
      <x:c r="AF977" s="0"/>
      <x:c r="AG977" s="0"/>
      <x:c r="AH977" s="0"/>
      <x:c r="AI977" s="0"/>
      <x:c r="AJ977" s="0"/>
      <x:c r="AK977" s="0"/>
    </x:row>
    <x:row r="978">
      <x:c r="A978" t="str" s="2">
        <x:f>=HYPERLINK("https://rsms.futurehomex.com/lead/39484", "Agneshia Edmondson")</x:f>
      </x:c>
      <x:c r="B978" t="n" s="2">
        <x:v>45</x:v>
      </x:c>
      <x:c r="C978" t="str" s="2">
        <x:v>0/3</x:v>
      </x:c>
      <x:c r="D978" t="str" s="2">
        <x:f>=""</x:f>
      </x:c>
      <x:c r="E978" s="0"/>
      <x:c r="F978" t="str" s="2">
        <x:v>Financing Form</x:v>
      </x:c>
      <x:c r="G978" t="str" s="2">
        <x:v>Heritage Housing of Minden</x:v>
      </x:c>
      <x:c r="H978" t="str" s="2">
        <x:v>Patrick Schuchart</x:v>
      </x:c>
      <x:c r="I978" t="str" s="2">
        <x:v>Karol Romero</x:v>
      </x:c>
      <x:c r="J978" t="str" s="2">
        <x:v>Patrick Schuchart</x:v>
      </x:c>
      <x:c r="K978" t="n" s="2">
        <x:v>5</x:v>
      </x:c>
      <x:c r="L978" t="str" s="2">
        <x:v>1.1</x:v>
      </x:c>
      <x:c r="M978" t="str" s="2">
        <x:v>Dead</x:v>
      </x:c>
      <x:c r="N978" t="str" s="2">
        <x:v>Prospect</x:v>
      </x:c>
      <x:c r="O978" s="0"/>
      <x:c r="P978" s="6">
        <x:v>46263</x:v>
      </x:c>
      <x:c r="Q978" s="6">
        <x:v>46273.879369988426</x:v>
      </x:c>
      <x:c r="R978" t="str" s="2">
        <x:v>Patrick Schuchart</x:v>
      </x:c>
      <x:c r="S978" s="0"/>
      <x:c r="T978" s="0"/>
      <x:c r="U978" s="0"/>
      <x:c r="V978" s="0"/>
      <x:c r="W978" s="0"/>
      <x:c r="X978" t="str" s="2">
        <x:v>8703121758</x:v>
      </x:c>
      <x:c r="Y978" t="str" s="2">
        <x:v>neshiagray02@outlook.com</x:v>
      </x:c>
      <x:c r="Z978" s="6">
        <x:v>46295.86827071759</x:v>
      </x:c>
      <x:c r="AA978" t="str" s="2">
        <x:v>Kyla Brown</x:v>
      </x:c>
      <x:c r="AB978" s="6">
        <x:v>46263.78579583333</x:v>
      </x:c>
      <x:c r="AC978" t="n" s="2">
        <x:v>39484</x:v>
      </x:c>
      <x:c r="AD978" s="0"/>
      <x:c r="AE978" s="0"/>
      <x:c r="AF978" s="0"/>
      <x:c r="AG978" s="0"/>
      <x:c r="AH978" s="0"/>
      <x:c r="AI978" s="0"/>
      <x:c r="AJ978" s="0"/>
      <x:c r="AK978" s="0"/>
    </x:row>
    <x:row r="979">
      <x:c r="A979" t="str" s="2">
        <x:f>=HYPERLINK("https://rsms.futurehomex.com/lead/39485", "Donald Horton")</x:f>
      </x:c>
      <x:c r="B979" t="n" s="2">
        <x:v>45</x:v>
      </x:c>
      <x:c r="C979" t="str" s="2">
        <x:v>0/1</x:v>
      </x:c>
      <x:c r="D979" t="str" s="2">
        <x:f>="CASH"</x:f>
      </x:c>
      <x:c r="E979" s="0"/>
      <x:c r="F979" t="str" s="2">
        <x:v>Walk-in</x:v>
      </x:c>
      <x:c r="G979" t="str" s="2">
        <x:v>Heritage Housing of Greenville</x:v>
      </x:c>
      <x:c r="H979" t="str" s="2">
        <x:v>Greg Christman</x:v>
      </x:c>
      <x:c r="I979" s="0"/>
      <x:c r="J979" t="str" s="2">
        <x:v>Greg Christman</x:v>
      </x:c>
      <x:c r="K979" t="n" s="2">
        <x:v>38</x:v>
      </x:c>
      <x:c r="L979" t="str" s="2">
        <x:v>3.2</x:v>
      </x:c>
      <x:c r="M979" t="str" s="2">
        <x:v>Dead</x:v>
      </x:c>
      <x:c r="N979" t="str" s="2">
        <x:v>Application</x:v>
      </x:c>
      <x:c r="O979" s="0"/>
      <x:c r="P979" s="6">
        <x:v>46263</x:v>
      </x:c>
      <x:c r="Q979" s="6">
        <x:v>46264.64937789352</x:v>
      </x:c>
      <x:c r="R979" s="0"/>
      <x:c r="S979" s="6">
        <x:v>46263</x:v>
      </x:c>
      <x:c r="T979" s="0"/>
      <x:c r="U979" s="0"/>
      <x:c r="V979" s="0"/>
      <x:c r="W979" s="0"/>
      <x:c r="X979" t="str" s="2">
        <x:v>4694461149</x:v>
      </x:c>
      <x:c r="Y979" t="str" s="2">
        <x:v>russhorton15@gmail.com</x:v>
      </x:c>
      <x:c r="Z979" s="6">
        <x:v>46276.56919105324</x:v>
      </x:c>
      <x:c r="AA979" t="str" s="2">
        <x:v>Brandie Sartor</x:v>
      </x:c>
      <x:c r="AB979" s="6">
        <x:v>46263.78628318287</x:v>
      </x:c>
      <x:c r="AC979" t="n" s="2">
        <x:v>39485</x:v>
      </x:c>
      <x:c r="AD979" t="str" s="2">
        <x:v>Singlewide</x:v>
      </x:c>
      <x:c r="AE979" s="0"/>
      <x:c r="AF979" s="7">
        <x:v>500</x:v>
      </x:c>
      <x:c r="AG979" s="0"/>
      <x:c r="AH979" s="7">
        <x:v>500</x:v>
      </x:c>
      <x:c r="AI979" s="0"/>
      <x:c r="AJ979" s="0"/>
      <x:c r="AK979" s="0"/>
    </x:row>
    <x:row r="980">
      <x:c r="A980" t="str" s="2">
        <x:f>=HYPERLINK("https://rsms.futurehomex.com/lead/39486", "James Siderias")</x:f>
      </x:c>
      <x:c r="B980" t="n" s="2">
        <x:v>45</x:v>
      </x:c>
      <x:c r="C980" t="str" s="2">
        <x:v>0/4</x:v>
      </x:c>
      <x:c r="D980" t="str" s="2">
        <x:f>=""</x:f>
      </x:c>
      <x:c r="E980" s="0"/>
      <x:c r="F980" t="str" s="2">
        <x:v>Walk-in</x:v>
      </x:c>
      <x:c r="G980" t="str" s="2">
        <x:v>Heritage Housing of Oklahoma City</x:v>
      </x:c>
      <x:c r="H980" t="str" s="2">
        <x:v>Alejandra Calderon</x:v>
      </x:c>
      <x:c r="I980" s="0"/>
      <x:c r="J980" t="str" s="2">
        <x:v>Alejandra Calderon</x:v>
      </x:c>
      <x:c r="K980" t="n" s="2">
        <x:v>5</x:v>
      </x:c>
      <x:c r="L980" t="str" s="2">
        <x:v>1.1</x:v>
      </x:c>
      <x:c r="M980" t="str" s="2">
        <x:v>Dead</x:v>
      </x:c>
      <x:c r="N980" t="str" s="2">
        <x:v>Deal Created</x:v>
      </x:c>
      <x:c r="O980" s="0"/>
      <x:c r="P980" s="6">
        <x:v>46263</x:v>
      </x:c>
      <x:c r="Q980" s="6">
        <x:v>46265.91526582176</x:v>
      </x:c>
      <x:c r="R980" s="0"/>
      <x:c r="S980" s="6">
        <x:v>46263</x:v>
      </x:c>
      <x:c r="T980" s="0"/>
      <x:c r="U980" s="0"/>
      <x:c r="V980" s="0"/>
      <x:c r="W980" s="0"/>
      <x:c r="X980" t="str" s="2">
        <x:v>4058218541</x:v>
      </x:c>
      <x:c r="Y980" t="str" s="2">
        <x:v>jsiderias@outlook.com</x:v>
      </x:c>
      <x:c r="Z980" s="6">
        <x:v>46273.88023857639</x:v>
      </x:c>
      <x:c r="AA980" t="str" s="2">
        <x:v>Richard Bell</x:v>
      </x:c>
      <x:c r="AB980" s="6">
        <x:v>46263.79676597222</x:v>
      </x:c>
      <x:c r="AC980" t="n" s="2">
        <x:v>39486</x:v>
      </x:c>
      <x:c r="AD980" s="0"/>
      <x:c r="AE980" s="0"/>
      <x:c r="AF980" s="0"/>
      <x:c r="AG980" s="0"/>
      <x:c r="AH980" s="0"/>
      <x:c r="AI980" s="0"/>
      <x:c r="AJ980" s="0"/>
      <x:c r="AK980" s="0"/>
    </x:row>
    <x:row r="981">
      <x:c r="A981" t="str" s="2">
        <x:f>=HYPERLINK("https://rsms.futurehomex.com/lead/39487", "Dammernic McGuire")</x:f>
      </x:c>
      <x:c r="B981" t="n" s="2">
        <x:v>45</x:v>
      </x:c>
      <x:c r="C981" t="str" s="2">
        <x:v/>
      </x:c>
      <x:c r="D981" t="str" s="2">
        <x:f>=""</x:f>
      </x:c>
      <x:c r="E981" s="0"/>
      <x:c r="F981" t="str" s="2">
        <x:v>Walk-in</x:v>
      </x:c>
      <x:c r="G981" t="str" s="2">
        <x:v>Legacy Housing Corp. DBA Americasa</x:v>
      </x:c>
      <x:c r="H981" t="str" s="2">
        <x:v>Jose Parada</x:v>
      </x:c>
      <x:c r="I981" t="str" s="2">
        <x:v>Karol Romero</x:v>
      </x:c>
      <x:c r="J981" s="0"/>
      <x:c r="K981" t="n" s="2">
        <x:v>5</x:v>
      </x:c>
      <x:c r="L981" t="str" s="2">
        <x:v>1.1</x:v>
      </x:c>
      <x:c r="M981" t="str" s="2">
        <x:v>Dead</x:v>
      </x:c>
      <x:c r="N981" t="str" s="2">
        <x:v>Prospect</x:v>
      </x:c>
      <x:c r="O981" s="0"/>
      <x:c r="P981" s="6">
        <x:v>46263</x:v>
      </x:c>
      <x:c r="Q981" s="6">
        <x:v>46263.82839765046</x:v>
      </x:c>
      <x:c r="R981" s="0"/>
      <x:c r="S981" s="6">
        <x:v>46263</x:v>
      </x:c>
      <x:c r="T981" s="0"/>
      <x:c r="U981" s="0"/>
      <x:c r="V981" s="0"/>
      <x:c r="W981" s="0"/>
      <x:c r="X981" t="str" s="2">
        <x:v>2816909034</x:v>
      </x:c>
      <x:c r="Y981" t="str" s="2">
        <x:v>dammernic@gmail.com</x:v>
      </x:c>
      <x:c r="Z981" s="6">
        <x:v>46263.83998244213</x:v>
      </x:c>
      <x:c r="AA981" t="str" s="2">
        <x:v>Angelica Mendoza </x:v>
      </x:c>
      <x:c r="AB981" s="6">
        <x:v>46263.82839857639</x:v>
      </x:c>
      <x:c r="AC981" t="n" s="2">
        <x:v>39487</x:v>
      </x:c>
      <x:c r="AD981" s="0"/>
      <x:c r="AE981" s="0"/>
      <x:c r="AF981" s="0"/>
      <x:c r="AG981" s="0"/>
      <x:c r="AH981" s="0"/>
      <x:c r="AI981" s="0"/>
      <x:c r="AJ981" s="0"/>
      <x:c r="AK981" s="0"/>
    </x:row>
    <x:row r="982">
      <x:c r="A982" t="str" s="2">
        <x:f>=HYPERLINK("https://rsms.futurehomex.com/lead/39490", "Ethan Perkins")</x:f>
      </x:c>
      <x:c r="B982" t="n" s="2">
        <x:v>45</x:v>
      </x:c>
      <x:c r="C982" t="str" s="2">
        <x:v>0/2</x:v>
      </x:c>
      <x:c r="D982" t="str" s="2">
        <x:f>=""</x:f>
      </x:c>
      <x:c r="E982" s="0"/>
      <x:c r="F982" t="str" s="2">
        <x:v>Walk-in</x:v>
      </x:c>
      <x:c r="G982" t="str" s="2">
        <x:v>Heritage Housing of Minden</x:v>
      </x:c>
      <x:c r="H982" t="str" s="2">
        <x:v>Patrick Schuchart</x:v>
      </x:c>
      <x:c r="I982" t="str" s="2">
        <x:v>Karol Romero</x:v>
      </x:c>
      <x:c r="J982" t="str" s="2">
        <x:v>Patrick Schuchart</x:v>
      </x:c>
      <x:c r="K982" t="n" s="2">
        <x:v>5</x:v>
      </x:c>
      <x:c r="L982" t="str" s="2">
        <x:v>1.1</x:v>
      </x:c>
      <x:c r="M982" t="str" s="2">
        <x:v>Tentative</x:v>
      </x:c>
      <x:c r="N982" t="str" s="2">
        <x:v>Deal Created</x:v>
      </x:c>
      <x:c r="O982" s="0"/>
      <x:c r="P982" s="6">
        <x:v>46263</x:v>
      </x:c>
      <x:c r="Q982" s="6">
        <x:v>46269.812074918984</x:v>
      </x:c>
      <x:c r="R982" t="str" s="2">
        <x:v>Patrick Schuchart</x:v>
      </x:c>
      <x:c r="S982" s="0"/>
      <x:c r="T982" s="0"/>
      <x:c r="U982" s="0"/>
      <x:c r="V982" s="0"/>
      <x:c r="W982" s="0"/>
      <x:c r="X982" t="str" s="2">
        <x:v>3186397590</x:v>
      </x:c>
      <x:c r="Y982" t="str" s="2">
        <x:v>3186397590</x:v>
      </x:c>
      <x:c r="Z982" s="6">
        <x:v>46295.84949204861</x:v>
      </x:c>
      <x:c r="AA982" t="str" s="2">
        <x:v>Kyla Brown</x:v>
      </x:c>
      <x:c r="AB982" s="6">
        <x:v>46263.916094444445</x:v>
      </x:c>
      <x:c r="AC982" t="n" s="2">
        <x:v>39490</x:v>
      </x:c>
      <x:c r="AD982" s="0"/>
      <x:c r="AE982" s="0"/>
      <x:c r="AF982" s="0"/>
      <x:c r="AG982" s="0"/>
      <x:c r="AH982" s="0"/>
      <x:c r="AI982" s="0"/>
      <x:c r="AJ982" s="0"/>
      <x:c r="AK982" s="0"/>
    </x:row>
    <x:row r="983">
      <x:c r="A983" t="str" s="2">
        <x:f>=HYPERLINK("https://rsms.futurehomex.com/lead/39491", "Jaime Neave")</x:f>
      </x:c>
      <x:c r="B983" t="n" s="2">
        <x:v>45</x:v>
      </x:c>
      <x:c r="C983" t="str" s="2">
        <x:v>0/1</x:v>
      </x:c>
      <x:c r="D983" t="str" s="2">
        <x:f>=""</x:f>
      </x:c>
      <x:c r="E983" s="0"/>
      <x:c r="F983" t="str" s="2">
        <x:v>TikTok</x:v>
      </x:c>
      <x:c r="G983" t="str" s="2">
        <x:v>Heritage Housing of Greenville</x:v>
      </x:c>
      <x:c r="H983" t="str" s="2">
        <x:v>Oscar Osorio</x:v>
      </x:c>
      <x:c r="I983" s="0"/>
      <x:c r="J983" t="str" s="2">
        <x:v>Oscar Osorio</x:v>
      </x:c>
      <x:c r="K983" t="n" s="2">
        <x:v>59</x:v>
      </x:c>
      <x:c r="L983" t="str" s="2">
        <x:v>4.3</x:v>
      </x:c>
      <x:c r="M983" t="str" s="2">
        <x:v>Active</x:v>
      </x:c>
      <x:c r="N983" t="str" s="2">
        <x:v>Loan Approved</x:v>
      </x:c>
      <x:c r="O983" s="0"/>
      <x:c r="P983" s="6">
        <x:v>46263</x:v>
      </x:c>
      <x:c r="Q983" s="6">
        <x:v>46267.895278159725</x:v>
      </x:c>
      <x:c r="R983" s="0"/>
      <x:c r="S983" s="6">
        <x:v>46262</x:v>
      </x:c>
      <x:c r="T983" s="6">
        <x:v>46262</x:v>
      </x:c>
      <x:c r="U983" s="6">
        <x:v>46268</x:v>
      </x:c>
      <x:c r="V983" s="6">
        <x:v>46268</x:v>
      </x:c>
      <x:c r="W983" s="0"/>
      <x:c r="X983" t="str" s="2">
        <x:v>4692586195</x:v>
      </x:c>
      <x:c r="Y983" t="str" s="2">
        <x:v>Jaimeneave5e@gmail.com</x:v>
      </x:c>
      <x:c r="Z983" s="6">
        <x:v>46268.54741010417</x:v>
      </x:c>
      <x:c r="AA983" t="str" s="2">
        <x:v>Brandie Sartor</x:v>
      </x:c>
      <x:c r="AB983" s="6">
        <x:v>46263.925857407405</x:v>
      </x:c>
      <x:c r="AC983" t="n" s="2">
        <x:v>39491</x:v>
      </x:c>
      <x:c r="AD983" t="str" s="2">
        <x:v>Singlewide</x:v>
      </x:c>
      <x:c r="AE983" t="str" s="2">
        <x:v>Legacy Housing Corporation</x:v>
      </x:c>
      <x:c r="AF983" s="7">
        <x:v>10304</x:v>
      </x:c>
      <x:c r="AG983" s="7">
        <x:v>10000</x:v>
      </x:c>
      <x:c r="AH983" s="0"/>
      <x:c r="AI983" t="str" s="2">
        <x:v>0</x:v>
      </x:c>
      <x:c r="AJ983" s="0"/>
      <x:c r="AK983" s="0"/>
    </x:row>
    <x:row r="984">
      <x:c r="A984" t="str" s="2">
        <x:f>=HYPERLINK("https://rsms.futurehomex.com/lead/39492", "Aurelio Jasso - Narvaez")</x:f>
      </x:c>
      <x:c r="B984" t="n" s="2">
        <x:v>44</x:v>
      </x:c>
      <x:c r="C984" t="str" s="2">
        <x:v>0/6</x:v>
      </x:c>
      <x:c r="D984" t="str" s="2">
        <x:f>=""</x:f>
      </x:c>
      <x:c r="E984" s="0"/>
      <x:c r="F984" t="str" s="2">
        <x:v>TikTok</x:v>
      </x:c>
      <x:c r="G984" t="str" s="2">
        <x:v>Heritage Housing of Greenville</x:v>
      </x:c>
      <x:c r="H984" t="str" s="2">
        <x:v>Oscar Osorio</x:v>
      </x:c>
      <x:c r="I984" s="0"/>
      <x:c r="J984" t="str" s="2">
        <x:v>Oscar Osorio</x:v>
      </x:c>
      <x:c r="K984" t="n" s="2">
        <x:v>38</x:v>
      </x:c>
      <x:c r="L984" t="str" s="2">
        <x:v>3.2</x:v>
      </x:c>
      <x:c r="M984" t="str" s="2">
        <x:v>Active</x:v>
      </x:c>
      <x:c r="N984" t="str" s="2">
        <x:v>Application</x:v>
      </x:c>
      <x:c r="O984" s="0"/>
      <x:c r="P984" s="6">
        <x:v>46264</x:v>
      </x:c>
      <x:c r="Q984" s="6">
        <x:v>46307.671866516204</x:v>
      </x:c>
      <x:c r="R984" s="0"/>
      <x:c r="S984" s="6">
        <x:v>46263</x:v>
      </x:c>
      <x:c r="T984" s="6">
        <x:v>46263</x:v>
      </x:c>
      <x:c r="U984" s="6">
        <x:v>46264</x:v>
      </x:c>
      <x:c r="V984" s="0"/>
      <x:c r="W984" s="0"/>
      <x:c r="X984" t="str" s="2">
        <x:v>2149620940</x:v>
      </x:c>
      <x:c r="Y984" t="str" s="2">
        <x:v>JoselynJass066@gmail.com</x:v>
      </x:c>
      <x:c r="Z984" s="6">
        <x:v>46308.67440084491</x:v>
      </x:c>
      <x:c r="AA984" t="str" s="2">
        <x:v>Meliza Banda</x:v>
      </x:c>
      <x:c r="AB984" s="6">
        <x:v>46264.59645162037</x:v>
      </x:c>
      <x:c r="AC984" t="n" s="2">
        <x:v>39492</x:v>
      </x:c>
      <x:c r="AD984" t="str" s="2">
        <x:v>Doublewide</x:v>
      </x:c>
      <x:c r="AE984" t="str" s="2">
        <x:v>Legacy Housing Corporation</x:v>
      </x:c>
      <x:c r="AF984" s="0"/>
      <x:c r="AG984" s="7">
        <x:v>10000</x:v>
      </x:c>
      <x:c r="AH984" s="0"/>
      <x:c r="AI984" t="str" s="2">
        <x:v>604</x:v>
      </x:c>
      <x:c r="AJ984" s="0"/>
      <x:c r="AK984" s="0"/>
    </x:row>
    <x:row r="985">
      <x:c r="A985" t="str" s="2">
        <x:f>=HYPERLINK("https://rsms.futurehomex.com/lead/39493", "De'Neisha Moon")</x:f>
      </x:c>
      <x:c r="B985" t="n" s="2">
        <x:v>44</x:v>
      </x:c>
      <x:c r="C985" t="str" s="2">
        <x:v>0/2</x:v>
      </x:c>
      <x:c r="D985" t="str" s="2">
        <x:f>=""</x:f>
      </x:c>
      <x:c r="E985" s="0"/>
      <x:c r="F985" t="str" s="2">
        <x:v>Landing_BPM</x:v>
      </x:c>
      <x:c r="G985" t="str" s="2">
        <x:v>Heritage Housing of Oklahoma City</x:v>
      </x:c>
      <x:c r="H985" t="str" s="2">
        <x:v>Steve Castell</x:v>
      </x:c>
      <x:c r="I985" s="0"/>
      <x:c r="J985" t="str" s="2">
        <x:v>Steve Castell</x:v>
      </x:c>
      <x:c r="K985" t="n" s="2">
        <x:v>5</x:v>
      </x:c>
      <x:c r="L985" t="str" s="2">
        <x:v>1.1</x:v>
      </x:c>
      <x:c r="M985" t="str" s="2">
        <x:v>Inactive</x:v>
      </x:c>
      <x:c r="N985" t="str" s="2">
        <x:v>Deal Created</x:v>
      </x:c>
      <x:c r="O985" s="0"/>
      <x:c r="P985" s="6">
        <x:v>46264</x:v>
      </x:c>
      <x:c r="Q985" s="6">
        <x:v>46264.637375266204</x:v>
      </x:c>
      <x:c r="R985" s="0"/>
      <x:c r="S985" s="0"/>
      <x:c r="T985" s="0"/>
      <x:c r="U985" s="0"/>
      <x:c r="V985" s="0"/>
      <x:c r="W985" s="0"/>
      <x:c r="X985" t="str" s="2">
        <x:v>4057882472</x:v>
      </x:c>
      <x:c r="Y985" t="str" s="2">
        <x:v>moon.neisha1208@gmail.com</x:v>
      </x:c>
      <x:c r="Z985" s="6">
        <x:v>46275.95609155093</x:v>
      </x:c>
      <x:c r="AA985" t="str" s="2">
        <x:v>Steve Castell</x:v>
      </x:c>
      <x:c r="AB985" s="6">
        <x:v>46264.636712534724</x:v>
      </x:c>
      <x:c r="AC985" t="n" s="2">
        <x:v>39493</x:v>
      </x:c>
      <x:c r="AD985" s="0"/>
      <x:c r="AE985" s="0"/>
      <x:c r="AF985" s="0"/>
      <x:c r="AG985" s="0"/>
      <x:c r="AH985" s="0"/>
      <x:c r="AI985" s="0"/>
      <x:c r="AJ985" s="0"/>
      <x:c r="AK985" s="0"/>
    </x:row>
    <x:row r="986">
      <x:c r="A986" t="str" s="2">
        <x:f>=HYPERLINK("https://rsms.futurehomex.com/lead/39494", "Caleb Browning")</x:f>
      </x:c>
      <x:c r="B986" t="n" s="2">
        <x:v>44</x:v>
      </x:c>
      <x:c r="C986" t="str" s="2">
        <x:v>2/5</x:v>
      </x:c>
      <x:c r="D986" t="str" s="2">
        <x:f>=""</x:f>
      </x:c>
      <x:c r="E986" s="0"/>
      <x:c r="F986" t="str" s="2">
        <x:v>Facebook Messenger</x:v>
      </x:c>
      <x:c r="G986" t="str" s="2">
        <x:v>Heritage Housing of Oklahoma City</x:v>
      </x:c>
      <x:c r="H986" t="str" s="2">
        <x:v>Steve Castell</x:v>
      </x:c>
      <x:c r="I986" s="0"/>
      <x:c r="J986" t="str" s="2">
        <x:v>Steve Castell</x:v>
      </x:c>
      <x:c r="K986" t="n" s="2">
        <x:v>59</x:v>
      </x:c>
      <x:c r="L986" t="str" s="2">
        <x:v>4.3</x:v>
      </x:c>
      <x:c r="M986" t="str" s="2">
        <x:v>Active</x:v>
      </x:c>
      <x:c r="N986" t="str" s="2">
        <x:v>Loan Approved</x:v>
      </x:c>
      <x:c r="O986" s="6">
        <x:v>46326</x:v>
      </x:c>
      <x:c r="P986" s="6">
        <x:v>46264</x:v>
      </x:c>
      <x:c r="Q986" s="6">
        <x:v>46303.917739386576</x:v>
      </x:c>
      <x:c r="R986" s="0"/>
      <x:c r="S986" s="6">
        <x:v>46264</x:v>
      </x:c>
      <x:c r="T986" s="6">
        <x:v>46301</x:v>
      </x:c>
      <x:c r="U986" s="6">
        <x:v>46302</x:v>
      </x:c>
      <x:c r="V986" s="6">
        <x:v>46302</x:v>
      </x:c>
      <x:c r="W986" s="0"/>
      <x:c r="X986" t="str" s="2">
        <x:v>7203826962</x:v>
      </x:c>
      <x:c r="Y986" t="str" s="2">
        <x:v>Metalcobra16@gmail.com</x:v>
      </x:c>
      <x:c r="Z986" s="6">
        <x:v>46303.94139482639</x:v>
      </x:c>
      <x:c r="AA986" t="str" s="2">
        <x:v>Steve Castell</x:v>
      </x:c>
      <x:c r="AB986" s="6">
        <x:v>46300.63512997685</x:v>
      </x:c>
      <x:c r="AC986" t="n" s="2">
        <x:v>39494</x:v>
      </x:c>
      <x:c r="AD986" t="str" s="2">
        <x:v>Singlewide</x:v>
      </x:c>
      <x:c r="AE986" t="str" s="2">
        <x:v>Legacy Housing Corporation</x:v>
      </x:c>
      <x:c r="AF986" s="7">
        <x:v>7150</x:v>
      </x:c>
      <x:c r="AG986" s="7">
        <x:v>7150</x:v>
      </x:c>
      <x:c r="AH986" s="0"/>
      <x:c r="AI986" t="str" s="2">
        <x:v>765</x:v>
      </x:c>
      <x:c r="AJ986" s="0"/>
      <x:c r="AK986" s="0"/>
    </x:row>
    <x:row r="987">
      <x:c r="A987" t="str" s="2">
        <x:f>=HYPERLINK("https://rsms.futurehomex.com/lead/39512", "Disnei &amp; Ruiz Yoan")</x:f>
      </x:c>
      <x:c r="B987" t="n" s="2">
        <x:v>44</x:v>
      </x:c>
      <x:c r="C987" t="str" s="2">
        <x:v>1/1</x:v>
      </x:c>
      <x:c r="D987" t="str" s="2">
        <x:f>=""</x:f>
      </x:c>
      <x:c r="E987" s="0"/>
      <x:c r="F987" t="str" s="2">
        <x:v>Facebook Messenger</x:v>
      </x:c>
      <x:c r="G987" t="str" s="2">
        <x:v>Heritage Housing of Oklahoma City</x:v>
      </x:c>
      <x:c r="H987" t="str" s="2">
        <x:v>Eva Misheva</x:v>
      </x:c>
      <x:c r="I987" s="0"/>
      <x:c r="J987" s="0"/>
      <x:c r="K987" t="n" s="2">
        <x:v>5</x:v>
      </x:c>
      <x:c r="L987" t="str" s="2">
        <x:v>1.1</x:v>
      </x:c>
      <x:c r="M987" t="str" s="2">
        <x:v>Tentative</x:v>
      </x:c>
      <x:c r="N987" t="str" s="2">
        <x:v>Prospect</x:v>
      </x:c>
      <x:c r="O987" s="0"/>
      <x:c r="P987" s="6">
        <x:v>46264</x:v>
      </x:c>
      <x:c r="Q987" s="6">
        <x:v>46264.808174108795</x:v>
      </x:c>
      <x:c r="R987" s="0"/>
      <x:c r="S987" s="6">
        <x:v>46265</x:v>
      </x:c>
      <x:c r="T987" s="0"/>
      <x:c r="U987" s="0"/>
      <x:c r="V987" s="0"/>
      <x:c r="W987" s="0"/>
      <x:c r="X987" t="str" s="2">
        <x:v>7022922049</x:v>
      </x:c>
      <x:c r="Y987" t="str" s="2">
        <x:v>yoan1389@yahoo.com</x:v>
      </x:c>
      <x:c r="Z987" s="6">
        <x:v>46285.84302152778</x:v>
      </x:c>
      <x:c r="AA987" t="str" s="2">
        <x:v>Eva Misheva</x:v>
      </x:c>
      <x:c r="AB987" s="6">
        <x:v>46264.808175659724</x:v>
      </x:c>
      <x:c r="AC987" t="n" s="2">
        <x:v>39512</x:v>
      </x:c>
      <x:c r="AD987" s="0"/>
      <x:c r="AE987" s="0"/>
      <x:c r="AF987" s="0"/>
      <x:c r="AG987" s="0"/>
      <x:c r="AH987" s="0"/>
      <x:c r="AI987" s="0"/>
      <x:c r="AJ987" s="0"/>
      <x:c r="AK987" s="0"/>
    </x:row>
    <x:row r="988">
      <x:c r="A988" t="str" s="2">
        <x:f>=HYPERLINK("https://rsms.futurehomex.com/lead/39518", "Madison Bailey")</x:f>
      </x:c>
      <x:c r="B988" t="n" s="2">
        <x:v>44</x:v>
      </x:c>
      <x:c r="C988" t="str" s="2">
        <x:v>1/1</x:v>
      </x:c>
      <x:c r="D988" t="str" s="2">
        <x:f>=""</x:f>
      </x:c>
      <x:c r="E988" s="0"/>
      <x:c r="F988" t="str" s="2">
        <x:v>Facebook Messenger</x:v>
      </x:c>
      <x:c r="G988" t="str" s="2">
        <x:v>Heritage Housing of Oklahoma City</x:v>
      </x:c>
      <x:c r="H988" t="str" s="2">
        <x:v>Eva Misheva</x:v>
      </x:c>
      <x:c r="I988" s="0"/>
      <x:c r="J988" s="0"/>
      <x:c r="K988" t="n" s="2">
        <x:v>5</x:v>
      </x:c>
      <x:c r="L988" t="str" s="2">
        <x:v>1.1</x:v>
      </x:c>
      <x:c r="M988" t="str" s="2">
        <x:v>Tentative</x:v>
      </x:c>
      <x:c r="N988" t="str" s="2">
        <x:v>Prospect</x:v>
      </x:c>
      <x:c r="O988" s="0"/>
      <x:c r="P988" s="6">
        <x:v>46264</x:v>
      </x:c>
      <x:c r="Q988" s="6">
        <x:v>46264.81240721065</x:v>
      </x:c>
      <x:c r="R988" s="0"/>
      <x:c r="S988" s="6">
        <x:v>46265</x:v>
      </x:c>
      <x:c r="T988" s="0"/>
      <x:c r="U988" s="0"/>
      <x:c r="V988" s="0"/>
      <x:c r="W988" s="0"/>
      <x:c r="X988" t="str" s="2">
        <x:v>5804757198</x:v>
      </x:c>
      <x:c r="Y988" t="str" s="2">
        <x:v>5804757198</x:v>
      </x:c>
      <x:c r="Z988" s="6">
        <x:v>46285.83785991898</x:v>
      </x:c>
      <x:c r="AA988" t="str" s="2">
        <x:v>Eva Misheva</x:v>
      </x:c>
      <x:c r="AB988" s="6">
        <x:v>46264.81240879629</x:v>
      </x:c>
      <x:c r="AC988" t="n" s="2">
        <x:v>39518</x:v>
      </x:c>
      <x:c r="AD988" s="0"/>
      <x:c r="AE988" s="0"/>
      <x:c r="AF988" s="0"/>
      <x:c r="AG988" s="0"/>
      <x:c r="AH988" s="0"/>
      <x:c r="AI988" s="0"/>
      <x:c r="AJ988" s="0"/>
      <x:c r="AK988" s="0"/>
    </x:row>
    <x:row r="989">
      <x:c r="A989" t="str" s="2">
        <x:f>=HYPERLINK("https://rsms.futurehomex.com/lead/39520", "Tyler Freeman")</x:f>
      </x:c>
      <x:c r="B989" t="n" s="2">
        <x:v>43</x:v>
      </x:c>
      <x:c r="C989" t="str" s="2">
        <x:v>0/1</x:v>
      </x:c>
      <x:c r="D989" t="str" s="2">
        <x:f>=""</x:f>
      </x:c>
      <x:c r="E989" s="0"/>
      <x:c r="F989" t="str" s="2">
        <x:v>Landing_BPM</x:v>
      </x:c>
      <x:c r="G989" t="str" s="2">
        <x:v>Heritage Housing of Oklahoma City</x:v>
      </x:c>
      <x:c r="H989" t="str" s="2">
        <x:v>Steve Castell</x:v>
      </x:c>
      <x:c r="I989" s="0"/>
      <x:c r="J989" t="str" s="2">
        <x:v>Steve Castell</x:v>
      </x:c>
      <x:c r="K989" t="n" s="2">
        <x:v>5</x:v>
      </x:c>
      <x:c r="L989" t="str" s="2">
        <x:v>1.1</x:v>
      </x:c>
      <x:c r="M989" t="str" s="2">
        <x:v>Dead</x:v>
      </x:c>
      <x:c r="N989" t="str" s="2">
        <x:v>Deal Created</x:v>
      </x:c>
      <x:c r="O989" s="0"/>
      <x:c r="P989" s="6">
        <x:v>46265</x:v>
      </x:c>
      <x:c r="Q989" s="6">
        <x:v>46265.105220335645</x:v>
      </x:c>
      <x:c r="R989" s="0"/>
      <x:c r="S989" s="0"/>
      <x:c r="T989" s="0"/>
      <x:c r="U989" s="0"/>
      <x:c r="V989" s="0"/>
      <x:c r="W989" s="0"/>
      <x:c r="X989" t="str" s="2">
        <x:v>4055194106</x:v>
      </x:c>
      <x:c r="Y989" t="str" s="2">
        <x:v>freetyler159@gmail.com</x:v>
      </x:c>
      <x:c r="Z989" s="6">
        <x:v>46269.875458333336</x:v>
      </x:c>
      <x:c r="AA989" t="str" s="2">
        <x:v>Richard Bell</x:v>
      </x:c>
      <x:c r="AB989" s="6">
        <x:v>46265.105220868056</x:v>
      </x:c>
      <x:c r="AC989" t="n" s="2">
        <x:v>39520</x:v>
      </x:c>
      <x:c r="AD989" s="0"/>
      <x:c r="AE989" s="0"/>
      <x:c r="AF989" s="0"/>
      <x:c r="AG989" s="0"/>
      <x:c r="AH989" s="0"/>
      <x:c r="AI989" s="0"/>
      <x:c r="AJ989" s="0"/>
      <x:c r="AK989" s="0"/>
    </x:row>
    <x:row r="990">
      <x:c r="A990" t="str" s="2">
        <x:f>=HYPERLINK("https://rsms.futurehomex.com/lead/39521", "Misti Downs")</x:f>
      </x:c>
      <x:c r="B990" t="n" s="2">
        <x:v>43</x:v>
      </x:c>
      <x:c r="C990" t="str" s="2">
        <x:v>0/2</x:v>
      </x:c>
      <x:c r="D990" t="str" s="2">
        <x:f>=""</x:f>
      </x:c>
      <x:c r="E990" s="0"/>
      <x:c r="F990" t="str" s="2">
        <x:v>Financing Form</x:v>
      </x:c>
      <x:c r="G990" t="str" s="2">
        <x:v>Heritage Housing of Oklahoma City</x:v>
      </x:c>
      <x:c r="H990" t="str" s="2">
        <x:v>Steve Castell</x:v>
      </x:c>
      <x:c r="I990" s="0"/>
      <x:c r="J990" t="str" s="2">
        <x:v>Steve Castell</x:v>
      </x:c>
      <x:c r="K990" t="n" s="2">
        <x:v>5</x:v>
      </x:c>
      <x:c r="L990" t="str" s="2">
        <x:v>1.1</x:v>
      </x:c>
      <x:c r="M990" t="str" s="2">
        <x:v>Dead</x:v>
      </x:c>
      <x:c r="N990" t="str" s="2">
        <x:v>Deal Created</x:v>
      </x:c>
      <x:c r="O990" s="0"/>
      <x:c r="P990" s="6">
        <x:v>46265</x:v>
      </x:c>
      <x:c r="Q990" s="6">
        <x:v>46265.10624695602</x:v>
      </x:c>
      <x:c r="R990" s="0"/>
      <x:c r="S990" s="0"/>
      <x:c r="T990" s="0"/>
      <x:c r="U990" s="0"/>
      <x:c r="V990" s="0"/>
      <x:c r="W990" s="0"/>
      <x:c r="X990" t="str" s="2">
        <x:v>4056125085</x:v>
      </x:c>
      <x:c r="Y990" t="str" s="2">
        <x:v>mistildowns@gmail.com</x:v>
      </x:c>
      <x:c r="Z990" s="6">
        <x:v>46282.89740829861</x:v>
      </x:c>
      <x:c r="AA990" t="str" s="2">
        <x:v>Steve Castell</x:v>
      </x:c>
      <x:c r="AB990" s="6">
        <x:v>46265.10624771991</x:v>
      </x:c>
      <x:c r="AC990" t="n" s="2">
        <x:v>39521</x:v>
      </x:c>
      <x:c r="AD990" s="0"/>
      <x:c r="AE990" s="0"/>
      <x:c r="AF990" s="0"/>
      <x:c r="AG990" s="0"/>
      <x:c r="AH990" s="0"/>
      <x:c r="AI990" s="0"/>
      <x:c r="AJ990" s="0"/>
      <x:c r="AK990" s="0"/>
    </x:row>
    <x:row r="991">
      <x:c r="A991" t="str" s="2">
        <x:f>=HYPERLINK("https://rsms.futurehomex.com/lead/39522", "Larry Mayo")</x:f>
      </x:c>
      <x:c r="B991" t="n" s="2">
        <x:v>43</x:v>
      </x:c>
      <x:c r="C991" t="str" s="2">
        <x:v>0/4</x:v>
      </x:c>
      <x:c r="D991" t="str" s="2">
        <x:f>=""</x:f>
      </x:c>
      <x:c r="E991" s="0"/>
      <x:c r="F991" t="str" s="2">
        <x:v>Youtube</x:v>
      </x:c>
      <x:c r="G991" t="str" s="2">
        <x:v>Heritage Housing of Oklahoma City</x:v>
      </x:c>
      <x:c r="H991" t="str" s="2">
        <x:v>Steve Castell</x:v>
      </x:c>
      <x:c r="I991" s="0"/>
      <x:c r="J991" t="str" s="2">
        <x:v>Steve Castell</x:v>
      </x:c>
      <x:c r="K991" t="n" s="2">
        <x:v>5</x:v>
      </x:c>
      <x:c r="L991" t="str" s="2">
        <x:v>1.1</x:v>
      </x:c>
      <x:c r="M991" t="str" s="2">
        <x:v>Inactive</x:v>
      </x:c>
      <x:c r="N991" t="str" s="2">
        <x:v>Deal Created</x:v>
      </x:c>
      <x:c r="O991" s="0"/>
      <x:c r="P991" s="6">
        <x:v>46265</x:v>
      </x:c>
      <x:c r="Q991" s="6">
        <x:v>46265.1072</x:v>
      </x:c>
      <x:c r="R991" s="0"/>
      <x:c r="S991" s="0"/>
      <x:c r="T991" s="0"/>
      <x:c r="U991" s="0"/>
      <x:c r="V991" s="0"/>
      <x:c r="W991" s="0"/>
      <x:c r="X991" t="str" s="2">
        <x:v>9183296146</x:v>
      </x:c>
      <x:c r="Y991" t="str" s="2">
        <x:v>oldustysack247@gmail.com</x:v>
      </x:c>
      <x:c r="Z991" s="6">
        <x:v>46301.957621180554</x:v>
      </x:c>
      <x:c r="AA991" t="str" s="2">
        <x:v>Steve Castell</x:v>
      </x:c>
      <x:c r="AB991" s="6">
        <x:v>46265.10720046296</x:v>
      </x:c>
      <x:c r="AC991" t="n" s="2">
        <x:v>39522</x:v>
      </x:c>
      <x:c r="AD991" s="0"/>
      <x:c r="AE991" s="0"/>
      <x:c r="AF991" s="0"/>
      <x:c r="AG991" s="0"/>
      <x:c r="AH991" s="0"/>
      <x:c r="AI991" s="0"/>
      <x:c r="AJ991" s="0"/>
      <x:c r="AK991" s="0"/>
    </x:row>
    <x:row r="992">
      <x:c r="A992" t="str" s="2">
        <x:f>=HYPERLINK("https://rsms.futurehomex.com/lead/39524", "Emner Fuentes")</x:f>
      </x:c>
      <x:c r="B992" t="n" s="2">
        <x:v>43</x:v>
      </x:c>
      <x:c r="C992" t="str" s="2">
        <x:v>2/4</x:v>
      </x:c>
      <x:c r="D992" t="str" s="2">
        <x:f>=""</x:f>
      </x:c>
      <x:c r="E992" t="str" s="2">
        <x:v>OSBELINDA OROZCO</x:v>
      </x:c>
      <x:c r="F992" t="str" s="2">
        <x:v>Facebook Messenger</x:v>
      </x:c>
      <x:c r="G992" t="str" s="2">
        <x:v>Heritage Housing of Asheboro</x:v>
      </x:c>
      <x:c r="H992" t="str" s="2">
        <x:v>Maria Lopez</x:v>
      </x:c>
      <x:c r="I992" t="str" s="2">
        <x:v>Karol Romero</x:v>
      </x:c>
      <x:c r="J992" t="str" s="2">
        <x:v>Maria Lopez</x:v>
      </x:c>
      <x:c r="K992" t="n" s="2">
        <x:v>38</x:v>
      </x:c>
      <x:c r="L992" t="str" s="2">
        <x:v>3.2</x:v>
      </x:c>
      <x:c r="M992" t="str" s="2">
        <x:v>Active</x:v>
      </x:c>
      <x:c r="N992" t="str" s="2">
        <x:v>Application</x:v>
      </x:c>
      <x:c r="O992" s="0"/>
      <x:c r="P992" s="6">
        <x:v>46265</x:v>
      </x:c>
      <x:c r="Q992" s="6">
        <x:v>46274.75568653935</x:v>
      </x:c>
      <x:c r="R992" s="0"/>
      <x:c r="S992" s="6">
        <x:v>46265</x:v>
      </x:c>
      <x:c r="T992" s="0"/>
      <x:c r="U992" s="0"/>
      <x:c r="V992" s="0"/>
      <x:c r="W992" s="0"/>
      <x:c r="X992" t="str" s="2">
        <x:v>9843854127</x:v>
      </x:c>
      <x:c r="Y992" t="str" s="2">
        <x:v>emner.fuentes358@gmail.com</x:v>
      </x:c>
      <x:c r="Z992" s="6">
        <x:v>46269.81834922454</x:v>
      </x:c>
      <x:c r="AA992" t="str" s="2">
        <x:v>Sarahi Vazquez</x:v>
      </x:c>
      <x:c r="AB992" s="6">
        <x:v>46265.57588113426</x:v>
      </x:c>
      <x:c r="AC992" t="n" s="2">
        <x:v>39524</x:v>
      </x:c>
      <x:c r="AD992" t="str" s="2">
        <x:v>Singlewide</x:v>
      </x:c>
      <x:c r="AE992" t="str" s="2">
        <x:v>Legacy Housing Corporation</x:v>
      </x:c>
      <x:c r="AF992" s="7">
        <x:v>18226</x:v>
      </x:c>
      <x:c r="AG992" s="7">
        <x:v>12200</x:v>
      </x:c>
      <x:c r="AH992" s="0"/>
      <x:c r="AI992" t="str" s="2">
        <x:v>586</x:v>
      </x:c>
      <x:c r="AJ992" s="0"/>
      <x:c r="AK992" s="0"/>
    </x:row>
    <x:row r="993">
      <x:c r="A993" t="str" s="2">
        <x:f>=HYPERLINK("https://rsms.futurehomex.com/lead/39525", "Mark Leffler")</x:f>
      </x:c>
      <x:c r="B993" t="n" s="2">
        <x:v>43</x:v>
      </x:c>
      <x:c r="C993" t="str" s="2">
        <x:v>0/1</x:v>
      </x:c>
      <x:c r="D993" t="str" s="2">
        <x:f>=""</x:f>
      </x:c>
      <x:c r="E993" s="0"/>
      <x:c r="F993" t="str" s="2">
        <x:v>LandingPage</x:v>
      </x:c>
      <x:c r="G993" t="str" s="2">
        <x:v>Heritage Housing of Oklahoma City</x:v>
      </x:c>
      <x:c r="H993" t="str" s="2">
        <x:v>Steve Castell</x:v>
      </x:c>
      <x:c r="I993" s="0"/>
      <x:c r="J993" t="str" s="2">
        <x:v>Richard Bell</x:v>
      </x:c>
      <x:c r="K993" t="n" s="2">
        <x:v>5</x:v>
      </x:c>
      <x:c r="L993" t="str" s="2">
        <x:v>1.1</x:v>
      </x:c>
      <x:c r="M993" t="str" s="2">
        <x:v>Inactive</x:v>
      </x:c>
      <x:c r="N993" t="str" s="2">
        <x:v>Deal Created</x:v>
      </x:c>
      <x:c r="O993" s="0"/>
      <x:c r="P993" s="6">
        <x:v>46265</x:v>
      </x:c>
      <x:c r="Q993" s="6">
        <x:v>46265.67096646991</x:v>
      </x:c>
      <x:c r="R993" s="0"/>
      <x:c r="S993" s="0"/>
      <x:c r="T993" s="0"/>
      <x:c r="U993" s="0"/>
      <x:c r="V993" s="0"/>
      <x:c r="W993" s="0"/>
      <x:c r="X993" t="str" s="2">
        <x:v>6824201268</x:v>
      </x:c>
      <x:c r="Y993" t="str" s="2">
        <x:v>Ml061411@gmail.com</x:v>
      </x:c>
      <x:c r="Z993" s="6">
        <x:v>46297.00249201389</x:v>
      </x:c>
      <x:c r="AA993" t="str" s="2">
        <x:v>Steve Castell</x:v>
      </x:c>
      <x:c r="AB993" s="6">
        <x:v>46265.57754540509</x:v>
      </x:c>
      <x:c r="AC993" t="n" s="2">
        <x:v>39525</x:v>
      </x:c>
      <x:c r="AD993" s="0"/>
      <x:c r="AE993" s="0"/>
      <x:c r="AF993" s="0"/>
      <x:c r="AG993" s="0"/>
      <x:c r="AH993" s="0"/>
      <x:c r="AI993" s="0"/>
      <x:c r="AJ993" s="0"/>
      <x:c r="AK993" s="0"/>
    </x:row>
    <x:row r="994">
      <x:c r="A994" t="str" s="2">
        <x:f>=HYPERLINK("https://rsms.futurehomex.com/lead/39526", "Charlie Brown")</x:f>
      </x:c>
      <x:c r="B994" t="n" s="2">
        <x:v>43</x:v>
      </x:c>
      <x:c r="C994" t="str" s="2">
        <x:v/>
      </x:c>
      <x:c r="D994" t="str" s="2">
        <x:f>=""</x:f>
      </x:c>
      <x:c r="E994" s="0"/>
      <x:c r="F994" t="str" s="2">
        <x:v>Walk-in</x:v>
      </x:c>
      <x:c r="G994" t="str" s="2">
        <x:v>Heritage Housing of Augusta</x:v>
      </x:c>
      <x:c r="H994" t="str" s="2">
        <x:v>Faye Lively</x:v>
      </x:c>
      <x:c r="I994" t="str" s="2">
        <x:v>Karol Romero</x:v>
      </x:c>
      <x:c r="J994" t="str" s="2">
        <x:v>Faye Lively</x:v>
      </x:c>
      <x:c r="K994" t="n" s="2">
        <x:v>5</x:v>
      </x:c>
      <x:c r="L994" t="str" s="2">
        <x:v>1.1</x:v>
      </x:c>
      <x:c r="M994" t="str" s="2">
        <x:v>Tentative</x:v>
      </x:c>
      <x:c r="N994" t="str" s="2">
        <x:v>Deal Created</x:v>
      </x:c>
      <x:c r="O994" s="0"/>
      <x:c r="P994" s="6">
        <x:v>46265</x:v>
      </x:c>
      <x:c r="Q994" s="6">
        <x:v>46280.724900925925</x:v>
      </x:c>
      <x:c r="R994" s="0"/>
      <x:c r="S994" s="0"/>
      <x:c r="T994" s="0"/>
      <x:c r="U994" s="0"/>
      <x:c r="V994" s="0"/>
      <x:c r="W994" s="0"/>
      <x:c r="X994" t="str" s="2">
        <x:v>7068327202</x:v>
      </x:c>
      <x:c r="Y994" t="str" s="2">
        <x:v>bcharlie639@gmail.com</x:v>
      </x:c>
      <x:c r="Z994" s="0"/>
      <x:c r="AA994" s="0"/>
      <x:c r="AB994" s="6">
        <x:v>46265.5842806713</x:v>
      </x:c>
      <x:c r="AC994" t="n" s="2">
        <x:v>39526</x:v>
      </x:c>
      <x:c r="AD994" s="0"/>
      <x:c r="AE994" s="0"/>
      <x:c r="AF994" s="0"/>
      <x:c r="AG994" s="0"/>
      <x:c r="AH994" s="0"/>
      <x:c r="AI994" s="0"/>
      <x:c r="AJ994" s="0"/>
      <x:c r="AK994" s="0"/>
    </x:row>
    <x:row r="995">
      <x:c r="A995" t="str" s="2">
        <x:f>=HYPERLINK("https://rsms.futurehomex.com/lead/39527", "Brett Savage")</x:f>
      </x:c>
      <x:c r="B995" t="n" s="2">
        <x:v>43</x:v>
      </x:c>
      <x:c r="C995" t="str" s="2">
        <x:v/>
      </x:c>
      <x:c r="D995" t="str" s="2">
        <x:f>=""</x:f>
      </x:c>
      <x:c r="E995" s="0"/>
      <x:c r="F995" t="str" s="2">
        <x:v>Walk-in</x:v>
      </x:c>
      <x:c r="G995" t="str" s="2">
        <x:v>Heritage Housing of Augusta</x:v>
      </x:c>
      <x:c r="H995" t="str" s="2">
        <x:v>Faye Lively</x:v>
      </x:c>
      <x:c r="I995" t="str" s="2">
        <x:v>Karol Romero</x:v>
      </x:c>
      <x:c r="J995" t="str" s="2">
        <x:v>Faye Lively</x:v>
      </x:c>
      <x:c r="K995" t="n" s="2">
        <x:v>5</x:v>
      </x:c>
      <x:c r="L995" t="str" s="2">
        <x:v>1.1</x:v>
      </x:c>
      <x:c r="M995" t="str" s="2">
        <x:v>Tentative</x:v>
      </x:c>
      <x:c r="N995" t="str" s="2">
        <x:v>Deal Created</x:v>
      </x:c>
      <x:c r="O995" s="0"/>
      <x:c r="P995" s="6">
        <x:v>46265</x:v>
      </x:c>
      <x:c r="Q995" s="6">
        <x:v>46280.725384606485</x:v>
      </x:c>
      <x:c r="R995" s="0"/>
      <x:c r="S995" s="0"/>
      <x:c r="T995" s="0"/>
      <x:c r="U995" s="0"/>
      <x:c r="V995" s="0"/>
      <x:c r="W995" s="0"/>
      <x:c r="X995" t="str" s="2">
        <x:v>7066316565</x:v>
      </x:c>
      <x:c r="Y995" t="str" s="2">
        <x:v>bretts@gmail.com</x:v>
      </x:c>
      <x:c r="Z995" s="0"/>
      <x:c r="AA995" s="0"/>
      <x:c r="AB995" s="6">
        <x:v>46265.58619722222</x:v>
      </x:c>
      <x:c r="AC995" t="n" s="2">
        <x:v>39527</x:v>
      </x:c>
      <x:c r="AD995" s="0"/>
      <x:c r="AE995" s="0"/>
      <x:c r="AF995" s="0"/>
      <x:c r="AG995" s="0"/>
      <x:c r="AH995" s="0"/>
      <x:c r="AI995" s="0"/>
      <x:c r="AJ995" s="0"/>
      <x:c r="AK995" s="0"/>
    </x:row>
    <x:row r="996">
      <x:c r="A996" t="str" s="2">
        <x:f>=HYPERLINK("https://rsms.futurehomex.com/lead/39528", "Mark Jones")</x:f>
      </x:c>
      <x:c r="B996" t="n" s="2">
        <x:v>43</x:v>
      </x:c>
      <x:c r="C996" t="str" s="2">
        <x:v>1/1</x:v>
      </x:c>
      <x:c r="D996" t="str" s="2">
        <x:f>=""</x:f>
      </x:c>
      <x:c r="E996" s="0"/>
      <x:c r="F996" t="str" s="2">
        <x:v>Meta Ads - Forms</x:v>
      </x:c>
      <x:c r="G996" t="str" s="2">
        <x:v>Heritage Housing of Augusta</x:v>
      </x:c>
      <x:c r="H996" t="str" s="2">
        <x:v>Faye Lively</x:v>
      </x:c>
      <x:c r="I996" t="str" s="2">
        <x:v>Karol Romero</x:v>
      </x:c>
      <x:c r="J996" s="0"/>
      <x:c r="K996" t="n" s="2">
        <x:v>5</x:v>
      </x:c>
      <x:c r="L996" t="str" s="2">
        <x:v>1.1</x:v>
      </x:c>
      <x:c r="M996" t="str" s="2">
        <x:v>Tentative</x:v>
      </x:c>
      <x:c r="N996" t="str" s="2">
        <x:v>Prospect</x:v>
      </x:c>
      <x:c r="O996" s="0"/>
      <x:c r="P996" s="6">
        <x:v>46265</x:v>
      </x:c>
      <x:c r="Q996" s="6">
        <x:v>46280.73396924768</x:v>
      </x:c>
      <x:c r="R996" s="0"/>
      <x:c r="S996" s="0"/>
      <x:c r="T996" s="0"/>
      <x:c r="U996" s="0"/>
      <x:c r="V996" s="0"/>
      <x:c r="W996" s="0"/>
      <x:c r="X996" t="str" s="2">
        <x:v>+17065132897</x:v>
      </x:c>
      <x:c r="Y996" t="str" s="2">
        <x:v>mjones198607@gmail.com</x:v>
      </x:c>
      <x:c r="Z996" s="6">
        <x:v>46280.735037962964</x:v>
      </x:c>
      <x:c r="AA996" t="str" s="2">
        <x:v>Faye Lively</x:v>
      </x:c>
      <x:c r="AB996" s="6">
        <x:v>46265.587458333335</x:v>
      </x:c>
      <x:c r="AC996" t="n" s="2">
        <x:v>39528</x:v>
      </x:c>
      <x:c r="AD996" s="0"/>
      <x:c r="AE996" s="0"/>
      <x:c r="AF996" s="0"/>
      <x:c r="AG996" s="0"/>
      <x:c r="AH996" s="0"/>
      <x:c r="AI996" s="0"/>
      <x:c r="AJ996" s="0"/>
      <x:c r="AK996" s="0"/>
    </x:row>
    <x:row r="997">
      <x:c r="A997" t="str" s="2">
        <x:f>=HYPERLINK("https://rsms.futurehomex.com/lead/39529", "Ashlie Rodriguez")</x:f>
      </x:c>
      <x:c r="B997" t="n" s="2">
        <x:v>43</x:v>
      </x:c>
      <x:c r="C997" t="str" s="2">
        <x:v>0/2</x:v>
      </x:c>
      <x:c r="D997" t="str" s="2">
        <x:f>=""</x:f>
      </x:c>
      <x:c r="E997" s="0"/>
      <x:c r="F997" t="str" s="2">
        <x:v>Landing_BPM</x:v>
      </x:c>
      <x:c r="G997" t="str" s="2">
        <x:v>Heritage Housing of Oklahoma City</x:v>
      </x:c>
      <x:c r="H997" t="str" s="2">
        <x:v>Trey Rixleben</x:v>
      </x:c>
      <x:c r="I997" s="0"/>
      <x:c r="J997" t="str" s="2">
        <x:v>Trey Rixleben</x:v>
      </x:c>
      <x:c r="K997" t="n" s="2">
        <x:v>5</x:v>
      </x:c>
      <x:c r="L997" t="str" s="2">
        <x:v>1.1</x:v>
      </x:c>
      <x:c r="M997" t="str" s="2">
        <x:v>Tentative</x:v>
      </x:c>
      <x:c r="N997" t="str" s="2">
        <x:v>Deal Created</x:v>
      </x:c>
      <x:c r="O997" s="0"/>
      <x:c r="P997" s="6">
        <x:v>46265</x:v>
      </x:c>
      <x:c r="Q997" s="6">
        <x:v>46304.747835104165</x:v>
      </x:c>
      <x:c r="R997" s="0"/>
      <x:c r="S997" s="0"/>
      <x:c r="T997" s="0"/>
      <x:c r="U997" s="0"/>
      <x:c r="V997" s="0"/>
      <x:c r="W997" s="0"/>
      <x:c r="X997" t="str" s="2">
        <x:v>4059300874</x:v>
      </x:c>
      <x:c r="Y997" t="str" s="2">
        <x:v>ashliealine88@ymail.com</x:v>
      </x:c>
      <x:c r="Z997" s="6">
        <x:v>46304.78906635417</x:v>
      </x:c>
      <x:c r="AA997" t="str" s="2">
        <x:v>Richard Bell</x:v>
      </x:c>
      <x:c r="AB997" s="6">
        <x:v>46265.58817766204</x:v>
      </x:c>
      <x:c r="AC997" t="n" s="2">
        <x:v>39529</x:v>
      </x:c>
      <x:c r="AD997" s="0"/>
      <x:c r="AE997" s="0"/>
      <x:c r="AF997" s="0"/>
      <x:c r="AG997" s="0"/>
      <x:c r="AH997" s="0"/>
      <x:c r="AI997" s="0"/>
      <x:c r="AJ997" s="0"/>
      <x:c r="AK997" s="0"/>
    </x:row>
    <x:row r="998">
      <x:c r="A998" t="str" s="2">
        <x:f>=HYPERLINK("https://rsms.futurehomex.com/lead/39530", "amber minor-norris")</x:f>
      </x:c>
      <x:c r="B998" t="n" s="2">
        <x:v>43</x:v>
      </x:c>
      <x:c r="C998" t="str" s="2">
        <x:v>0/1</x:v>
      </x:c>
      <x:c r="D998" t="str" s="2">
        <x:f>=""</x:f>
      </x:c>
      <x:c r="E998" s="0"/>
      <x:c r="F998" t="str" s="2">
        <x:v>LandingPage</x:v>
      </x:c>
      <x:c r="G998" t="str" s="2">
        <x:v>Heritage Housing of Oklahoma City</x:v>
      </x:c>
      <x:c r="H998" t="str" s="2">
        <x:v>Trey Rixleben</x:v>
      </x:c>
      <x:c r="I998" s="0"/>
      <x:c r="J998" t="str" s="2">
        <x:v>Trey Rixleben</x:v>
      </x:c>
      <x:c r="K998" t="n" s="2">
        <x:v>5</x:v>
      </x:c>
      <x:c r="L998" t="str" s="2">
        <x:v>1.1</x:v>
      </x:c>
      <x:c r="M998" t="str" s="2">
        <x:v>Dead</x:v>
      </x:c>
      <x:c r="N998" t="str" s="2">
        <x:v>Deal Created</x:v>
      </x:c>
      <x:c r="O998" s="0"/>
      <x:c r="P998" s="6">
        <x:v>46265</x:v>
      </x:c>
      <x:c r="Q998" s="6">
        <x:v>46265.96137986111</x:v>
      </x:c>
      <x:c r="R998" s="0"/>
      <x:c r="S998" s="0"/>
      <x:c r="T998" s="0"/>
      <x:c r="U998" s="0"/>
      <x:c r="V998" s="0"/>
      <x:c r="W998" s="0"/>
      <x:c r="X998" t="str" s="2">
        <x:v>4058351266</x:v>
      </x:c>
      <x:c r="Y998" t="str" s="2">
        <x:v>aminor1121@gmail.com</x:v>
      </x:c>
      <x:c r="Z998" s="6">
        <x:v>46267.97594737269</x:v>
      </x:c>
      <x:c r="AA998" t="str" s="2">
        <x:v>Trey Rixleben</x:v>
      </x:c>
      <x:c r="AB998" s="6">
        <x:v>46265.593931793985</x:v>
      </x:c>
      <x:c r="AC998" t="n" s="2">
        <x:v>39530</x:v>
      </x:c>
      <x:c r="AD998" s="0"/>
      <x:c r="AE998" s="0"/>
      <x:c r="AF998" s="0"/>
      <x:c r="AG998" s="0"/>
      <x:c r="AH998" s="0"/>
      <x:c r="AI998" s="0"/>
      <x:c r="AJ998" s="0"/>
      <x:c r="AK998" s="0"/>
    </x:row>
    <x:row r="999">
      <x:c r="A999" t="str" s="2">
        <x:f>=HYPERLINK("https://rsms.futurehomex.com/lead/39531", "Tiffany Barron")</x:f>
      </x:c>
      <x:c r="B999" t="n" s="2">
        <x:v>43</x:v>
      </x:c>
      <x:c r="C999" t="str" s="2">
        <x:v>0/1</x:v>
      </x:c>
      <x:c r="D999" t="str" s="2">
        <x:f>=""</x:f>
      </x:c>
      <x:c r="E999" t="str" s="2">
        <x:v>Daniel Barron</x:v>
      </x:c>
      <x:c r="F999" t="str" s="2">
        <x:v>Financing Form</x:v>
      </x:c>
      <x:c r="G999" t="str" s="2">
        <x:v>Heritage Housing of Greenville</x:v>
      </x:c>
      <x:c r="H999" t="str" s="2">
        <x:v>Brooklynn Allen</x:v>
      </x:c>
      <x:c r="I999" s="0"/>
      <x:c r="J999" s="0"/>
      <x:c r="K999" t="n" s="2">
        <x:v>38</x:v>
      </x:c>
      <x:c r="L999" t="str" s="2">
        <x:v>3.2</x:v>
      </x:c>
      <x:c r="M999" t="str" s="2">
        <x:v>Dead</x:v>
      </x:c>
      <x:c r="N999" t="str" s="2">
        <x:v>Application</x:v>
      </x:c>
      <x:c r="O999" s="0"/>
      <x:c r="P999" s="6">
        <x:v>46265</x:v>
      </x:c>
      <x:c r="Q999" s="6">
        <x:v>46275.63285512732</x:v>
      </x:c>
      <x:c r="R999" s="0"/>
      <x:c r="S999" s="6">
        <x:v>46265</x:v>
      </x:c>
      <x:c r="T999" s="6">
        <x:v>46273</x:v>
      </x:c>
      <x:c r="U999" s="6">
        <x:v>46273</x:v>
      </x:c>
      <x:c r="V999" s="0"/>
      <x:c r="W999" s="0"/>
      <x:c r="X999" t="str" s="2">
        <x:v>9453319919</x:v>
      </x:c>
      <x:c r="Y999" t="str" s="2">
        <x:v>TBarron@ensignservices.net</x:v>
      </x:c>
      <x:c r="Z999" s="6">
        <x:v>46274.761188425924</x:v>
      </x:c>
      <x:c r="AA999" t="str" s="2">
        <x:v>Brandie Sartor</x:v>
      </x:c>
      <x:c r="AB999" s="6">
        <x:v>46265.627452280096</x:v>
      </x:c>
      <x:c r="AC999" t="n" s="2">
        <x:v>39531</x:v>
      </x:c>
      <x:c r="AD999" t="str" s="2">
        <x:v>Singlewide</x:v>
      </x:c>
      <x:c r="AE999" t="str" s="2">
        <x:v>Legacy Housing Corporation</x:v>
      </x:c>
      <x:c r="AF999" s="0"/>
      <x:c r="AG999" s="7">
        <x:v>1000</x:v>
      </x:c>
      <x:c r="AH999" s="0"/>
      <x:c r="AI999" t="str" s="2">
        <x:v>554</x:v>
      </x:c>
      <x:c r="AJ999" s="0"/>
      <x:c r="AK999" s="0"/>
    </x:row>
    <x:row r="1000">
      <x:c r="A1000" t="str" s="2">
        <x:f>=HYPERLINK("https://rsms.futurehomex.com/lead/39532", "Trey Dean")</x:f>
      </x:c>
      <x:c r="B1000" t="n" s="2">
        <x:v>43</x:v>
      </x:c>
      <x:c r="C1000" t="str" s="2">
        <x:v/>
      </x:c>
      <x:c r="D1000" t="str" s="2">
        <x:f>=""</x:f>
      </x:c>
      <x:c r="E1000" s="0"/>
      <x:c r="F1000" t="str" s="2">
        <x:v>Walk-in</x:v>
      </x:c>
      <x:c r="G1000" t="str" s="2">
        <x:v>Heritage Housing of Augusta</x:v>
      </x:c>
      <x:c r="H1000" t="str" s="2">
        <x:v>Faye Lively</x:v>
      </x:c>
      <x:c r="I1000" t="str" s="2">
        <x:v>Karol Romero</x:v>
      </x:c>
      <x:c r="J1000" t="str" s="2">
        <x:v>Faye Lively</x:v>
      </x:c>
      <x:c r="K1000" t="n" s="2">
        <x:v>9</x:v>
      </x:c>
      <x:c r="L1000" t="str" s="2">
        <x:v>1.2</x:v>
      </x:c>
      <x:c r="M1000" t="str" s="2">
        <x:v>Tentative</x:v>
      </x:c>
      <x:c r="N1000" t="str" s="2">
        <x:v>Deal Created</x:v>
      </x:c>
      <x:c r="O1000" s="0"/>
      <x:c r="P1000" s="6">
        <x:v>46265</x:v>
      </x:c>
      <x:c r="Q1000" s="6">
        <x:v>46280.73150193287</x:v>
      </x:c>
      <x:c r="R1000" s="0"/>
      <x:c r="S1000" s="0"/>
      <x:c r="T1000" s="0"/>
      <x:c r="U1000" s="0"/>
      <x:c r="V1000" s="0"/>
      <x:c r="W1000" s="0"/>
      <x:c r="X1000" t="str" s="2">
        <x:v>7068268939</x:v>
      </x:c>
      <x:c r="Y1000" t="str" s="2">
        <x:v>sctdbusiness.td@gmail.com</x:v>
      </x:c>
      <x:c r="Z1000" s="6">
        <x:v>46280.73244857639</x:v>
      </x:c>
      <x:c r="AA1000" t="str" s="2">
        <x:v>Faye Lively</x:v>
      </x:c>
      <x:c r="AB1000" s="6">
        <x:v>46265.64988831019</x:v>
      </x:c>
      <x:c r="AC1000" t="n" s="2">
        <x:v>39532</x:v>
      </x:c>
      <x:c r="AD1000" s="0"/>
      <x:c r="AE1000" s="0"/>
      <x:c r="AF1000" s="0"/>
      <x:c r="AG1000" s="7">
        <x:v>4000</x:v>
      </x:c>
      <x:c r="AH1000" s="0"/>
      <x:c r="AI1000" t="str" s="2">
        <x:v>487</x:v>
      </x:c>
      <x:c r="AJ1000" s="0"/>
      <x:c r="AK1000" s="0"/>
    </x:row>
    <x:row r="1001">
      <x:c r="A1001" t="str" s="2">
        <x:f>=HYPERLINK("https://rsms.futurehomex.com/lead/39533", "Marlana Jones")</x:f>
      </x:c>
      <x:c r="B1001" t="n" s="2">
        <x:v>43</x:v>
      </x:c>
      <x:c r="C1001" t="str" s="2">
        <x:v>1/1</x:v>
      </x:c>
      <x:c r="D1001" t="str" s="2">
        <x:f>=""</x:f>
      </x:c>
      <x:c r="E1001" s="0"/>
      <x:c r="F1001" t="str" s="2">
        <x:v>Financing Form</x:v>
      </x:c>
      <x:c r="G1001" t="str" s="2">
        <x:v>Heritage Housing of Oklahoma City</x:v>
      </x:c>
      <x:c r="H1001" t="str" s="2">
        <x:v>Steve Castell</x:v>
      </x:c>
      <x:c r="I1001" s="0"/>
      <x:c r="J1001" t="str" s="2">
        <x:v>Steve Castell</x:v>
      </x:c>
      <x:c r="K1001" t="n" s="2">
        <x:v>5</x:v>
      </x:c>
      <x:c r="L1001" t="str" s="2">
        <x:v>1.1</x:v>
      </x:c>
      <x:c r="M1001" t="str" s="2">
        <x:v>Tentative</x:v>
      </x:c>
      <x:c r="N1001" t="str" s="2">
        <x:v>Deal Created</x:v>
      </x:c>
      <x:c r="O1001" s="0"/>
      <x:c r="P1001" s="6">
        <x:v>46265</x:v>
      </x:c>
      <x:c r="Q1001" s="6">
        <x:v>46265.66711832176</x:v>
      </x:c>
      <x:c r="R1001" s="0"/>
      <x:c r="S1001" s="0"/>
      <x:c r="T1001" s="0"/>
      <x:c r="U1001" s="0"/>
      <x:c r="V1001" s="0"/>
      <x:c r="W1001" s="0"/>
      <x:c r="X1001" t="str" s="2">
        <x:v>9185273021</x:v>
      </x:c>
      <x:c r="Y1001" t="str" s="2">
        <x:v>jonesmarlana0@gmail.com</x:v>
      </x:c>
      <x:c r="Z1001" s="6">
        <x:v>46265.676405439815</x:v>
      </x:c>
      <x:c r="AA1001" t="str" s="2">
        <x:v>Steve Castell</x:v>
      </x:c>
      <x:c r="AB1001" s="6">
        <x:v>46265.66697515046</x:v>
      </x:c>
      <x:c r="AC1001" t="n" s="2">
        <x:v>39533</x:v>
      </x:c>
      <x:c r="AD1001" s="0"/>
      <x:c r="AE1001" s="0"/>
      <x:c r="AF1001" s="0"/>
      <x:c r="AG1001" s="0"/>
      <x:c r="AH1001" s="0"/>
      <x:c r="AI1001" s="0"/>
      <x:c r="AJ1001" s="0"/>
      <x:c r="AK1001" s="0"/>
    </x:row>
    <x:row r="1002">
      <x:c r="A1002" t="str" s="2">
        <x:f>=HYPERLINK("https://rsms.futurehomex.com/lead/39534", "Ramon Smith")</x:f>
      </x:c>
      <x:c r="B1002" t="n" s="2">
        <x:v>43</x:v>
      </x:c>
      <x:c r="C1002" t="str" s="2">
        <x:v>0/1</x:v>
      </x:c>
      <x:c r="D1002" t="str" s="2">
        <x:f>=""</x:f>
      </x:c>
      <x:c r="E1002" s="0"/>
      <x:c r="F1002" t="str" s="2">
        <x:v>Youtube</x:v>
      </x:c>
      <x:c r="G1002" t="str" s="2">
        <x:v>Heritage Housing of Oklahoma City</x:v>
      </x:c>
      <x:c r="H1002" t="str" s="2">
        <x:v>Steve Castell</x:v>
      </x:c>
      <x:c r="I1002" s="0"/>
      <x:c r="J1002" t="str" s="2">
        <x:v>Steve Castell</x:v>
      </x:c>
      <x:c r="K1002" t="n" s="2">
        <x:v>5</x:v>
      </x:c>
      <x:c r="L1002" t="str" s="2">
        <x:v>1.1</x:v>
      </x:c>
      <x:c r="M1002" t="str" s="2">
        <x:v>Inactive</x:v>
      </x:c>
      <x:c r="N1002" t="str" s="2">
        <x:v>Deal Created</x:v>
      </x:c>
      <x:c r="O1002" s="0"/>
      <x:c r="P1002" s="6">
        <x:v>46265</x:v>
      </x:c>
      <x:c r="Q1002" s="6">
        <x:v>46265.66898556713</x:v>
      </x:c>
      <x:c r="R1002" s="0"/>
      <x:c r="S1002" s="0"/>
      <x:c r="T1002" s="0"/>
      <x:c r="U1002" s="0"/>
      <x:c r="V1002" s="0"/>
      <x:c r="W1002" s="0"/>
      <x:c r="X1002" t="str" s="2">
        <x:v>4054066017</x:v>
      </x:c>
      <x:c r="Y1002" t="str" s="2">
        <x:v>dwaynesmith1055@gmail.com</x:v>
      </x:c>
      <x:c r="Z1002" s="6">
        <x:v>46270.65016871528</x:v>
      </x:c>
      <x:c r="AA1002" t="str" s="2">
        <x:v>Steve Castell</x:v>
      </x:c>
      <x:c r="AB1002" s="6">
        <x:v>46265.66898603009</x:v>
      </x:c>
      <x:c r="AC1002" t="n" s="2">
        <x:v>39534</x:v>
      </x:c>
      <x:c r="AD1002" s="0"/>
      <x:c r="AE1002" s="0"/>
      <x:c r="AF1002" s="0"/>
      <x:c r="AG1002" s="0"/>
      <x:c r="AH1002" s="0"/>
      <x:c r="AI1002" s="0"/>
      <x:c r="AJ1002" s="0"/>
      <x:c r="AK1002" s="0"/>
    </x:row>
    <x:row r="1003">
      <x:c r="A1003" t="str" s="2">
        <x:f>=HYPERLINK("https://rsms.futurehomex.com/lead/39535", "Krystal Butchee")</x:f>
      </x:c>
      <x:c r="B1003" t="n" s="2">
        <x:v>43</x:v>
      </x:c>
      <x:c r="C1003" t="str" s="2">
        <x:v/>
      </x:c>
      <x:c r="D1003" t="str" s="2">
        <x:f>=""</x:f>
      </x:c>
      <x:c r="E1003" s="0"/>
      <x:c r="F1003" t="str" s="2">
        <x:v>Facebook Messenger</x:v>
      </x:c>
      <x:c r="G1003" t="str" s="2">
        <x:v>Heritage Housing of Asheboro</x:v>
      </x:c>
      <x:c r="H1003" t="str" s="2">
        <x:v>Maria Lopez</x:v>
      </x:c>
      <x:c r="I1003" s="0"/>
      <x:c r="J1003" s="0"/>
      <x:c r="K1003" t="n" s="2">
        <x:v>21</x:v>
      </x:c>
      <x:c r="L1003" t="str" s="2">
        <x:v>2.1</x:v>
      </x:c>
      <x:c r="M1003" t="str" s="2">
        <x:v>Tentative</x:v>
      </x:c>
      <x:c r="N1003" t="str" s="2">
        <x:v>Qualified</x:v>
      </x:c>
      <x:c r="O1003" s="0"/>
      <x:c r="P1003" s="6">
        <x:v>46265</x:v>
      </x:c>
      <x:c r="Q1003" s="6">
        <x:v>46282.75751443287</x:v>
      </x:c>
      <x:c r="R1003" s="0"/>
      <x:c r="S1003" s="6">
        <x:v>46265</x:v>
      </x:c>
      <x:c r="T1003" s="0"/>
      <x:c r="U1003" s="0"/>
      <x:c r="V1003" s="0"/>
      <x:c r="W1003" s="0"/>
      <x:c r="X1003" t="str" s="2">
        <x:v>8439028387</x:v>
      </x:c>
      <x:c r="Y1003" t="str" s="2">
        <x:v>krystalbutchee2@gmail.com</x:v>
      </x:c>
      <x:c r="Z1003" s="6">
        <x:v>46282.757502280096</x:v>
      </x:c>
      <x:c r="AA1003" t="str" s="2">
        <x:v>Jeremy Jacques</x:v>
      </x:c>
      <x:c r="AB1003" s="6">
        <x:v>46265.72336577546</x:v>
      </x:c>
      <x:c r="AC1003" t="n" s="2">
        <x:v>39535</x:v>
      </x:c>
      <x:c r="AD1003" s="0"/>
      <x:c r="AE1003" s="0"/>
      <x:c r="AF1003" s="0"/>
      <x:c r="AG1003" s="0"/>
      <x:c r="AH1003" s="0"/>
      <x:c r="AI1003" s="0"/>
      <x:c r="AJ1003" s="0"/>
      <x:c r="AK1003" s="0"/>
    </x:row>
    <x:row r="1004">
      <x:c r="A1004" t="str" s="2">
        <x:f>=HYPERLINK("https://rsms.futurehomex.com/lead/39536", "Hector Daniel Caballero")</x:f>
      </x:c>
      <x:c r="B1004" t="n" s="2">
        <x:v>43</x:v>
      </x:c>
      <x:c r="C1004" t="str" s="2">
        <x:v/>
      </x:c>
      <x:c r="D1004" t="str" s="2">
        <x:f>=""</x:f>
      </x:c>
      <x:c r="E1004" s="0"/>
      <x:c r="F1004" t="str" s="2">
        <x:v>Walk-in</x:v>
      </x:c>
      <x:c r="G1004" t="str" s="2">
        <x:v>Legacy Housing Corp. DBA Americasa</x:v>
      </x:c>
      <x:c r="H1004" t="str" s="2">
        <x:v>Joey Marquez</x:v>
      </x:c>
      <x:c r="I1004" t="str" s="2">
        <x:v>Karol Romero</x:v>
      </x:c>
      <x:c r="J1004" s="0"/>
      <x:c r="K1004" t="n" s="2">
        <x:v>5</x:v>
      </x:c>
      <x:c r="L1004" t="str" s="2">
        <x:v>1.1</x:v>
      </x:c>
      <x:c r="M1004" t="str" s="2">
        <x:v>Tentative</x:v>
      </x:c>
      <x:c r="N1004" t="str" s="2">
        <x:v>Prospect</x:v>
      </x:c>
      <x:c r="O1004" s="0"/>
      <x:c r="P1004" s="6">
        <x:v>46265</x:v>
      </x:c>
      <x:c r="Q1004" s="6">
        <x:v>46265.73049401621</x:v>
      </x:c>
      <x:c r="R1004" s="0"/>
      <x:c r="S1004" s="0"/>
      <x:c r="T1004" s="0"/>
      <x:c r="U1004" s="0"/>
      <x:c r="V1004" s="0"/>
      <x:c r="W1004" s="0"/>
      <x:c r="X1004" t="str" s="2">
        <x:v>8325319009</x:v>
      </x:c>
      <x:c r="Y1004" t="str" s="2">
        <x:v>yosefcaballero210@gmail.com</x:v>
      </x:c>
      <x:c r="Z1004" s="0"/>
      <x:c r="AA1004" s="0"/>
      <x:c r="AB1004" s="6">
        <x:v>46265.73049533565</x:v>
      </x:c>
      <x:c r="AC1004" t="n" s="2">
        <x:v>39536</x:v>
      </x:c>
      <x:c r="AD1004" s="0"/>
      <x:c r="AE1004" s="0"/>
      <x:c r="AF1004" s="0"/>
      <x:c r="AG1004" s="0"/>
      <x:c r="AH1004" s="0"/>
      <x:c r="AI1004" s="0"/>
      <x:c r="AJ1004" s="0"/>
      <x:c r="AK1004" s="0"/>
    </x:row>
    <x:row r="1005">
      <x:c r="A1005" t="str" s="2">
        <x:f>=HYPERLINK("https://rsms.futurehomex.com/lead/39537", "Tiffany McReynolds")</x:f>
      </x:c>
      <x:c r="B1005" t="n" s="2">
        <x:v>43</x:v>
      </x:c>
      <x:c r="C1005" t="str" s="2">
        <x:v>0/2</x:v>
      </x:c>
      <x:c r="D1005" t="str" s="2">
        <x:f>=""</x:f>
      </x:c>
      <x:c r="E1005" s="0"/>
      <x:c r="F1005" t="str" s="2">
        <x:v>Youtube</x:v>
      </x:c>
      <x:c r="G1005" t="str" s="2">
        <x:v>Heritage Housing of Oklahoma City</x:v>
      </x:c>
      <x:c r="H1005" t="str" s="2">
        <x:v>Steve Castell</x:v>
      </x:c>
      <x:c r="I1005" s="0"/>
      <x:c r="J1005" t="str" s="2">
        <x:v>Steve Castell</x:v>
      </x:c>
      <x:c r="K1005" t="n" s="2">
        <x:v>5</x:v>
      </x:c>
      <x:c r="L1005" t="str" s="2">
        <x:v>1.1</x:v>
      </x:c>
      <x:c r="M1005" t="str" s="2">
        <x:v>Inactive</x:v>
      </x:c>
      <x:c r="N1005" t="str" s="2">
        <x:v>Deal Created</x:v>
      </x:c>
      <x:c r="O1005" s="0"/>
      <x:c r="P1005" s="6">
        <x:v>46265</x:v>
      </x:c>
      <x:c r="Q1005" s="6">
        <x:v>46265.75163510416</x:v>
      </x:c>
      <x:c r="R1005" s="0"/>
      <x:c r="S1005" s="0"/>
      <x:c r="T1005" s="0"/>
      <x:c r="U1005" s="0"/>
      <x:c r="V1005" s="0"/>
      <x:c r="W1005" s="0"/>
      <x:c r="X1005" t="str" s="2">
        <x:v>5725680206</x:v>
      </x:c>
      <x:c r="Y1005" t="str" s="2">
        <x:v>blow45373@gmail.com</x:v>
      </x:c>
      <x:c r="Z1005" s="6">
        <x:v>46275.95859540509</x:v>
      </x:c>
      <x:c r="AA1005" t="str" s="2">
        <x:v>Steve Castell</x:v>
      </x:c>
      <x:c r="AB1005" s="6">
        <x:v>46265.75163564815</x:v>
      </x:c>
      <x:c r="AC1005" t="n" s="2">
        <x:v>39537</x:v>
      </x:c>
      <x:c r="AD1005" s="0"/>
      <x:c r="AE1005" s="0"/>
      <x:c r="AF1005" s="0"/>
      <x:c r="AG1005" s="0"/>
      <x:c r="AH1005" s="0"/>
      <x:c r="AI1005" s="0"/>
      <x:c r="AJ1005" s="0"/>
      <x:c r="AK1005" s="0"/>
    </x:row>
    <x:row r="1006">
      <x:c r="A1006" t="str" s="2">
        <x:f>=HYPERLINK("https://rsms.futurehomex.com/lead/39538", "Yvonne Carpenter")</x:f>
      </x:c>
      <x:c r="B1006" t="n" s="2">
        <x:v>43</x:v>
      </x:c>
      <x:c r="C1006" t="str" s="2">
        <x:v>1/3</x:v>
      </x:c>
      <x:c r="D1006" t="str" s="2">
        <x:f>=""</x:f>
      </x:c>
      <x:c r="E1006" s="0"/>
      <x:c r="F1006" t="str" s="2">
        <x:v>Website</x:v>
      </x:c>
      <x:c r="G1006" t="str" s="2">
        <x:v>Heritage Housing of Albany</x:v>
      </x:c>
      <x:c r="H1006" t="str" s="2">
        <x:v>Alexander Bryant</x:v>
      </x:c>
      <x:c r="I1006" t="str" s="2">
        <x:v>Karol Romero</x:v>
      </x:c>
      <x:c r="J1006" s="0"/>
      <x:c r="K1006" t="n" s="2">
        <x:v>5</x:v>
      </x:c>
      <x:c r="L1006" t="str" s="2">
        <x:v>1.1</x:v>
      </x:c>
      <x:c r="M1006" t="str" s="2">
        <x:v>Tentative</x:v>
      </x:c>
      <x:c r="N1006" t="str" s="2">
        <x:v>Prospect</x:v>
      </x:c>
      <x:c r="O1006" s="0"/>
      <x:c r="P1006" s="6">
        <x:v>46265</x:v>
      </x:c>
      <x:c r="Q1006" s="6">
        <x:v>46280.92086215278</x:v>
      </x:c>
      <x:c r="R1006" s="0"/>
      <x:c r="S1006" s="6">
        <x:v>46265</x:v>
      </x:c>
      <x:c r="T1006" s="0"/>
      <x:c r="U1006" s="0"/>
      <x:c r="V1006" s="0"/>
      <x:c r="W1006" s="0"/>
      <x:c r="X1006" t="str" s="2">
        <x:v>2294156953</x:v>
      </x:c>
      <x:c r="Y1006" t="str" s="2">
        <x:v>ygpc7591@gmail.com</x:v>
      </x:c>
      <x:c r="Z1006" s="6">
        <x:v>46303.851092164354</x:v>
      </x:c>
      <x:c r="AA1006" t="str" s="2">
        <x:v>Justin Johnson</x:v>
      </x:c>
      <x:c r="AB1006" s="6">
        <x:v>46265.754665706016</x:v>
      </x:c>
      <x:c r="AC1006" t="n" s="2">
        <x:v>39538</x:v>
      </x:c>
      <x:c r="AD1006" s="0"/>
      <x:c r="AE1006" s="0"/>
      <x:c r="AF1006" s="0"/>
      <x:c r="AG1006" s="0"/>
      <x:c r="AH1006" s="0"/>
      <x:c r="AI1006" s="0"/>
      <x:c r="AJ1006" s="0"/>
      <x:c r="AK1006" s="0"/>
    </x:row>
    <x:row r="1007">
      <x:c r="A1007" t="str" s="2">
        <x:f>=HYPERLINK("https://rsms.futurehomex.com/lead/39539", "Yolanda Marks")</x:f>
      </x:c>
      <x:c r="B1007" t="n" s="2">
        <x:v>43</x:v>
      </x:c>
      <x:c r="C1007" t="str" s="2">
        <x:v>0/1</x:v>
      </x:c>
      <x:c r="D1007" t="str" s="2">
        <x:f>=""</x:f>
      </x:c>
      <x:c r="E1007" s="0"/>
      <x:c r="F1007" t="str" s="2">
        <x:v>Walk-in</x:v>
      </x:c>
      <x:c r="G1007" t="str" s="2">
        <x:v>Heritage Housing of Jennings</x:v>
      </x:c>
      <x:c r="H1007" t="str" s="2">
        <x:v>Clint O'Neal</x:v>
      </x:c>
      <x:c r="I1007" s="0"/>
      <x:c r="J1007" s="0"/>
      <x:c r="K1007" t="n" s="2">
        <x:v>5</x:v>
      </x:c>
      <x:c r="L1007" t="str" s="2">
        <x:v>1.1</x:v>
      </x:c>
      <x:c r="M1007" t="str" s="2">
        <x:v>Tentative</x:v>
      </x:c>
      <x:c r="N1007" t="str" s="2">
        <x:v>Prospect</x:v>
      </x:c>
      <x:c r="O1007" s="0"/>
      <x:c r="P1007" s="6">
        <x:v>46265</x:v>
      </x:c>
      <x:c r="Q1007" s="6">
        <x:v>46265.76810454861</x:v>
      </x:c>
      <x:c r="R1007" s="0"/>
      <x:c r="S1007" s="6">
        <x:v>46265</x:v>
      </x:c>
      <x:c r="T1007" s="0"/>
      <x:c r="U1007" s="0"/>
      <x:c r="V1007" s="0"/>
      <x:c r="W1007" s="0"/>
      <x:c r="X1007" t="str" s="2">
        <x:v>2253022346</x:v>
      </x:c>
      <x:c r="Y1007" t="str" s="2">
        <x:v>msy770@gmail.com</x:v>
      </x:c>
      <x:c r="Z1007" s="6">
        <x:v>46280.51276304398</x:v>
      </x:c>
      <x:c r="AA1007" t="str" s="2">
        <x:v>Tina Dallas</x:v>
      </x:c>
      <x:c r="AB1007" s="6">
        <x:v>46265.76810509259</x:v>
      </x:c>
      <x:c r="AC1007" t="n" s="2">
        <x:v>39539</x:v>
      </x:c>
      <x:c r="AD1007" s="0"/>
      <x:c r="AE1007" s="0"/>
      <x:c r="AF1007" s="0"/>
      <x:c r="AG1007" s="0"/>
      <x:c r="AH1007" s="0"/>
      <x:c r="AI1007" s="0"/>
      <x:c r="AJ1007" s="0"/>
      <x:c r="AK1007" s="0"/>
    </x:row>
    <x:row r="1008">
      <x:c r="A1008" t="str" s="2">
        <x:f>=HYPERLINK("https://rsms.futurehomex.com/lead/39540", "Laura Stiles")</x:f>
      </x:c>
      <x:c r="B1008" t="n" s="2">
        <x:v>43</x:v>
      </x:c>
      <x:c r="C1008" t="str" s="2">
        <x:v>1/2</x:v>
      </x:c>
      <x:c r="D1008" t="str" s="2">
        <x:f>=""</x:f>
      </x:c>
      <x:c r="E1008" s="0"/>
      <x:c r="F1008" t="str" s="2">
        <x:v>Financing Form</x:v>
      </x:c>
      <x:c r="G1008" t="str" s="2">
        <x:v>Heritage Housing of Albany</x:v>
      </x:c>
      <x:c r="H1008" t="str" s="2">
        <x:v>Alexander Bryant</x:v>
      </x:c>
      <x:c r="I1008" s="0"/>
      <x:c r="J1008" t="str" s="2">
        <x:v>Alexander Bryant</x:v>
      </x:c>
      <x:c r="K1008" t="n" s="2">
        <x:v>5</x:v>
      </x:c>
      <x:c r="L1008" t="str" s="2">
        <x:v>1.1</x:v>
      </x:c>
      <x:c r="M1008" t="str" s="2">
        <x:v>Tentative</x:v>
      </x:c>
      <x:c r="N1008" t="str" s="2">
        <x:v>Deal Created</x:v>
      </x:c>
      <x:c r="O1008" s="0"/>
      <x:c r="P1008" s="6">
        <x:v>46265</x:v>
      </x:c>
      <x:c r="Q1008" s="6">
        <x:v>46265.77070366898</x:v>
      </x:c>
      <x:c r="R1008" s="0"/>
      <x:c r="S1008" s="6">
        <x:v>46265</x:v>
      </x:c>
      <x:c r="T1008" s="0"/>
      <x:c r="U1008" s="0"/>
      <x:c r="V1008" s="0"/>
      <x:c r="W1008" s="0"/>
      <x:c r="X1008" t="str" s="2">
        <x:v>4782120057</x:v>
      </x:c>
      <x:c r="Y1008" t="str" s="2">
        <x:v>lrstiles1014@gmail.ccom</x:v>
      </x:c>
      <x:c r="Z1008" s="6">
        <x:v>46302.89926724537</x:v>
      </x:c>
      <x:c r="AA1008" t="str" s="2">
        <x:v>Justin Johnson</x:v>
      </x:c>
      <x:c r="AB1008" s="6">
        <x:v>46265.770704201386</x:v>
      </x:c>
      <x:c r="AC1008" t="n" s="2">
        <x:v>39540</x:v>
      </x:c>
      <x:c r="AD1008" s="0"/>
      <x:c r="AE1008" s="0"/>
      <x:c r="AF1008" s="0"/>
      <x:c r="AG1008" s="0"/>
      <x:c r="AH1008" s="0"/>
      <x:c r="AI1008" s="0"/>
      <x:c r="AJ1008" s="0"/>
      <x:c r="AK1008" s="0"/>
    </x:row>
    <x:row r="1009">
      <x:c r="A1009" t="str" s="2">
        <x:f>=HYPERLINK("https://rsms.futurehomex.com/lead/39541", "Evelyn Trivette")</x:f>
      </x:c>
      <x:c r="B1009" t="n" s="2">
        <x:v>43</x:v>
      </x:c>
      <x:c r="C1009" t="str" s="2">
        <x:v/>
      </x:c>
      <x:c r="D1009" t="str" s="2">
        <x:f>=""</x:f>
      </x:c>
      <x:c r="E1009" s="0"/>
      <x:c r="F1009" t="str" s="2">
        <x:v>Facebook Messenger</x:v>
      </x:c>
      <x:c r="G1009" t="str" s="2">
        <x:v>Heritage Housing of Asheboro</x:v>
      </x:c>
      <x:c r="H1009" t="str" s="2">
        <x:v>Maria Lopez</x:v>
      </x:c>
      <x:c r="I1009" s="0"/>
      <x:c r="J1009" s="0"/>
      <x:c r="K1009" t="n" s="2">
        <x:v>21</x:v>
      </x:c>
      <x:c r="L1009" t="str" s="2">
        <x:v>2.1</x:v>
      </x:c>
      <x:c r="M1009" t="str" s="2">
        <x:v>Tentative</x:v>
      </x:c>
      <x:c r="N1009" t="str" s="2">
        <x:v>Qualified</x:v>
      </x:c>
      <x:c r="O1009" s="0"/>
      <x:c r="P1009" s="6">
        <x:v>46265</x:v>
      </x:c>
      <x:c r="Q1009" s="6">
        <x:v>46282.7579028125</x:v>
      </x:c>
      <x:c r="R1009" s="0"/>
      <x:c r="S1009" s="6">
        <x:v>46265</x:v>
      </x:c>
      <x:c r="T1009" s="0"/>
      <x:c r="U1009" s="0"/>
      <x:c r="V1009" s="0"/>
      <x:c r="W1009" s="0"/>
      <x:c r="X1009" t="str" s="2">
        <x:v>7432381184</x:v>
      </x:c>
      <x:c r="Y1009" t="str" s="2">
        <x:v>trivette2620@gmail.com</x:v>
      </x:c>
      <x:c r="Z1009" s="6">
        <x:v>46282.75788935185</x:v>
      </x:c>
      <x:c r="AA1009" t="str" s="2">
        <x:v>Jeremy Jacques</x:v>
      </x:c>
      <x:c r="AB1009" s="6">
        <x:v>46265.77150173611</x:v>
      </x:c>
      <x:c r="AC1009" t="n" s="2">
        <x:v>39541</x:v>
      </x:c>
      <x:c r="AD1009" s="0"/>
      <x:c r="AE1009" s="0"/>
      <x:c r="AF1009" s="0"/>
      <x:c r="AG1009" s="0"/>
      <x:c r="AH1009" s="0"/>
      <x:c r="AI1009" s="0"/>
      <x:c r="AJ1009" s="0"/>
      <x:c r="AK1009" s="0"/>
    </x:row>
    <x:row r="1010">
      <x:c r="A1010" t="str" s="2">
        <x:f>=HYPERLINK("https://rsms.futurehomex.com/lead/39542", "Athena Rose")</x:f>
      </x:c>
      <x:c r="B1010" t="n" s="2">
        <x:v>43</x:v>
      </x:c>
      <x:c r="C1010" t="str" s="2">
        <x:v>0/4</x:v>
      </x:c>
      <x:c r="D1010" t="str" s="2">
        <x:f>=""</x:f>
      </x:c>
      <x:c r="E1010" s="0"/>
      <x:c r="F1010" t="str" s="2">
        <x:v>Website</x:v>
      </x:c>
      <x:c r="G1010" t="str" s="2">
        <x:v>Heritage Housing of Oklahoma City</x:v>
      </x:c>
      <x:c r="H1010" t="str" s="2">
        <x:v>Alejandra Calderon</x:v>
      </x:c>
      <x:c r="I1010" s="0"/>
      <x:c r="J1010" t="str" s="2">
        <x:v>Alejandra Calderon</x:v>
      </x:c>
      <x:c r="K1010" t="n" s="2">
        <x:v>5</x:v>
      </x:c>
      <x:c r="L1010" t="str" s="2">
        <x:v>1.1</x:v>
      </x:c>
      <x:c r="M1010" t="str" s="2">
        <x:v>Dead</x:v>
      </x:c>
      <x:c r="N1010" t="str" s="2">
        <x:v>Deal Created</x:v>
      </x:c>
      <x:c r="O1010" s="0"/>
      <x:c r="P1010" s="6">
        <x:v>46265</x:v>
      </x:c>
      <x:c r="Q1010" s="6">
        <x:v>46265.914425428244</x:v>
      </x:c>
      <x:c r="R1010" s="0"/>
      <x:c r="S1010" s="0"/>
      <x:c r="T1010" s="0"/>
      <x:c r="U1010" s="0"/>
      <x:c r="V1010" s="0"/>
      <x:c r="W1010" s="0"/>
      <x:c r="X1010" t="str" s="2">
        <x:v>5722734222</x:v>
      </x:c>
      <x:c r="Y1010" t="str" s="2">
        <x:v>athenasourjohn@gmail.com</x:v>
      </x:c>
      <x:c r="Z1010" s="6">
        <x:v>46274.6303715625</x:v>
      </x:c>
      <x:c r="AA1010" t="str" s="2">
        <x:v>Alejandra Calderon</x:v>
      </x:c>
      <x:c r="AB1010" s="6">
        <x:v>46265.79359302083</x:v>
      </x:c>
      <x:c r="AC1010" t="n" s="2">
        <x:v>39542</x:v>
      </x:c>
      <x:c r="AD1010" s="0"/>
      <x:c r="AE1010" s="0"/>
      <x:c r="AF1010" s="0"/>
      <x:c r="AG1010" s="0"/>
      <x:c r="AH1010" s="0"/>
      <x:c r="AI1010" s="0"/>
      <x:c r="AJ1010" s="0"/>
      <x:c r="AK1010" s="0"/>
    </x:row>
    <x:row r="1011">
      <x:c r="A1011" t="str" s="2">
        <x:f>=HYPERLINK("https://rsms.futurehomex.com/lead/39543", "Mitch Giannola")</x:f>
      </x:c>
      <x:c r="B1011" t="n" s="2">
        <x:v>43</x:v>
      </x:c>
      <x:c r="C1011" t="str" s="2">
        <x:v/>
      </x:c>
      <x:c r="D1011" t="str" s="2">
        <x:f>="CASH"</x:f>
      </x:c>
      <x:c r="E1011" t="str" s="2">
        <x:v>Deborah Giannola</x:v>
      </x:c>
      <x:c r="F1011" t="str" s="2">
        <x:v>Referrals</x:v>
      </x:c>
      <x:c r="G1011" t="str" s="2">
        <x:v>Heritage Housing of Greenville</x:v>
      </x:c>
      <x:c r="H1011" t="str" s="2">
        <x:v>Jessica Osornio</x:v>
      </x:c>
      <x:c r="I1011" s="0"/>
      <x:c r="J1011" s="0"/>
      <x:c r="K1011" t="n" s="2">
        <x:v>64</x:v>
      </x:c>
      <x:c r="L1011" t="str" s="2">
        <x:v>4.5</x:v>
      </x:c>
      <x:c r="M1011" t="str" s="2">
        <x:v>Active</x:v>
      </x:c>
      <x:c r="N1011" t="str" s="2">
        <x:v>Clear to Close</x:v>
      </x:c>
      <x:c r="O1011" s="6">
        <x:v>46326</x:v>
      </x:c>
      <x:c r="P1011" s="6">
        <x:v>46265</x:v>
      </x:c>
      <x:c r="Q1011" s="6">
        <x:v>46274.59527399306</x:v>
      </x:c>
      <x:c r="R1011" s="0"/>
      <x:c r="S1011" s="6">
        <x:v>46263</x:v>
      </x:c>
      <x:c r="T1011" s="0"/>
      <x:c r="U1011" s="6">
        <x:v>46265</x:v>
      </x:c>
      <x:c r="V1011" s="0"/>
      <x:c r="W1011" s="0"/>
      <x:c r="X1011" t="str" s="2">
        <x:v>8179259760</x:v>
      </x:c>
      <x:c r="Y1011" t="str" s="2">
        <x:v>8179259760</x:v>
      </x:c>
      <x:c r="Z1011" s="6">
        <x:v>46265.81553414352</x:v>
      </x:c>
      <x:c r="AA1011" t="str" s="2">
        <x:v>Jessica Osornio</x:v>
      </x:c>
      <x:c r="AB1011" s="6">
        <x:v>46265.80812091435</x:v>
      </x:c>
      <x:c r="AC1011" t="n" s="2">
        <x:v>39543</x:v>
      </x:c>
      <x:c r="AD1011" t="str" s="2">
        <x:v>Singlewide</x:v>
      </x:c>
      <x:c r="AE1011" s="0"/>
      <x:c r="AF1011" s="7">
        <x:v>64050</x:v>
      </x:c>
      <x:c r="AG1011" s="0"/>
      <x:c r="AH1011" s="0"/>
      <x:c r="AI1011" s="0"/>
      <x:c r="AJ1011" s="0"/>
      <x:c r="AK1011" s="0"/>
    </x:row>
    <x:row r="1012">
      <x:c r="A1012" t="str" s="2">
        <x:f>=HYPERLINK("https://rsms.futurehomex.com/lead/39544", "Alexis Acevedo")</x:f>
      </x:c>
      <x:c r="B1012" t="n" s="2">
        <x:v>43</x:v>
      </x:c>
      <x:c r="C1012" t="str" s="2">
        <x:v/>
      </x:c>
      <x:c r="D1012" t="str" s="2">
        <x:f>=""</x:f>
      </x:c>
      <x:c r="E1012" s="0"/>
      <x:c r="F1012" t="str" s="2">
        <x:v>Facebook Messenger</x:v>
      </x:c>
      <x:c r="G1012" t="str" s="2">
        <x:v>Heritage Housing Mt Pleasant</x:v>
      </x:c>
      <x:c r="H1012" t="str" s="2">
        <x:v>Yarelis Torres</x:v>
      </x:c>
      <x:c r="I1012" s="0"/>
      <x:c r="J1012" t="str" s="2">
        <x:v>Yarelis Torres</x:v>
      </x:c>
      <x:c r="K1012" t="n" s="2">
        <x:v>5</x:v>
      </x:c>
      <x:c r="L1012" t="str" s="2">
        <x:v>1.1</x:v>
      </x:c>
      <x:c r="M1012" t="str" s="2">
        <x:v>Tentative</x:v>
      </x:c>
      <x:c r="N1012" t="str" s="2">
        <x:v>Deal Created</x:v>
      </x:c>
      <x:c r="O1012" s="0"/>
      <x:c r="P1012" s="6">
        <x:v>46265</x:v>
      </x:c>
      <x:c r="Q1012" s="6">
        <x:v>46294.70929158565</x:v>
      </x:c>
      <x:c r="R1012" s="0"/>
      <x:c r="S1012" s="0"/>
      <x:c r="T1012" s="0"/>
      <x:c r="U1012" s="0"/>
      <x:c r="V1012" s="0"/>
      <x:c r="W1012" s="0"/>
      <x:c r="X1012" t="str" s="2">
        <x:v>9037150553</x:v>
      </x:c>
      <x:c r="Y1012" t="str" s="2">
        <x:v>9037150553</x:v>
      </x:c>
      <x:c r="Z1012" s="6">
        <x:v>46294.7121815162</x:v>
      </x:c>
      <x:c r="AA1012" t="str" s="2">
        <x:v>Yarelis Torres</x:v>
      </x:c>
      <x:c r="AB1012" s="6">
        <x:v>46265.817332673614</x:v>
      </x:c>
      <x:c r="AC1012" t="n" s="2">
        <x:v>39544</x:v>
      </x:c>
      <x:c r="AD1012" s="0"/>
      <x:c r="AE1012" s="0"/>
      <x:c r="AF1012" s="0"/>
      <x:c r="AG1012" s="0"/>
      <x:c r="AH1012" s="0"/>
      <x:c r="AI1012" s="0"/>
      <x:c r="AJ1012" s="0"/>
      <x:c r="AK1012" s="0"/>
    </x:row>
    <x:row r="1013">
      <x:c r="A1013" t="str" s="2">
        <x:f>=HYPERLINK("https://rsms.futurehomex.com/lead/39545", "ANNETTE CARTER")</x:f>
      </x:c>
      <x:c r="B1013" t="n" s="2">
        <x:v>43</x:v>
      </x:c>
      <x:c r="C1013" t="str" s="2">
        <x:v/>
      </x:c>
      <x:c r="D1013" t="str" s="2">
        <x:f>=""</x:f>
      </x:c>
      <x:c r="E1013" s="0"/>
      <x:c r="F1013" t="str" s="2">
        <x:v>Walk-in</x:v>
      </x:c>
      <x:c r="G1013" t="str" s="2">
        <x:v>Heritage Housing of Augusta</x:v>
      </x:c>
      <x:c r="H1013" t="str" s="2">
        <x:v>Faye Lively</x:v>
      </x:c>
      <x:c r="I1013" t="str" s="2">
        <x:v>Karol Romero</x:v>
      </x:c>
      <x:c r="J1013" t="str" s="2">
        <x:v>Faye Lively</x:v>
      </x:c>
      <x:c r="K1013" t="n" s="2">
        <x:v>5</x:v>
      </x:c>
      <x:c r="L1013" t="str" s="2">
        <x:v>1.1</x:v>
      </x:c>
      <x:c r="M1013" t="str" s="2">
        <x:v>Tentative</x:v>
      </x:c>
      <x:c r="N1013" t="str" s="2">
        <x:v>Deal Created</x:v>
      </x:c>
      <x:c r="O1013" s="0"/>
      <x:c r="P1013" s="6">
        <x:v>46265</x:v>
      </x:c>
      <x:c r="Q1013" s="6">
        <x:v>46280.7325821412</x:v>
      </x:c>
      <x:c r="R1013" s="0"/>
      <x:c r="S1013" s="0"/>
      <x:c r="T1013" s="0"/>
      <x:c r="U1013" s="0"/>
      <x:c r="V1013" s="0"/>
      <x:c r="W1013" s="0"/>
      <x:c r="X1013" t="str" s="2">
        <x:v>9736412974</x:v>
      </x:c>
      <x:c r="Y1013" t="str" s="2">
        <x:v>ANNANNETTEC189@GMAIL.COM</x:v>
      </x:c>
      <x:c r="Z1013" s="6">
        <x:v>46280.733127280095</x:v>
      </x:c>
      <x:c r="AA1013" t="str" s="2">
        <x:v>Faye Lively</x:v>
      </x:c>
      <x:c r="AB1013" s="6">
        <x:v>46265.82487476852</x:v>
      </x:c>
      <x:c r="AC1013" t="n" s="2">
        <x:v>39545</x:v>
      </x:c>
      <x:c r="AD1013" s="0"/>
      <x:c r="AE1013" s="0"/>
      <x:c r="AF1013" s="0"/>
      <x:c r="AG1013" s="0"/>
      <x:c r="AH1013" s="0"/>
      <x:c r="AI1013" s="0"/>
      <x:c r="AJ1013" s="0"/>
      <x:c r="AK1013" s="0"/>
    </x:row>
    <x:row r="1014">
      <x:c r="A1014" t="str" s="2">
        <x:f>=HYPERLINK("https://rsms.futurehomex.com/lead/39546", "Carl Donevin")</x:f>
      </x:c>
      <x:c r="B1014" t="n" s="2">
        <x:v>43</x:v>
      </x:c>
      <x:c r="C1014" t="str" s="2">
        <x:v>0/1</x:v>
      </x:c>
      <x:c r="D1014" t="str" s="2">
        <x:f>=""</x:f>
      </x:c>
      <x:c r="E1014" s="0"/>
      <x:c r="F1014" t="str" s="2">
        <x:v>Facebook Messenger</x:v>
      </x:c>
      <x:c r="G1014" t="str" s="2">
        <x:v>Heritage Housing of Oklahoma City</x:v>
      </x:c>
      <x:c r="H1014" t="str" s="2">
        <x:v>Steve Castell</x:v>
      </x:c>
      <x:c r="I1014" s="0"/>
      <x:c r="J1014" t="str" s="2">
        <x:v>Steve Castell</x:v>
      </x:c>
      <x:c r="K1014" t="n" s="2">
        <x:v>5</x:v>
      </x:c>
      <x:c r="L1014" t="str" s="2">
        <x:v>1.1</x:v>
      </x:c>
      <x:c r="M1014" t="str" s="2">
        <x:v>Dead</x:v>
      </x:c>
      <x:c r="N1014" t="str" s="2">
        <x:v>Deal Created</x:v>
      </x:c>
      <x:c r="O1014" s="0"/>
      <x:c r="P1014" s="6">
        <x:v>46265</x:v>
      </x:c>
      <x:c r="Q1014" s="6">
        <x:v>46266.90961863426</x:v>
      </x:c>
      <x:c r="R1014" s="0"/>
      <x:c r="S1014" s="6">
        <x:v>46235</x:v>
      </x:c>
      <x:c r="T1014" s="0"/>
      <x:c r="U1014" s="0"/>
      <x:c r="V1014" s="0"/>
      <x:c r="W1014" s="0"/>
      <x:c r="X1014" t="str" s="2">
        <x:v>4058023367</x:v>
      </x:c>
      <x:c r="Y1014" t="str" s="2">
        <x:v>roenewfarm0@gmail.com</x:v>
      </x:c>
      <x:c r="Z1014" s="6">
        <x:v>46268.986733564816</x:v>
      </x:c>
      <x:c r="AA1014" t="str" s="2">
        <x:v>Steve Castell</x:v>
      </x:c>
      <x:c r="AB1014" s="6">
        <x:v>46265.83502832176</x:v>
      </x:c>
      <x:c r="AC1014" t="n" s="2">
        <x:v>39546</x:v>
      </x:c>
      <x:c r="AD1014" s="0"/>
      <x:c r="AE1014" s="0"/>
      <x:c r="AF1014" s="0"/>
      <x:c r="AG1014" s="7">
        <x:v>6000</x:v>
      </x:c>
      <x:c r="AH1014" s="0"/>
      <x:c r="AI1014" s="0"/>
      <x:c r="AJ1014" s="0"/>
      <x:c r="AK1014" s="0"/>
    </x:row>
    <x:row r="1015">
      <x:c r="A1015" t="str" s="2">
        <x:f>=HYPERLINK("https://rsms.futurehomex.com/lead/39548", "Abbagail Blazzer")</x:f>
      </x:c>
      <x:c r="B1015" t="n" s="2">
        <x:v>43</x:v>
      </x:c>
      <x:c r="C1015" t="str" s="2">
        <x:v/>
      </x:c>
      <x:c r="D1015" t="str" s="2">
        <x:f>=""</x:f>
      </x:c>
      <x:c r="E1015" s="0"/>
      <x:c r="F1015" t="str" s="2">
        <x:v>Walk-in</x:v>
      </x:c>
      <x:c r="G1015" t="str" s="2">
        <x:v>Heritage Housing of Tulsa</x:v>
      </x:c>
      <x:c r="H1015" t="str" s="2">
        <x:v>Dane Lara</x:v>
      </x:c>
      <x:c r="I1015" s="0"/>
      <x:c r="J1015" s="0"/>
      <x:c r="K1015" t="n" s="2">
        <x:v>5</x:v>
      </x:c>
      <x:c r="L1015" t="str" s="2">
        <x:v>1.1</x:v>
      </x:c>
      <x:c r="M1015" t="str" s="2">
        <x:v>Dead</x:v>
      </x:c>
      <x:c r="N1015" t="str" s="2">
        <x:v>Prospect</x:v>
      </x:c>
      <x:c r="O1015" s="0"/>
      <x:c r="P1015" s="6">
        <x:v>46265</x:v>
      </x:c>
      <x:c r="Q1015" s="6">
        <x:v>46265.87572380787</x:v>
      </x:c>
      <x:c r="R1015" s="0"/>
      <x:c r="S1015" s="0"/>
      <x:c r="T1015" s="0"/>
      <x:c r="U1015" s="0"/>
      <x:c r="V1015" s="0"/>
      <x:c r="W1015" s="0"/>
      <x:c r="X1015" t="str" s="2">
        <x:v>9189351629</x:v>
      </x:c>
      <x:c r="Y1015" t="str" s="2">
        <x:v>chaparraabby1@gmail.com</x:v>
      </x:c>
      <x:c r="Z1015" s="0"/>
      <x:c r="AA1015" s="0"/>
      <x:c r="AB1015" s="6">
        <x:v>46265.8757244213</x:v>
      </x:c>
      <x:c r="AC1015" t="n" s="2">
        <x:v>39548</x:v>
      </x:c>
      <x:c r="AD1015" s="0"/>
      <x:c r="AE1015" s="0"/>
      <x:c r="AF1015" s="0"/>
      <x:c r="AG1015" s="0"/>
      <x:c r="AH1015" s="0"/>
      <x:c r="AI1015" s="0"/>
      <x:c r="AJ1015" s="0"/>
      <x:c r="AK1015" s="0"/>
    </x:row>
    <x:row r="1016">
      <x:c r="A1016" t="str" s="2">
        <x:f>=HYPERLINK("https://rsms.futurehomex.com/lead/39549", "Francisco Gomez")</x:f>
      </x:c>
      <x:c r="B1016" t="n" s="2">
        <x:v>43</x:v>
      </x:c>
      <x:c r="C1016" t="str" s="2">
        <x:v>1/1</x:v>
      </x:c>
      <x:c r="D1016" t="str" s="2">
        <x:f>=""</x:f>
      </x:c>
      <x:c r="E1016" s="0"/>
      <x:c r="F1016" t="str" s="2">
        <x:v>Walk-in</x:v>
      </x:c>
      <x:c r="G1016" t="str" s="2">
        <x:v>Heritage Housing of Tulsa</x:v>
      </x:c>
      <x:c r="H1016" t="str" s="2">
        <x:v>Derek Searcy</x:v>
      </x:c>
      <x:c r="I1016" s="0"/>
      <x:c r="J1016" s="0"/>
      <x:c r="K1016" t="n" s="2">
        <x:v>38</x:v>
      </x:c>
      <x:c r="L1016" t="str" s="2">
        <x:v>3.2</x:v>
      </x:c>
      <x:c r="M1016" t="str" s="2">
        <x:v>Active</x:v>
      </x:c>
      <x:c r="N1016" t="str" s="2">
        <x:v>Application</x:v>
      </x:c>
      <x:c r="O1016" s="0"/>
      <x:c r="P1016" s="6">
        <x:v>46265</x:v>
      </x:c>
      <x:c r="Q1016" s="6">
        <x:v>46267.7901752662</x:v>
      </x:c>
      <x:c r="R1016" s="0"/>
      <x:c r="S1016" s="6">
        <x:v>46265</x:v>
      </x:c>
      <x:c r="T1016" s="0"/>
      <x:c r="U1016" s="0"/>
      <x:c r="V1016" s="0"/>
      <x:c r="W1016" s="0"/>
      <x:c r="X1016" t="str" s="2">
        <x:v>9188910418</x:v>
      </x:c>
      <x:c r="Y1016" t="str" s="2">
        <x:v>brennensuddeth@gmail.com</x:v>
      </x:c>
      <x:c r="Z1016" s="6">
        <x:v>46265.92194684028</x:v>
      </x:c>
      <x:c r="AA1016" t="str" s="2">
        <x:v>Dane Lara</x:v>
      </x:c>
      <x:c r="AB1016" s="6">
        <x:v>46265.87701192129</x:v>
      </x:c>
      <x:c r="AC1016" t="n" s="2">
        <x:v>39549</x:v>
      </x:c>
      <x:c r="AD1016" t="str" s="2">
        <x:v>Singlewide</x:v>
      </x:c>
      <x:c r="AE1016" t="str" s="2">
        <x:v>Legacy Housing Corporation</x:v>
      </x:c>
      <x:c r="AF1016" s="0"/>
      <x:c r="AG1016" s="7">
        <x:v>7000</x:v>
      </x:c>
      <x:c r="AH1016" s="0"/>
      <x:c r="AI1016" t="str" s="2">
        <x:v>607</x:v>
      </x:c>
      <x:c r="AJ1016" s="0"/>
      <x:c r="AK1016" s="0"/>
    </x:row>
    <x:row r="1017">
      <x:c r="A1017" t="str" s="2">
        <x:f>=HYPERLINK("https://rsms.futurehomex.com/lead/39550", "Frank Jones")</x:f>
      </x:c>
      <x:c r="B1017" t="n" s="2">
        <x:v>43</x:v>
      </x:c>
      <x:c r="C1017" t="str" s="2">
        <x:v/>
      </x:c>
      <x:c r="D1017" t="str" s="2">
        <x:f>=""</x:f>
      </x:c>
      <x:c r="E1017" s="0"/>
      <x:c r="F1017" t="str" s="2">
        <x:v>Facebook Messenger</x:v>
      </x:c>
      <x:c r="G1017" t="str" s="2">
        <x:v>Heritage Housing of Asheboro</x:v>
      </x:c>
      <x:c r="H1017" t="str" s="2">
        <x:v>Maria Lopez</x:v>
      </x:c>
      <x:c r="I1017" s="0"/>
      <x:c r="J1017" s="0"/>
      <x:c r="K1017" t="n" s="2">
        <x:v>21</x:v>
      </x:c>
      <x:c r="L1017" t="str" s="2">
        <x:v>2.1</x:v>
      </x:c>
      <x:c r="M1017" t="str" s="2">
        <x:v>Dead</x:v>
      </x:c>
      <x:c r="N1017" t="str" s="2">
        <x:v>Qualified</x:v>
      </x:c>
      <x:c r="O1017" s="0"/>
      <x:c r="P1017" s="6">
        <x:v>46265</x:v>
      </x:c>
      <x:c r="Q1017" s="6">
        <x:v>46282.75845462963</x:v>
      </x:c>
      <x:c r="R1017" s="0"/>
      <x:c r="S1017" s="0"/>
      <x:c r="T1017" s="0"/>
      <x:c r="U1017" s="0"/>
      <x:c r="V1017" s="0"/>
      <x:c r="W1017" s="0"/>
      <x:c r="X1017" t="str" s="2">
        <x:v>3362676905</x:v>
      </x:c>
      <x:c r="Y1017" t="str" s="2">
        <x:v>fj3koole@gmail.com</x:v>
      </x:c>
      <x:c r="Z1017" s="6">
        <x:v>46282.75844116898</x:v>
      </x:c>
      <x:c r="AA1017" t="str" s="2">
        <x:v>Jeremy Jacques</x:v>
      </x:c>
      <x:c r="AB1017" s="6">
        <x:v>46265.88039467593</x:v>
      </x:c>
      <x:c r="AC1017" t="n" s="2">
        <x:v>39550</x:v>
      </x:c>
      <x:c r="AD1017" s="0"/>
      <x:c r="AE1017" s="0"/>
      <x:c r="AF1017" s="0"/>
      <x:c r="AG1017" s="0"/>
      <x:c r="AH1017" s="0"/>
      <x:c r="AI1017" s="0"/>
      <x:c r="AJ1017" s="0"/>
      <x:c r="AK1017" s="0"/>
    </x:row>
    <x:row r="1018">
      <x:c r="A1018" t="str" s="2">
        <x:f>=HYPERLINK("https://rsms.futurehomex.com/lead/39551", "John &amp; Dani Ricketts")</x:f>
      </x:c>
      <x:c r="B1018" t="n" s="2">
        <x:v>43</x:v>
      </x:c>
      <x:c r="C1018" t="str" s="2">
        <x:v>1/4</x:v>
      </x:c>
      <x:c r="D1018" t="str" s="2">
        <x:f>=""</x:f>
      </x:c>
      <x:c r="E1018" s="0"/>
      <x:c r="F1018" t="str" s="2">
        <x:v>Referrals</x:v>
      </x:c>
      <x:c r="G1018" t="str" s="2">
        <x:v>Heritage Housing of Oklahoma City</x:v>
      </x:c>
      <x:c r="H1018" t="str" s="2">
        <x:v>Steve Castell</x:v>
      </x:c>
      <x:c r="I1018" s="0"/>
      <x:c r="J1018" t="str" s="2">
        <x:v>Steve Castell</x:v>
      </x:c>
      <x:c r="K1018" t="n" s="2">
        <x:v>5</x:v>
      </x:c>
      <x:c r="L1018" t="str" s="2">
        <x:v>1.1</x:v>
      </x:c>
      <x:c r="M1018" t="str" s="2">
        <x:v>Tentative</x:v>
      </x:c>
      <x:c r="N1018" t="str" s="2">
        <x:v>Deal Created</x:v>
      </x:c>
      <x:c r="O1018" s="0"/>
      <x:c r="P1018" s="6">
        <x:v>46265</x:v>
      </x:c>
      <x:c r="Q1018" s="6">
        <x:v>46265.88341412037</x:v>
      </x:c>
      <x:c r="R1018" s="0"/>
      <x:c r="S1018" s="6">
        <x:v>46265</x:v>
      </x:c>
      <x:c r="T1018" s="0"/>
      <x:c r="U1018" s="0"/>
      <x:c r="V1018" s="0"/>
      <x:c r="W1018" s="0"/>
      <x:c r="X1018" t="str" s="2">
        <x:v>4058857283</x:v>
      </x:c>
      <x:c r="Y1018" t="str" s="2">
        <x:v>jdr67@live.com</x:v>
      </x:c>
      <x:c r="Z1018" s="6">
        <x:v>46303.96832445602</x:v>
      </x:c>
      <x:c r="AA1018" t="str" s="2">
        <x:v>Steve Castell</x:v>
      </x:c>
      <x:c r="AB1018" s="6">
        <x:v>46265.881603125</x:v>
      </x:c>
      <x:c r="AC1018" t="n" s="2">
        <x:v>39551</x:v>
      </x:c>
      <x:c r="AD1018" s="0"/>
      <x:c r="AE1018" s="0"/>
      <x:c r="AF1018" s="0"/>
      <x:c r="AG1018" s="0"/>
      <x:c r="AH1018" s="0"/>
      <x:c r="AI1018" s="0"/>
      <x:c r="AJ1018" s="0"/>
      <x:c r="AK1018" s="0"/>
    </x:row>
    <x:row r="1019">
      <x:c r="A1019" t="str" s="2">
        <x:f>=HYPERLINK("https://rsms.futurehomex.com/lead/39552", "Maria Guadalupe Lozano")</x:f>
      </x:c>
      <x:c r="B1019" t="n" s="2">
        <x:v>43</x:v>
      </x:c>
      <x:c r="C1019" t="str" s="2">
        <x:v/>
      </x:c>
      <x:c r="D1019" t="str" s="2">
        <x:f>=""</x:f>
      </x:c>
      <x:c r="E1019" s="0"/>
      <x:c r="F1019" t="str" s="2">
        <x:v>Facebook Messenger</x:v>
      </x:c>
      <x:c r="G1019" t="str" s="2">
        <x:v>Heritage Housing of Greenville</x:v>
      </x:c>
      <x:c r="H1019" t="str" s="2">
        <x:v>Ana Garcia</x:v>
      </x:c>
      <x:c r="I1019" t="str" s="2">
        <x:v>Karol Romero</x:v>
      </x:c>
      <x:c r="J1019" t="str" s="2">
        <x:v>Ana Garcia</x:v>
      </x:c>
      <x:c r="K1019" t="n" s="2">
        <x:v>5</x:v>
      </x:c>
      <x:c r="L1019" t="str" s="2">
        <x:v>1.1</x:v>
      </x:c>
      <x:c r="M1019" t="str" s="2">
        <x:v>Inactive</x:v>
      </x:c>
      <x:c r="N1019" t="str" s="2">
        <x:v>Deal Created</x:v>
      </x:c>
      <x:c r="O1019" s="0"/>
      <x:c r="P1019" s="6">
        <x:v>46265</x:v>
      </x:c>
      <x:c r="Q1019" s="6">
        <x:v>46265.888225</x:v>
      </x:c>
      <x:c r="R1019" s="0"/>
      <x:c r="S1019" s="6">
        <x:v>46266</x:v>
      </x:c>
      <x:c r="T1019" s="6">
        <x:v>46266</x:v>
      </x:c>
      <x:c r="U1019" s="0"/>
      <x:c r="V1019" s="0"/>
      <x:c r="W1019" s="0"/>
      <x:c r="X1019" t="str" s="2">
        <x:v>8327855285</x:v>
      </x:c>
      <x:c r="Y1019" t="str" s="2">
        <x:v>deyralozano997@gmail.com</x:v>
      </x:c>
      <x:c r="Z1019" s="0"/>
      <x:c r="AA1019" s="0"/>
      <x:c r="AB1019" s="6">
        <x:v>46265.88822677083</x:v>
      </x:c>
      <x:c r="AC1019" t="n" s="2">
        <x:v>39552</x:v>
      </x:c>
      <x:c r="AD1019" s="0"/>
      <x:c r="AE1019" s="0"/>
      <x:c r="AF1019" s="0"/>
      <x:c r="AG1019" s="0"/>
      <x:c r="AH1019" s="0"/>
      <x:c r="AI1019" s="0"/>
      <x:c r="AJ1019" s="0"/>
      <x:c r="AK1019" s="0"/>
    </x:row>
    <x:row r="1020">
      <x:c r="A1020" t="str" s="2">
        <x:f>=HYPERLINK("https://rsms.futurehomex.com/lead/39553", "Julio C Gallardo")</x:f>
      </x:c>
      <x:c r="B1020" t="n" s="2">
        <x:v>43</x:v>
      </x:c>
      <x:c r="C1020" t="str" s="2">
        <x:v>0/1</x:v>
      </x:c>
      <x:c r="D1020" t="str" s="2">
        <x:f>=""</x:f>
      </x:c>
      <x:c r="E1020" s="0"/>
      <x:c r="F1020" t="str" s="2">
        <x:v>Referrals</x:v>
      </x:c>
      <x:c r="G1020" t="str" s="2">
        <x:v>Legacy Housing Corp. DBA Americasa</x:v>
      </x:c>
      <x:c r="H1020" t="str" s="2">
        <x:v>Joey Marquez</x:v>
      </x:c>
      <x:c r="I1020" t="str" s="2">
        <x:v>Karol Romero</x:v>
      </x:c>
      <x:c r="J1020" s="0"/>
      <x:c r="K1020" t="n" s="2">
        <x:v>5</x:v>
      </x:c>
      <x:c r="L1020" t="str" s="2">
        <x:v>1.1</x:v>
      </x:c>
      <x:c r="M1020" t="str" s="2">
        <x:v>Tentative</x:v>
      </x:c>
      <x:c r="N1020" t="str" s="2">
        <x:v>Prospect</x:v>
      </x:c>
      <x:c r="O1020" s="0"/>
      <x:c r="P1020" s="6">
        <x:v>46265</x:v>
      </x:c>
      <x:c r="Q1020" s="6">
        <x:v>46265.95635949074</x:v>
      </x:c>
      <x:c r="R1020" s="0"/>
      <x:c r="S1020" s="0"/>
      <x:c r="T1020" s="0"/>
      <x:c r="U1020" s="0"/>
      <x:c r="V1020" s="0"/>
      <x:c r="W1020" s="0"/>
      <x:c r="X1020" t="str" s="2">
        <x:v>6025172429</x:v>
      </x:c>
      <x:c r="Y1020" t="str" s="2">
        <x:v>csjcg2007@gmail.com</x:v>
      </x:c>
      <x:c r="Z1020" s="6">
        <x:v>46266.94719197917</x:v>
      </x:c>
      <x:c r="AA1020" t="str" s="2">
        <x:v>Victoria Sanchez</x:v>
      </x:c>
      <x:c r="AB1020" s="6">
        <x:v>46265.95636079861</x:v>
      </x:c>
      <x:c r="AC1020" t="n" s="2">
        <x:v>39553</x:v>
      </x:c>
      <x:c r="AD1020" s="0"/>
      <x:c r="AE1020" s="0"/>
      <x:c r="AF1020" s="0"/>
      <x:c r="AG1020" s="0"/>
      <x:c r="AH1020" s="0"/>
      <x:c r="AI1020" s="0"/>
      <x:c r="AJ1020" s="0"/>
      <x:c r="AK1020" s="0"/>
    </x:row>
    <x:row r="1021">
      <x:c r="A1021" t="str" s="2">
        <x:f>=HYPERLINK("https://rsms.futurehomex.com/lead/39554", "Breion Carter")</x:f>
      </x:c>
      <x:c r="B1021" t="n" s="2">
        <x:v>43</x:v>
      </x:c>
      <x:c r="C1021" t="str" s="2">
        <x:v>1/1</x:v>
      </x:c>
      <x:c r="D1021" t="str" s="2">
        <x:f>=""</x:f>
      </x:c>
      <x:c r="E1021" s="0"/>
      <x:c r="F1021" t="str" s="2">
        <x:v>Landing_BPM</x:v>
      </x:c>
      <x:c r="G1021" t="str" s="2">
        <x:v>Heritage Housing of Oklahoma City</x:v>
      </x:c>
      <x:c r="H1021" t="str" s="2">
        <x:v>Trey Rixleben</x:v>
      </x:c>
      <x:c r="I1021" s="0"/>
      <x:c r="J1021" t="str" s="2">
        <x:v>Trey Rixleben</x:v>
      </x:c>
      <x:c r="K1021" t="n" s="2">
        <x:v>5</x:v>
      </x:c>
      <x:c r="L1021" t="str" s="2">
        <x:v>1.1</x:v>
      </x:c>
      <x:c r="M1021" t="str" s="2">
        <x:v>Tentative</x:v>
      </x:c>
      <x:c r="N1021" t="str" s="2">
        <x:v>Deal Created</x:v>
      </x:c>
      <x:c r="O1021" s="0"/>
      <x:c r="P1021" s="6">
        <x:v>46265</x:v>
      </x:c>
      <x:c r="Q1021" s="6">
        <x:v>46308.7097096412</x:v>
      </x:c>
      <x:c r="R1021" s="0"/>
      <x:c r="S1021" s="0"/>
      <x:c r="T1021" s="0"/>
      <x:c r="U1021" s="0"/>
      <x:c r="V1021" s="0"/>
      <x:c r="W1021" s="0"/>
      <x:c r="X1021" t="str" s="2">
        <x:v>4057129378</x:v>
      </x:c>
      <x:c r="Y1021" t="str" s="2">
        <x:v>cbreion727@gmail.com</x:v>
      </x:c>
      <x:c r="Z1021" s="6">
        <x:v>46308.71070405093</x:v>
      </x:c>
      <x:c r="AA1021" t="str" s="2">
        <x:v>Trey Rixleben</x:v>
      </x:c>
      <x:c r="AB1021" s="6">
        <x:v>46265.98389267361</x:v>
      </x:c>
      <x:c r="AC1021" t="n" s="2">
        <x:v>39554</x:v>
      </x:c>
      <x:c r="AD1021" s="0"/>
      <x:c r="AE1021" s="0"/>
      <x:c r="AF1021" s="0"/>
      <x:c r="AG1021" s="0"/>
      <x:c r="AH1021" s="0"/>
      <x:c r="AI1021" s="0"/>
      <x:c r="AJ1021" s="0"/>
      <x:c r="AK1021" s="0"/>
    </x:row>
    <x:row r="1022">
      <x:c r="A1022" t="str" s="2">
        <x:f>=HYPERLINK("https://rsms.futurehomex.com/lead/39555", "Joanne Fisher")</x:f>
      </x:c>
      <x:c r="B1022" t="n" s="2">
        <x:v>43</x:v>
      </x:c>
      <x:c r="C1022" t="str" s="2">
        <x:v>1/1</x:v>
      </x:c>
      <x:c r="D1022" t="str" s="2">
        <x:f>=""</x:f>
      </x:c>
      <x:c r="E1022" s="0"/>
      <x:c r="F1022" t="str" s="2">
        <x:v>Financing Form</x:v>
      </x:c>
      <x:c r="G1022" t="str" s="2">
        <x:v>Heritage Housing of Oklahoma City</x:v>
      </x:c>
      <x:c r="H1022" t="str" s="2">
        <x:v>Trey Rixleben</x:v>
      </x:c>
      <x:c r="I1022" s="0"/>
      <x:c r="J1022" t="str" s="2">
        <x:v>Trey Rixleben</x:v>
      </x:c>
      <x:c r="K1022" t="n" s="2">
        <x:v>5</x:v>
      </x:c>
      <x:c r="L1022" t="str" s="2">
        <x:v>1.1</x:v>
      </x:c>
      <x:c r="M1022" t="str" s="2">
        <x:v>Tentative</x:v>
      </x:c>
      <x:c r="N1022" t="str" s="2">
        <x:v>Deal Created</x:v>
      </x:c>
      <x:c r="O1022" s="0"/>
      <x:c r="P1022" s="6">
        <x:v>46265</x:v>
      </x:c>
      <x:c r="Q1022" s="6">
        <x:v>46296.83106261574</x:v>
      </x:c>
      <x:c r="R1022" s="0"/>
      <x:c r="S1022" s="0"/>
      <x:c r="T1022" s="0"/>
      <x:c r="U1022" s="0"/>
      <x:c r="V1022" s="0"/>
      <x:c r="W1022" s="0"/>
      <x:c r="X1022" t="str" s="2">
        <x:v>256-274-8444</x:v>
      </x:c>
      <x:c r="Y1022" t="str" s="2">
        <x:v>broom1692@gmail.com</x:v>
      </x:c>
      <x:c r="Z1022" s="6">
        <x:v>46296.835139814815</x:v>
      </x:c>
      <x:c r="AA1022" t="str" s="2">
        <x:v>Trey Rixleben</x:v>
      </x:c>
      <x:c r="AB1022" s="6">
        <x:v>46265.98490524306</x:v>
      </x:c>
      <x:c r="AC1022" t="n" s="2">
        <x:v>39555</x:v>
      </x:c>
      <x:c r="AD1022" s="0"/>
      <x:c r="AE1022" s="0"/>
      <x:c r="AF1022" s="0"/>
      <x:c r="AG1022" s="0"/>
      <x:c r="AH1022" s="0"/>
      <x:c r="AI1022" s="0"/>
      <x:c r="AJ1022" s="0"/>
      <x:c r="AK1022" s="0"/>
    </x:row>
    <x:row r="1023">
      <x:c r="A1023" t="str" s="2">
        <x:f>=HYPERLINK("https://rsms.futurehomex.com/lead/39556", "Rylee Adams")</x:f>
      </x:c>
      <x:c r="B1023" t="n" s="2">
        <x:v>43</x:v>
      </x:c>
      <x:c r="C1023" t="str" s="2">
        <x:v>1/1</x:v>
      </x:c>
      <x:c r="D1023" t="str" s="2">
        <x:f>=""</x:f>
      </x:c>
      <x:c r="E1023" t="str" s="2">
        <x:v>Tyler Smethers</x:v>
      </x:c>
      <x:c r="F1023" t="str" s="2">
        <x:v>Landing_BPM</x:v>
      </x:c>
      <x:c r="G1023" t="str" s="2">
        <x:v>Heritage Housing of Oklahoma City</x:v>
      </x:c>
      <x:c r="H1023" t="str" s="2">
        <x:v>Trey Rixleben</x:v>
      </x:c>
      <x:c r="I1023" s="0"/>
      <x:c r="J1023" t="str" s="2">
        <x:v>Trey Rixleben</x:v>
      </x:c>
      <x:c r="K1023" t="n" s="2">
        <x:v>5</x:v>
      </x:c>
      <x:c r="L1023" t="str" s="2">
        <x:v>1.1</x:v>
      </x:c>
      <x:c r="M1023" t="str" s="2">
        <x:v>Tentative</x:v>
      </x:c>
      <x:c r="N1023" t="str" s="2">
        <x:v>Deal Created</x:v>
      </x:c>
      <x:c r="O1023" s="0"/>
      <x:c r="P1023" s="6">
        <x:v>46265</x:v>
      </x:c>
      <x:c r="Q1023" s="6">
        <x:v>46270.72035474537</x:v>
      </x:c>
      <x:c r="R1023" t="str" s="2">
        <x:v>Steve Castell</x:v>
      </x:c>
      <x:c r="S1023" s="0"/>
      <x:c r="T1023" s="0"/>
      <x:c r="U1023" s="0"/>
      <x:c r="V1023" s="0"/>
      <x:c r="W1023" s="0"/>
      <x:c r="X1023" t="str" s="2">
        <x:v>4053974682</x:v>
      </x:c>
      <x:c r="Y1023" t="str" s="2">
        <x:v>ryleekadams11@gmail.com</x:v>
      </x:c>
      <x:c r="Z1023" s="6">
        <x:v>46270.71983217593</x:v>
      </x:c>
      <x:c r="AA1023" t="str" s="2">
        <x:v>Trey Rixleben</x:v>
      </x:c>
      <x:c r="AB1023" s="6">
        <x:v>46265.98908695602</x:v>
      </x:c>
      <x:c r="AC1023" t="n" s="2">
        <x:v>39556</x:v>
      </x:c>
      <x:c r="AD1023" s="0"/>
      <x:c r="AE1023" s="0"/>
      <x:c r="AF1023" s="0"/>
      <x:c r="AG1023" s="0"/>
      <x:c r="AH1023" s="0"/>
      <x:c r="AI1023" s="0"/>
      <x:c r="AJ1023" s="0"/>
      <x:c r="AK1023" s="0"/>
    </x:row>
    <x:row r="1024">
      <x:c r="A1024" t="str" s="2">
        <x:f>=HYPERLINK("https://rsms.futurehomex.com/lead/39557", "Ashford Diaz")</x:f>
      </x:c>
      <x:c r="B1024" t="n" s="2">
        <x:v>43</x:v>
      </x:c>
      <x:c r="C1024" t="str" s="2">
        <x:v/>
      </x:c>
      <x:c r="D1024" t="str" s="2">
        <x:f>=""</x:f>
      </x:c>
      <x:c r="E1024" s="0"/>
      <x:c r="F1024" t="str" s="2">
        <x:v>Landing_BPM</x:v>
      </x:c>
      <x:c r="G1024" t="str" s="2">
        <x:v>Heritage Housing Mt Pleasant</x:v>
      </x:c>
      <x:c r="H1024" t="str" s="2">
        <x:v>Yarelis Torres</x:v>
      </x:c>
      <x:c r="I1024" s="0"/>
      <x:c r="J1024" t="str" s="2">
        <x:v>Yarelis Torres</x:v>
      </x:c>
      <x:c r="K1024" t="n" s="2">
        <x:v>5</x:v>
      </x:c>
      <x:c r="L1024" t="str" s="2">
        <x:v>1.1</x:v>
      </x:c>
      <x:c r="M1024" t="str" s="2">
        <x:v>Tentative</x:v>
      </x:c>
      <x:c r="N1024" t="str" s="2">
        <x:v>Prospect</x:v>
      </x:c>
      <x:c r="O1024" s="0"/>
      <x:c r="P1024" s="6">
        <x:v>46265</x:v>
      </x:c>
      <x:c r="Q1024" s="6">
        <x:v>46265.99844675926</x:v>
      </x:c>
      <x:c r="R1024" s="0"/>
      <x:c r="S1024" s="0"/>
      <x:c r="T1024" s="0"/>
      <x:c r="U1024" s="0"/>
      <x:c r="V1024" s="0"/>
      <x:c r="W1024" s="0"/>
      <x:c r="X1024" t="str" s="2">
        <x:v>9568657412</x:v>
      </x:c>
      <x:c r="Y1024" t="str" s="2">
        <x:v>gms210@icloud.com</x:v>
      </x:c>
      <x:c r="Z1024" s="6">
        <x:v>46280.9843659375</x:v>
      </x:c>
      <x:c r="AA1024" t="str" s="2">
        <x:v>Yarelis Torres</x:v>
      </x:c>
      <x:c r="AB1024" s="6">
        <x:v>46265.99844722222</x:v>
      </x:c>
      <x:c r="AC1024" t="n" s="2">
        <x:v>39557</x:v>
      </x:c>
      <x:c r="AD1024" s="0"/>
      <x:c r="AE1024" s="0"/>
      <x:c r="AF1024" s="0"/>
      <x:c r="AG1024" s="0"/>
      <x:c r="AH1024" s="0"/>
      <x:c r="AI1024" s="0"/>
      <x:c r="AJ1024" s="0"/>
      <x:c r="AK1024" s="0"/>
    </x:row>
    <x:row r="1025">
      <x:c r="A1025" t="str" s="2">
        <x:f>=HYPERLINK("https://rsms.futurehomex.com/lead/39558", "Christle Pece")</x:f>
      </x:c>
      <x:c r="B1025" t="n" s="2">
        <x:v>42</x:v>
      </x:c>
      <x:c r="C1025" t="str" s="2">
        <x:v/>
      </x:c>
      <x:c r="D1025" t="str" s="2">
        <x:f>=""</x:f>
      </x:c>
      <x:c r="E1025" s="0"/>
      <x:c r="F1025" t="str" s="2">
        <x:v>Landing_BPM</x:v>
      </x:c>
      <x:c r="G1025" t="str" s="2">
        <x:v>Heritage Housing of Oklahoma City</x:v>
      </x:c>
      <x:c r="H1025" t="str" s="2">
        <x:v>Steve Castell</x:v>
      </x:c>
      <x:c r="I1025" s="0"/>
      <x:c r="J1025" t="str" s="2">
        <x:v>Steve Castell</x:v>
      </x:c>
      <x:c r="K1025" t="n" s="2">
        <x:v>5</x:v>
      </x:c>
      <x:c r="L1025" t="str" s="2">
        <x:v>1.1</x:v>
      </x:c>
      <x:c r="M1025" t="str" s="2">
        <x:v>Dead</x:v>
      </x:c>
      <x:c r="N1025" t="str" s="2">
        <x:v>Deal Created</x:v>
      </x:c>
      <x:c r="O1025" s="0"/>
      <x:c r="P1025" s="6">
        <x:v>46266</x:v>
      </x:c>
      <x:c r="Q1025" s="6">
        <x:v>46266.03957048611</x:v>
      </x:c>
      <x:c r="R1025" s="0"/>
      <x:c r="S1025" s="0"/>
      <x:c r="T1025" s="0"/>
      <x:c r="U1025" s="0"/>
      <x:c r="V1025" s="0"/>
      <x:c r="W1025" s="0"/>
      <x:c r="X1025" t="str" s="2">
        <x:v>4057193617</x:v>
      </x:c>
      <x:c r="Y1025" t="str" s="2">
        <x:v>christle262987@icloud.com</x:v>
      </x:c>
      <x:c r="Z1025" s="0"/>
      <x:c r="AA1025" s="0"/>
      <x:c r="AB1025" s="6">
        <x:v>46266.03957091435</x:v>
      </x:c>
      <x:c r="AC1025" t="n" s="2">
        <x:v>39558</x:v>
      </x:c>
      <x:c r="AD1025" s="0"/>
      <x:c r="AE1025" s="0"/>
      <x:c r="AF1025" s="0"/>
      <x:c r="AG1025" s="0"/>
      <x:c r="AH1025" s="0"/>
      <x:c r="AI1025" s="0"/>
      <x:c r="AJ1025" s="0"/>
      <x:c r="AK1025" s="0"/>
    </x:row>
    <x:row r="1026">
      <x:c r="A1026" t="str" s="2">
        <x:f>=HYPERLINK("https://rsms.futurehomex.com/lead/39559", "Alvena Ayala")</x:f>
      </x:c>
      <x:c r="B1026" t="n" s="2">
        <x:v>42</x:v>
      </x:c>
      <x:c r="C1026" t="str" s="2">
        <x:v/>
      </x:c>
      <x:c r="D1026" t="str" s="2">
        <x:f>=""</x:f>
      </x:c>
      <x:c r="E1026" s="0"/>
      <x:c r="F1026" t="str" s="2">
        <x:v>Meta Ads - Forms</x:v>
      </x:c>
      <x:c r="G1026" t="str" s="2">
        <x:v>Heritage Housing of Oklahoma City</x:v>
      </x:c>
      <x:c r="H1026" t="str" s="2">
        <x:v>Steve Castell</x:v>
      </x:c>
      <x:c r="I1026" s="0"/>
      <x:c r="J1026" t="str" s="2">
        <x:v>Steve Castell</x:v>
      </x:c>
      <x:c r="K1026" t="n" s="2">
        <x:v>5</x:v>
      </x:c>
      <x:c r="L1026" t="str" s="2">
        <x:v>1.1</x:v>
      </x:c>
      <x:c r="M1026" t="str" s="2">
        <x:v>Dead</x:v>
      </x:c>
      <x:c r="N1026" t="str" s="2">
        <x:v>Deal Created</x:v>
      </x:c>
      <x:c r="O1026" s="0"/>
      <x:c r="P1026" s="6">
        <x:v>46266</x:v>
      </x:c>
      <x:c r="Q1026" s="6">
        <x:v>46266.04104984954</x:v>
      </x:c>
      <x:c r="R1026" s="0"/>
      <x:c r="S1026" s="0"/>
      <x:c r="T1026" s="0"/>
      <x:c r="U1026" s="0"/>
      <x:c r="V1026" s="0"/>
      <x:c r="W1026" s="0"/>
      <x:c r="X1026" t="str" s="2">
        <x:v>4059237613</x:v>
      </x:c>
      <x:c r="Y1026" t="str" s="2">
        <x:v>Alvena2626@gmail.com</x:v>
      </x:c>
      <x:c r="Z1026" s="6">
        <x:v>46266.04142457176</x:v>
      </x:c>
      <x:c r="AA1026" t="str" s="2">
        <x:v>Steve Castell</x:v>
      </x:c>
      <x:c r="AB1026" s="6">
        <x:v>46266.041050266205</x:v>
      </x:c>
      <x:c r="AC1026" t="n" s="2">
        <x:v>39559</x:v>
      </x:c>
      <x:c r="AD1026" s="0"/>
      <x:c r="AE1026" s="0"/>
      <x:c r="AF1026" s="0"/>
      <x:c r="AG1026" s="0"/>
      <x:c r="AH1026" s="0"/>
      <x:c r="AI1026" s="0"/>
      <x:c r="AJ1026" s="0"/>
      <x:c r="AK1026" s="0"/>
    </x:row>
    <x:row r="1027">
      <x:c r="A1027" t="str" s="2">
        <x:f>=HYPERLINK("https://rsms.futurehomex.com/lead/39560", "Rachelle Williams")</x:f>
      </x:c>
      <x:c r="B1027" t="n" s="2">
        <x:v>42</x:v>
      </x:c>
      <x:c r="C1027" t="str" s="2">
        <x:v/>
      </x:c>
      <x:c r="D1027" t="str" s="2">
        <x:f>=""</x:f>
      </x:c>
      <x:c r="E1027" s="0"/>
      <x:c r="F1027" t="str" s="2">
        <x:v>Financing Form</x:v>
      </x:c>
      <x:c r="G1027" t="str" s="2">
        <x:v>Heritage Housing of Oklahoma City</x:v>
      </x:c>
      <x:c r="H1027" t="str" s="2">
        <x:v>Steve Castell</x:v>
      </x:c>
      <x:c r="I1027" s="0"/>
      <x:c r="J1027" t="str" s="2">
        <x:v>Steve Castell</x:v>
      </x:c>
      <x:c r="K1027" t="n" s="2">
        <x:v>5</x:v>
      </x:c>
      <x:c r="L1027" t="str" s="2">
        <x:v>1.1</x:v>
      </x:c>
      <x:c r="M1027" t="str" s="2">
        <x:v>Dead</x:v>
      </x:c>
      <x:c r="N1027" t="str" s="2">
        <x:v>Deal Created</x:v>
      </x:c>
      <x:c r="O1027" s="0"/>
      <x:c r="P1027" s="6">
        <x:v>46266</x:v>
      </x:c>
      <x:c r="Q1027" s="6">
        <x:v>46266.04196782407</x:v>
      </x:c>
      <x:c r="R1027" s="0"/>
      <x:c r="S1027" s="0"/>
      <x:c r="T1027" s="0"/>
      <x:c r="U1027" s="0"/>
      <x:c r="V1027" s="0"/>
      <x:c r="W1027" s="0"/>
      <x:c r="X1027" t="str" s="2">
        <x:v>5722397326</x:v>
      </x:c>
      <x:c r="Y1027" t="str" s="2">
        <x:v>rachelle10708rena@gmail.com</x:v>
      </x:c>
      <x:c r="Z1027" s="6">
        <x:v>46266.043091087966</x:v>
      </x:c>
      <x:c r="AA1027" t="str" s="2">
        <x:v>Steve Castell</x:v>
      </x:c>
      <x:c r="AB1027" s="6">
        <x:v>46266.0419684375</x:v>
      </x:c>
      <x:c r="AC1027" t="n" s="2">
        <x:v>39560</x:v>
      </x:c>
      <x:c r="AD1027" s="0"/>
      <x:c r="AE1027" s="0"/>
      <x:c r="AF1027" s="0"/>
      <x:c r="AG1027" s="0"/>
      <x:c r="AH1027" s="0"/>
      <x:c r="AI1027" s="0"/>
      <x:c r="AJ1027" s="0"/>
      <x:c r="AK1027" s="0"/>
    </x:row>
    <x:row r="1028">
      <x:c r="A1028" t="str" s="2">
        <x:f>=HYPERLINK("https://rsms.futurehomex.com/lead/39561", "Susan Mckinnon")</x:f>
      </x:c>
      <x:c r="B1028" t="n" s="2">
        <x:v>42</x:v>
      </x:c>
      <x:c r="C1028" t="str" s="2">
        <x:v>0/3</x:v>
      </x:c>
      <x:c r="D1028" t="str" s="2">
        <x:f>=""</x:f>
      </x:c>
      <x:c r="E1028" s="0"/>
      <x:c r="F1028" t="str" s="2">
        <x:v>Landing_BPM</x:v>
      </x:c>
      <x:c r="G1028" t="str" s="2">
        <x:v>Heritage Housing of Oklahoma City</x:v>
      </x:c>
      <x:c r="H1028" t="str" s="2">
        <x:v>Steve Castell</x:v>
      </x:c>
      <x:c r="I1028" s="0"/>
      <x:c r="J1028" t="str" s="2">
        <x:v>Steve Castell</x:v>
      </x:c>
      <x:c r="K1028" t="n" s="2">
        <x:v>5</x:v>
      </x:c>
      <x:c r="L1028" t="str" s="2">
        <x:v>1.1</x:v>
      </x:c>
      <x:c r="M1028" t="str" s="2">
        <x:v>Inactive</x:v>
      </x:c>
      <x:c r="N1028" t="str" s="2">
        <x:v>Deal Created</x:v>
      </x:c>
      <x:c r="O1028" s="0"/>
      <x:c r="P1028" s="6">
        <x:v>46266</x:v>
      </x:c>
      <x:c r="Q1028" s="6">
        <x:v>46266.05452346065</x:v>
      </x:c>
      <x:c r="R1028" s="0"/>
      <x:c r="S1028" s="0"/>
      <x:c r="T1028" s="0"/>
      <x:c r="U1028" s="0"/>
      <x:c r="V1028" s="0"/>
      <x:c r="W1028" s="0"/>
      <x:c r="X1028" t="str" s="2">
        <x:v>4054741923</x:v>
      </x:c>
      <x:c r="Y1028" t="str" s="2">
        <x:v>mckinnonsusan01@gmail.com</x:v>
      </x:c>
      <x:c r="Z1028" s="6">
        <x:v>46293.93976547453</x:v>
      </x:c>
      <x:c r="AA1028" t="str" s="2">
        <x:v>Steve Castell</x:v>
      </x:c>
      <x:c r="AB1028" s="6">
        <x:v>46266.05452395833</x:v>
      </x:c>
      <x:c r="AC1028" t="n" s="2">
        <x:v>39561</x:v>
      </x:c>
      <x:c r="AD1028" s="0"/>
      <x:c r="AE1028" s="0"/>
      <x:c r="AF1028" s="0"/>
      <x:c r="AG1028" s="0"/>
      <x:c r="AH1028" s="0"/>
      <x:c r="AI1028" s="0"/>
      <x:c r="AJ1028" s="0"/>
      <x:c r="AK1028" s="0"/>
    </x:row>
    <x:row r="1029">
      <x:c r="A1029" t="str" s="2">
        <x:f>=HYPERLINK("https://rsms.futurehomex.com/lead/39562", "Kyle Kilvington")</x:f>
      </x:c>
      <x:c r="B1029" t="n" s="2">
        <x:v>42</x:v>
      </x:c>
      <x:c r="C1029" t="str" s="2">
        <x:v>0/1</x:v>
      </x:c>
      <x:c r="D1029" t="str" s="2">
        <x:f>=""</x:f>
      </x:c>
      <x:c r="E1029" s="0"/>
      <x:c r="F1029" t="str" s="2">
        <x:v>Landing_BPM</x:v>
      </x:c>
      <x:c r="G1029" t="str" s="2">
        <x:v>Heritage Housing of Oklahoma City</x:v>
      </x:c>
      <x:c r="H1029" t="str" s="2">
        <x:v>Steve Castell</x:v>
      </x:c>
      <x:c r="I1029" s="0"/>
      <x:c r="J1029" t="str" s="2">
        <x:v>Steve Castell</x:v>
      </x:c>
      <x:c r="K1029" t="n" s="2">
        <x:v>5</x:v>
      </x:c>
      <x:c r="L1029" t="str" s="2">
        <x:v>1.1</x:v>
      </x:c>
      <x:c r="M1029" t="str" s="2">
        <x:v>Inactive</x:v>
      </x:c>
      <x:c r="N1029" t="str" s="2">
        <x:v>Deal Created</x:v>
      </x:c>
      <x:c r="O1029" s="0"/>
      <x:c r="P1029" s="6">
        <x:v>46266</x:v>
      </x:c>
      <x:c r="Q1029" s="6">
        <x:v>46266.059588344906</x:v>
      </x:c>
      <x:c r="R1029" s="0"/>
      <x:c r="S1029" s="0"/>
      <x:c r="T1029" s="0"/>
      <x:c r="U1029" s="0"/>
      <x:c r="V1029" s="0"/>
      <x:c r="W1029" s="0"/>
      <x:c r="X1029" t="str" s="2">
        <x:v>5393702754</x:v>
      </x:c>
      <x:c r="Y1029" t="str" s="2">
        <x:v>kylekilvington@gmail.com</x:v>
      </x:c>
      <x:c r="Z1029" s="6">
        <x:v>46274.606144363424</x:v>
      </x:c>
      <x:c r="AA1029" t="str" s="2">
        <x:v>Steve Castell</x:v>
      </x:c>
      <x:c r="AB1029" s="6">
        <x:v>46266.05958877315</x:v>
      </x:c>
      <x:c r="AC1029" t="n" s="2">
        <x:v>39562</x:v>
      </x:c>
      <x:c r="AD1029" s="0"/>
      <x:c r="AE1029" s="0"/>
      <x:c r="AF1029" s="0"/>
      <x:c r="AG1029" s="0"/>
      <x:c r="AH1029" s="0"/>
      <x:c r="AI1029" s="0"/>
      <x:c r="AJ1029" s="0"/>
      <x:c r="AK1029" s="0"/>
    </x:row>
    <x:row r="1030">
      <x:c r="A1030" t="str" s="2">
        <x:f>=HYPERLINK("https://rsms.futurehomex.com/lead/39563", "Robin Sparks")</x:f>
      </x:c>
      <x:c r="B1030" t="n" s="2">
        <x:v>42</x:v>
      </x:c>
      <x:c r="C1030" t="str" s="2">
        <x:v>0/1</x:v>
      </x:c>
      <x:c r="D1030" t="str" s="2">
        <x:f>=""</x:f>
      </x:c>
      <x:c r="E1030" s="0"/>
      <x:c r="F1030" t="str" s="2">
        <x:v>Financing Form</x:v>
      </x:c>
      <x:c r="G1030" t="str" s="2">
        <x:v>Heritage Housing of Oklahoma City</x:v>
      </x:c>
      <x:c r="H1030" t="str" s="2">
        <x:v>Steve Castell</x:v>
      </x:c>
      <x:c r="I1030" s="0"/>
      <x:c r="J1030" t="str" s="2">
        <x:v>Steve Castell</x:v>
      </x:c>
      <x:c r="K1030" t="n" s="2">
        <x:v>5</x:v>
      </x:c>
      <x:c r="L1030" t="str" s="2">
        <x:v>1.1</x:v>
      </x:c>
      <x:c r="M1030" t="str" s="2">
        <x:v>Inactive</x:v>
      </x:c>
      <x:c r="N1030" t="str" s="2">
        <x:v>Deal Created</x:v>
      </x:c>
      <x:c r="O1030" s="0"/>
      <x:c r="P1030" s="6">
        <x:v>46266</x:v>
      </x:c>
      <x:c r="Q1030" s="6">
        <x:v>46266.07171068287</x:v>
      </x:c>
      <x:c r="R1030" s="0"/>
      <x:c r="S1030" s="0"/>
      <x:c r="T1030" s="0"/>
      <x:c r="U1030" s="0"/>
      <x:c r="V1030" s="0"/>
      <x:c r="W1030" s="0"/>
      <x:c r="X1030" t="str" s="2">
        <x:v>5807161389</x:v>
      </x:c>
      <x:c r="Y1030" t="str" s="2">
        <x:v>rakdk77@gmail.com</x:v>
      </x:c>
      <x:c r="Z1030" s="6">
        <x:v>46296.65240428241</x:v>
      </x:c>
      <x:c r="AA1030" t="str" s="2">
        <x:v>Steve Castell</x:v>
      </x:c>
      <x:c r="AB1030" s="6">
        <x:v>46266.07171119213</x:v>
      </x:c>
      <x:c r="AC1030" t="n" s="2">
        <x:v>39563</x:v>
      </x:c>
      <x:c r="AD1030" s="0"/>
      <x:c r="AE1030" s="0"/>
      <x:c r="AF1030" s="0"/>
      <x:c r="AG1030" s="0"/>
      <x:c r="AH1030" s="0"/>
      <x:c r="AI1030" s="0"/>
      <x:c r="AJ1030" s="0"/>
      <x:c r="AK1030" s="0"/>
    </x:row>
    <x:row r="1031">
      <x:c r="A1031" t="str" s="2">
        <x:f>=HYPERLINK("https://rsms.futurehomex.com/lead/39564", "Bryant Rice")</x:f>
      </x:c>
      <x:c r="B1031" t="n" s="2">
        <x:v>42</x:v>
      </x:c>
      <x:c r="C1031" t="str" s="2">
        <x:v>0/1</x:v>
      </x:c>
      <x:c r="D1031" t="str" s="2">
        <x:f>=""</x:f>
      </x:c>
      <x:c r="E1031" s="0"/>
      <x:c r="F1031" t="str" s="2">
        <x:v>Meta Ads - Forms</x:v>
      </x:c>
      <x:c r="G1031" t="str" s="2">
        <x:v>Heritage Housing of Oklahoma City</x:v>
      </x:c>
      <x:c r="H1031" t="str" s="2">
        <x:v>Steve Castell</x:v>
      </x:c>
      <x:c r="I1031" s="0"/>
      <x:c r="J1031" t="str" s="2">
        <x:v>Steve Castell</x:v>
      </x:c>
      <x:c r="K1031" t="n" s="2">
        <x:v>5</x:v>
      </x:c>
      <x:c r="L1031" t="str" s="2">
        <x:v>1.1</x:v>
      </x:c>
      <x:c r="M1031" t="str" s="2">
        <x:v>Dead</x:v>
      </x:c>
      <x:c r="N1031" t="str" s="2">
        <x:v>Deal Created</x:v>
      </x:c>
      <x:c r="O1031" s="0"/>
      <x:c r="P1031" s="6">
        <x:v>46266</x:v>
      </x:c>
      <x:c r="Q1031" s="6">
        <x:v>46266.07522450232</x:v>
      </x:c>
      <x:c r="R1031" s="0"/>
      <x:c r="S1031" s="0"/>
      <x:c r="T1031" s="0"/>
      <x:c r="U1031" s="0"/>
      <x:c r="V1031" s="0"/>
      <x:c r="W1031" s="0"/>
      <x:c r="X1031" t="str" s="2">
        <x:v>4054824004</x:v>
      </x:c>
      <x:c r="Y1031" t="str" s="2">
        <x:v>bryantrice6@gmail.com</x:v>
      </x:c>
      <x:c r="Z1031" s="6">
        <x:v>46273.88897824074</x:v>
      </x:c>
      <x:c r="AA1031" t="str" s="2">
        <x:v>Richard Bell</x:v>
      </x:c>
      <x:c r="AB1031" s="6">
        <x:v>46266.075225</x:v>
      </x:c>
      <x:c r="AC1031" t="n" s="2">
        <x:v>39564</x:v>
      </x:c>
      <x:c r="AD1031" s="0"/>
      <x:c r="AE1031" s="0"/>
      <x:c r="AF1031" s="0"/>
      <x:c r="AG1031" s="0"/>
      <x:c r="AH1031" s="0"/>
      <x:c r="AI1031" s="0"/>
      <x:c r="AJ1031" s="0"/>
      <x:c r="AK1031" s="0"/>
    </x:row>
    <x:row r="1032">
      <x:c r="A1032" t="str" s="2">
        <x:f>=HYPERLINK("https://rsms.futurehomex.com/lead/39565", "Gerardo Mendez")</x:f>
      </x:c>
      <x:c r="B1032" t="n" s="2">
        <x:v>42</x:v>
      </x:c>
      <x:c r="C1032" t="str" s="2">
        <x:v/>
      </x:c>
      <x:c r="D1032" t="str" s="2">
        <x:f>=""</x:f>
      </x:c>
      <x:c r="E1032" s="0"/>
      <x:c r="F1032" t="str" s="2">
        <x:v>Facebook Messenger</x:v>
      </x:c>
      <x:c r="G1032" t="str" s="2">
        <x:v>Heritage Housing of Oklahoma City</x:v>
      </x:c>
      <x:c r="H1032" t="str" s="2">
        <x:v>Steve Castell</x:v>
      </x:c>
      <x:c r="I1032" s="0"/>
      <x:c r="J1032" t="str" s="2">
        <x:v>Steve Castell</x:v>
      </x:c>
      <x:c r="K1032" t="n" s="2">
        <x:v>5</x:v>
      </x:c>
      <x:c r="L1032" t="str" s="2">
        <x:v>1.1</x:v>
      </x:c>
      <x:c r="M1032" t="str" s="2">
        <x:v>Dead</x:v>
      </x:c>
      <x:c r="N1032" t="str" s="2">
        <x:v>Deal Created</x:v>
      </x:c>
      <x:c r="O1032" s="0"/>
      <x:c r="P1032" s="6">
        <x:v>46266</x:v>
      </x:c>
      <x:c r="Q1032" s="6">
        <x:v>46266.08327045139</x:v>
      </x:c>
      <x:c r="R1032" s="0"/>
      <x:c r="S1032" s="0"/>
      <x:c r="T1032" s="0"/>
      <x:c r="U1032" s="0"/>
      <x:c r="V1032" s="0"/>
      <x:c r="W1032" s="0"/>
      <x:c r="X1032" t="str" s="2">
        <x:v>4056514095</x:v>
      </x:c>
      <x:c r="Y1032" t="str" s="2">
        <x:v>mendezromogerardo@gmail.com</x:v>
      </x:c>
      <x:c r="Z1032" s="6">
        <x:v>46266.084258414354</x:v>
      </x:c>
      <x:c r="AA1032" t="str" s="2">
        <x:v>Steve Castell</x:v>
      </x:c>
      <x:c r="AB1032" s="6">
        <x:v>46266.083270868054</x:v>
      </x:c>
      <x:c r="AC1032" t="n" s="2">
        <x:v>39565</x:v>
      </x:c>
      <x:c r="AD1032" s="0"/>
      <x:c r="AE1032" s="0"/>
      <x:c r="AF1032" s="0"/>
      <x:c r="AG1032" s="0"/>
      <x:c r="AH1032" s="0"/>
      <x:c r="AI1032" s="0"/>
      <x:c r="AJ1032" s="0"/>
      <x:c r="AK1032" s="0"/>
    </x:row>
    <x:row r="1033">
      <x:c r="A1033" t="str" s="2">
        <x:f>=HYPERLINK("https://rsms.futurehomex.com/lead/39566", "Diamond England")</x:f>
      </x:c>
      <x:c r="B1033" t="n" s="2">
        <x:v>42</x:v>
      </x:c>
      <x:c r="C1033" t="str" s="2">
        <x:v>0/2</x:v>
      </x:c>
      <x:c r="D1033" t="str" s="2">
        <x:f>=""</x:f>
      </x:c>
      <x:c r="E1033" s="0"/>
      <x:c r="F1033" t="str" s="2">
        <x:v>Landing_BPM</x:v>
      </x:c>
      <x:c r="G1033" t="str" s="2">
        <x:v>Heritage Housing of Oklahoma City</x:v>
      </x:c>
      <x:c r="H1033" t="str" s="2">
        <x:v>Steve Castell</x:v>
      </x:c>
      <x:c r="I1033" s="0"/>
      <x:c r="J1033" t="str" s="2">
        <x:v>Steve Castell</x:v>
      </x:c>
      <x:c r="K1033" t="n" s="2">
        <x:v>5</x:v>
      </x:c>
      <x:c r="L1033" t="str" s="2">
        <x:v>1.1</x:v>
      </x:c>
      <x:c r="M1033" t="str" s="2">
        <x:v>Inactive</x:v>
      </x:c>
      <x:c r="N1033" t="str" s="2">
        <x:v>Deal Created</x:v>
      </x:c>
      <x:c r="O1033" s="0"/>
      <x:c r="P1033" s="6">
        <x:v>46266</x:v>
      </x:c>
      <x:c r="Q1033" s="6">
        <x:v>46266.08724756944</x:v>
      </x:c>
      <x:c r="R1033" s="0"/>
      <x:c r="S1033" s="0"/>
      <x:c r="T1033" s="0"/>
      <x:c r="U1033" s="0"/>
      <x:c r="V1033" s="0"/>
      <x:c r="W1033" s="0"/>
      <x:c r="X1033" t="str" s="2">
        <x:v>4059162949</x:v>
      </x:c>
      <x:c r="Y1033" t="str" s="2">
        <x:v>diaengland3@gmail.com</x:v>
      </x:c>
      <x:c r="Z1033" s="6">
        <x:v>46294.95632488426</x:v>
      </x:c>
      <x:c r="AA1033" t="str" s="2">
        <x:v>Steve Castell</x:v>
      </x:c>
      <x:c r="AB1033" s="6">
        <x:v>46266.08724806713</x:v>
      </x:c>
      <x:c r="AC1033" t="n" s="2">
        <x:v>39566</x:v>
      </x:c>
      <x:c r="AD1033" s="0"/>
      <x:c r="AE1033" s="0"/>
      <x:c r="AF1033" s="0"/>
      <x:c r="AG1033" s="0"/>
      <x:c r="AH1033" s="0"/>
      <x:c r="AI1033" s="0"/>
      <x:c r="AJ1033" s="0"/>
      <x:c r="AK1033" s="0"/>
    </x:row>
    <x:row r="1034">
      <x:c r="A1034" t="str" s="2">
        <x:f>=HYPERLINK("https://rsms.futurehomex.com/lead/39567", "Shawna Cook")</x:f>
      </x:c>
      <x:c r="B1034" t="n" s="2">
        <x:v>42</x:v>
      </x:c>
      <x:c r="C1034" t="str" s="2">
        <x:v>1/1</x:v>
      </x:c>
      <x:c r="D1034" t="str" s="2">
        <x:f>=""</x:f>
      </x:c>
      <x:c r="E1034" s="0"/>
      <x:c r="F1034" t="str" s="2">
        <x:v>Financing Form</x:v>
      </x:c>
      <x:c r="G1034" t="str" s="2">
        <x:v>Heritage Housing of Oklahoma City</x:v>
      </x:c>
      <x:c r="H1034" t="str" s="2">
        <x:v>Steve Castell</x:v>
      </x:c>
      <x:c r="I1034" s="0"/>
      <x:c r="J1034" t="str" s="2">
        <x:v>Steve Castell</x:v>
      </x:c>
      <x:c r="K1034" t="n" s="2">
        <x:v>5</x:v>
      </x:c>
      <x:c r="L1034" t="str" s="2">
        <x:v>1.1</x:v>
      </x:c>
      <x:c r="M1034" t="str" s="2">
        <x:v>Tentative</x:v>
      </x:c>
      <x:c r="N1034" t="str" s="2">
        <x:v>Deal Created</x:v>
      </x:c>
      <x:c r="O1034" s="0"/>
      <x:c r="P1034" s="6">
        <x:v>46266</x:v>
      </x:c>
      <x:c r="Q1034" s="6">
        <x:v>46266.090562881946</x:v>
      </x:c>
      <x:c r="R1034" s="0"/>
      <x:c r="S1034" s="0"/>
      <x:c r="T1034" s="0"/>
      <x:c r="U1034" s="0"/>
      <x:c r="V1034" s="0"/>
      <x:c r="W1034" s="0"/>
      <x:c r="X1034" t="str" s="2">
        <x:v>5803340691</x:v>
      </x:c>
      <x:c r="Y1034" t="str" s="2">
        <x:v>shawnadewitt@hotmail.com</x:v>
      </x:c>
      <x:c r="Z1034" s="6">
        <x:v>46266.0923246875</x:v>
      </x:c>
      <x:c r="AA1034" t="str" s="2">
        <x:v>Steve Castell</x:v>
      </x:c>
      <x:c r="AB1034" s="6">
        <x:v>46266.09056334491</x:v>
      </x:c>
      <x:c r="AC1034" t="n" s="2">
        <x:v>39567</x:v>
      </x:c>
      <x:c r="AD1034" s="0"/>
      <x:c r="AE1034" s="0"/>
      <x:c r="AF1034" s="0"/>
      <x:c r="AG1034" s="0"/>
      <x:c r="AH1034" s="0"/>
      <x:c r="AI1034" s="0"/>
      <x:c r="AJ1034" s="0"/>
      <x:c r="AK1034" s="0"/>
    </x:row>
    <x:row r="1035">
      <x:c r="A1035" t="str" s="2">
        <x:f>=HYPERLINK("https://rsms.futurehomex.com/lead/39568", "JENNY Muir")</x:f>
      </x:c>
      <x:c r="B1035" t="n" s="2">
        <x:v>42</x:v>
      </x:c>
      <x:c r="C1035" t="str" s="2">
        <x:v>0/1</x:v>
      </x:c>
      <x:c r="D1035" t="str" s="2">
        <x:f>=""</x:f>
      </x:c>
      <x:c r="E1035" s="0"/>
      <x:c r="F1035" t="str" s="2">
        <x:v>Landing_BPM</x:v>
      </x:c>
      <x:c r="G1035" t="str" s="2">
        <x:v>Heritage Housing of Oklahoma City</x:v>
      </x:c>
      <x:c r="H1035" t="str" s="2">
        <x:v>Steve Castell</x:v>
      </x:c>
      <x:c r="I1035" s="0"/>
      <x:c r="J1035" t="str" s="2">
        <x:v>Steve Castell</x:v>
      </x:c>
      <x:c r="K1035" t="n" s="2">
        <x:v>5</x:v>
      </x:c>
      <x:c r="L1035" t="str" s="2">
        <x:v>1.1</x:v>
      </x:c>
      <x:c r="M1035" t="str" s="2">
        <x:v>Inactive</x:v>
      </x:c>
      <x:c r="N1035" t="str" s="2">
        <x:v>Deal Created</x:v>
      </x:c>
      <x:c r="O1035" s="0"/>
      <x:c r="P1035" s="6">
        <x:v>46266</x:v>
      </x:c>
      <x:c r="Q1035" s="6">
        <x:v>46266.094061724536</x:v>
      </x:c>
      <x:c r="R1035" s="0"/>
      <x:c r="S1035" s="0"/>
      <x:c r="T1035" s="0"/>
      <x:c r="U1035" s="0"/>
      <x:c r="V1035" s="0"/>
      <x:c r="W1035" s="0"/>
      <x:c r="X1035" t="str" s="2">
        <x:v>5807540697</x:v>
      </x:c>
      <x:c r="Y1035" t="str" s="2">
        <x:v>muirjenny45@gmail.com</x:v>
      </x:c>
      <x:c r="Z1035" s="6">
        <x:v>46279.97256261574</x:v>
      </x:c>
      <x:c r="AA1035" t="str" s="2">
        <x:v>Steve Castell</x:v>
      </x:c>
      <x:c r="AB1035" s="6">
        <x:v>46266.094062233795</x:v>
      </x:c>
      <x:c r="AC1035" t="n" s="2">
        <x:v>39568</x:v>
      </x:c>
      <x:c r="AD1035" s="0"/>
      <x:c r="AE1035" s="0"/>
      <x:c r="AF1035" s="0"/>
      <x:c r="AG1035" s="0"/>
      <x:c r="AH1035" s="0"/>
      <x:c r="AI1035" s="0"/>
      <x:c r="AJ1035" s="0"/>
      <x:c r="AK1035" s="0"/>
    </x:row>
    <x:row r="1036">
      <x:c r="A1036" t="str" s="2">
        <x:f>=HYPERLINK("https://rsms.futurehomex.com/lead/39569", "Terry Gore")</x:f>
      </x:c>
      <x:c r="B1036" t="n" s="2">
        <x:v>42</x:v>
      </x:c>
      <x:c r="C1036" t="str" s="2">
        <x:v/>
      </x:c>
      <x:c r="D1036" t="str" s="2">
        <x:f>=""</x:f>
      </x:c>
      <x:c r="E1036" s="0"/>
      <x:c r="F1036" t="str" s="2">
        <x:v>Financing Form</x:v>
      </x:c>
      <x:c r="G1036" t="str" s="2">
        <x:v>Heritage Housing of Oklahoma City</x:v>
      </x:c>
      <x:c r="H1036" t="str" s="2">
        <x:v>Steve Castell</x:v>
      </x:c>
      <x:c r="I1036" s="0"/>
      <x:c r="J1036" t="str" s="2">
        <x:v>Steve Castell</x:v>
      </x:c>
      <x:c r="K1036" t="n" s="2">
        <x:v>5</x:v>
      </x:c>
      <x:c r="L1036" t="str" s="2">
        <x:v>1.1</x:v>
      </x:c>
      <x:c r="M1036" t="str" s="2">
        <x:v>Dead</x:v>
      </x:c>
      <x:c r="N1036" t="str" s="2">
        <x:v>Deal Created</x:v>
      </x:c>
      <x:c r="O1036" s="0"/>
      <x:c r="P1036" s="6">
        <x:v>46266</x:v>
      </x:c>
      <x:c r="Q1036" s="6">
        <x:v>46266.096365474536</x:v>
      </x:c>
      <x:c r="R1036" s="0"/>
      <x:c r="S1036" s="0"/>
      <x:c r="T1036" s="0"/>
      <x:c r="U1036" s="0"/>
      <x:c r="V1036" s="0"/>
      <x:c r="W1036" s="0"/>
      <x:c r="X1036" t="str" s="2">
        <x:v>5013525188</x:v>
      </x:c>
      <x:c r="Y1036" t="str" s="2">
        <x:v>goreboy85@gmail.com</x:v>
      </x:c>
      <x:c r="Z1036" s="6">
        <x:v>46266.09678680555</x:v>
      </x:c>
      <x:c r="AA1036" t="str" s="2">
        <x:v>Steve Castell</x:v>
      </x:c>
      <x:c r="AB1036" s="6">
        <x:v>46266.0963659375</x:v>
      </x:c>
      <x:c r="AC1036" t="n" s="2">
        <x:v>39569</x:v>
      </x:c>
      <x:c r="AD1036" s="0"/>
      <x:c r="AE1036" s="0"/>
      <x:c r="AF1036" s="0"/>
      <x:c r="AG1036" s="0"/>
      <x:c r="AH1036" s="0"/>
      <x:c r="AI1036" s="0"/>
      <x:c r="AJ1036" s="0"/>
      <x:c r="AK1036" s="0"/>
    </x:row>
    <x:row r="1037">
      <x:c r="A1037" t="str" s="2">
        <x:f>=HYPERLINK("https://rsms.futurehomex.com/lead/39570", "Mike Woods")</x:f>
      </x:c>
      <x:c r="B1037" t="n" s="2">
        <x:v>42</x:v>
      </x:c>
      <x:c r="C1037" t="str" s="2">
        <x:v/>
      </x:c>
      <x:c r="D1037" t="str" s="2">
        <x:f>=""</x:f>
      </x:c>
      <x:c r="E1037" s="0"/>
      <x:c r="F1037" t="str" s="2">
        <x:v>Meta Ads - Forms</x:v>
      </x:c>
      <x:c r="G1037" t="str" s="2">
        <x:v>Heritage Housing of Oklahoma City</x:v>
      </x:c>
      <x:c r="H1037" t="str" s="2">
        <x:v>Steve Castell</x:v>
      </x:c>
      <x:c r="I1037" s="0"/>
      <x:c r="J1037" t="str" s="2">
        <x:v>Steve Castell</x:v>
      </x:c>
      <x:c r="K1037" t="n" s="2">
        <x:v>5</x:v>
      </x:c>
      <x:c r="L1037" t="str" s="2">
        <x:v>1.1</x:v>
      </x:c>
      <x:c r="M1037" t="str" s="2">
        <x:v>Dead</x:v>
      </x:c>
      <x:c r="N1037" t="str" s="2">
        <x:v>Deal Created</x:v>
      </x:c>
      <x:c r="O1037" s="0"/>
      <x:c r="P1037" s="6">
        <x:v>46266</x:v>
      </x:c>
      <x:c r="Q1037" s="6">
        <x:v>46266.10030914352</x:v>
      </x:c>
      <x:c r="R1037" s="0"/>
      <x:c r="S1037" s="0"/>
      <x:c r="T1037" s="0"/>
      <x:c r="U1037" s="0"/>
      <x:c r="V1037" s="0"/>
      <x:c r="W1037" s="0"/>
      <x:c r="X1037" t="str" s="2">
        <x:v>4054125529</x:v>
      </x:c>
      <x:c r="Y1037" t="str" s="2">
        <x:v>squeaky5499@yahoo.com</x:v>
      </x:c>
      <x:c r="Z1037" s="6">
        <x:v>46266.10050436343</x:v>
      </x:c>
      <x:c r="AA1037" t="str" s="2">
        <x:v>Steve Castell</x:v>
      </x:c>
      <x:c r="AB1037" s="6">
        <x:v>46266.10030960648</x:v>
      </x:c>
      <x:c r="AC1037" t="n" s="2">
        <x:v>39570</x:v>
      </x:c>
      <x:c r="AD1037" s="0"/>
      <x:c r="AE1037" s="0"/>
      <x:c r="AF1037" s="0"/>
      <x:c r="AG1037" s="0"/>
      <x:c r="AH1037" s="0"/>
      <x:c r="AI1037" s="0"/>
      <x:c r="AJ1037" s="0"/>
      <x:c r="AK1037" s="0"/>
    </x:row>
    <x:row r="1038">
      <x:c r="A1038" t="str" s="2">
        <x:f>=HYPERLINK("https://rsms.futurehomex.com/lead/39571", "Avery Laney")</x:f>
      </x:c>
      <x:c r="B1038" t="n" s="2">
        <x:v>42</x:v>
      </x:c>
      <x:c r="C1038" t="str" s="2">
        <x:v>0/5</x:v>
      </x:c>
      <x:c r="D1038" t="str" s="2">
        <x:f>=""</x:f>
      </x:c>
      <x:c r="E1038" s="0"/>
      <x:c r="F1038" t="str" s="2">
        <x:v>Landing_BPM</x:v>
      </x:c>
      <x:c r="G1038" t="str" s="2">
        <x:v>Heritage Housing of Oklahoma City</x:v>
      </x:c>
      <x:c r="H1038" t="str" s="2">
        <x:v>Steve Castell</x:v>
      </x:c>
      <x:c r="I1038" s="0"/>
      <x:c r="J1038" t="str" s="2">
        <x:v>Richard Bell</x:v>
      </x:c>
      <x:c r="K1038" t="n" s="2">
        <x:v>5</x:v>
      </x:c>
      <x:c r="L1038" t="str" s="2">
        <x:v>1.1</x:v>
      </x:c>
      <x:c r="M1038" t="str" s="2">
        <x:v>Inactive</x:v>
      </x:c>
      <x:c r="N1038" t="str" s="2">
        <x:v>Deal Created</x:v>
      </x:c>
      <x:c r="O1038" s="0"/>
      <x:c r="P1038" s="6">
        <x:v>46266</x:v>
      </x:c>
      <x:c r="Q1038" s="6">
        <x:v>46266.591880405096</x:v>
      </x:c>
      <x:c r="R1038" s="0"/>
      <x:c r="S1038" s="0"/>
      <x:c r="T1038" s="0"/>
      <x:c r="U1038" s="0"/>
      <x:c r="V1038" s="0"/>
      <x:c r="W1038" s="0"/>
      <x:c r="X1038" t="str" s="2">
        <x:v>6202181916</x:v>
      </x:c>
      <x:c r="Y1038" t="str" s="2">
        <x:v>averyblythe1201@icloud.com</x:v>
      </x:c>
      <x:c r="Z1038" s="6">
        <x:v>46294.95682167824</x:v>
      </x:c>
      <x:c r="AA1038" t="str" s="2">
        <x:v>Steve Castell</x:v>
      </x:c>
      <x:c r="AB1038" s="6">
        <x:v>46266.591881712964</x:v>
      </x:c>
      <x:c r="AC1038" t="n" s="2">
        <x:v>39571</x:v>
      </x:c>
      <x:c r="AD1038" s="0"/>
      <x:c r="AE1038" s="0"/>
      <x:c r="AF1038" s="0"/>
      <x:c r="AG1038" s="0"/>
      <x:c r="AH1038" s="0"/>
      <x:c r="AI1038" s="0"/>
      <x:c r="AJ1038" s="0"/>
      <x:c r="AK1038" s="0"/>
    </x:row>
    <x:row r="1039">
      <x:c r="A1039" t="str" s="2">
        <x:f>=HYPERLINK("https://rsms.futurehomex.com/lead/39573", "Helen Booth")</x:f>
      </x:c>
      <x:c r="B1039" t="n" s="2">
        <x:v>42</x:v>
      </x:c>
      <x:c r="C1039" t="str" s="2">
        <x:v>0/1</x:v>
      </x:c>
      <x:c r="D1039" t="str" s="2">
        <x:f>="CASH"</x:f>
      </x:c>
      <x:c r="E1039" s="0"/>
      <x:c r="F1039" t="str" s="2">
        <x:v>Walk-in</x:v>
      </x:c>
      <x:c r="G1039" t="str" s="2">
        <x:v>Heritage Housing of Athens</x:v>
      </x:c>
      <x:c r="H1039" t="str" s="2">
        <x:v>Ethan Fossett</x:v>
      </x:c>
      <x:c r="I1039" s="0"/>
      <x:c r="J1039" s="0"/>
      <x:c r="K1039" t="n" s="2">
        <x:v>64</x:v>
      </x:c>
      <x:c r="L1039" t="str" s="2">
        <x:v>4.5</x:v>
      </x:c>
      <x:c r="M1039" t="str" s="2">
        <x:v>Active</x:v>
      </x:c>
      <x:c r="N1039" t="str" s="2">
        <x:v>Clear to Close</x:v>
      </x:c>
      <x:c r="O1039" s="6">
        <x:v>46326</x:v>
      </x:c>
      <x:c r="P1039" s="6">
        <x:v>46266</x:v>
      </x:c>
      <x:c r="Q1039" s="6">
        <x:v>46303.56368244213</x:v>
      </x:c>
      <x:c r="R1039" s="0"/>
      <x:c r="S1039" s="6">
        <x:v>46276</x:v>
      </x:c>
      <x:c r="T1039" s="6">
        <x:v>46276</x:v>
      </x:c>
      <x:c r="U1039" s="6">
        <x:v>46276</x:v>
      </x:c>
      <x:c r="V1039" s="6">
        <x:v>46276</x:v>
      </x:c>
      <x:c r="W1039" s="0"/>
      <x:c r="X1039" t="str" s="2">
        <x:v>7069705969</x:v>
      </x:c>
      <x:c r="Y1039" t="str" s="2">
        <x:v>chipmunk7565@gmail.com</x:v>
      </x:c>
      <x:c r="Z1039" s="6">
        <x:v>46300.8526753125</x:v>
      </x:c>
      <x:c r="AA1039" t="str" s="2">
        <x:v>Ethan Fossett</x:v>
      </x:c>
      <x:c r="AB1039" s="6">
        <x:v>46276.82809533565</x:v>
      </x:c>
      <x:c r="AC1039" t="n" s="2">
        <x:v>39573</x:v>
      </x:c>
      <x:c r="AD1039" t="str" s="2">
        <x:v>Singlewide</x:v>
      </x:c>
      <x:c r="AE1039" s="0"/>
      <x:c r="AF1039" s="0"/>
      <x:c r="AG1039" s="7">
        <x:v>40000</x:v>
      </x:c>
      <x:c r="AH1039" s="0"/>
      <x:c r="AI1039" t="str" s="2">
        <x:v>768</x:v>
      </x:c>
      <x:c r="AJ1039" s="0"/>
      <x:c r="AK1039" s="0"/>
    </x:row>
    <x:row r="1040">
      <x:c r="A1040" t="str" s="2">
        <x:f>=HYPERLINK("https://rsms.futurehomex.com/lead/39574", "Jessica Sexton")</x:f>
      </x:c>
      <x:c r="B1040" t="n" s="2">
        <x:v>42</x:v>
      </x:c>
      <x:c r="C1040" t="str" s="2">
        <x:v>1/5</x:v>
      </x:c>
      <x:c r="D1040" t="str" s="2">
        <x:f>=""</x:f>
      </x:c>
      <x:c r="E1040" s="0"/>
      <x:c r="F1040" t="str" s="2">
        <x:v>Facebook Messenger</x:v>
      </x:c>
      <x:c r="G1040" t="str" s="2">
        <x:v>Heritage Housing of Oklahoma City</x:v>
      </x:c>
      <x:c r="H1040" t="str" s="2">
        <x:v>Steve Castell</x:v>
      </x:c>
      <x:c r="I1040" s="0"/>
      <x:c r="J1040" t="str" s="2">
        <x:v>Steve Castell</x:v>
      </x:c>
      <x:c r="K1040" t="n" s="2">
        <x:v>5</x:v>
      </x:c>
      <x:c r="L1040" t="str" s="2">
        <x:v>1.1</x:v>
      </x:c>
      <x:c r="M1040" t="str" s="2">
        <x:v>Tentative</x:v>
      </x:c>
      <x:c r="N1040" t="str" s="2">
        <x:v>Deal Created</x:v>
      </x:c>
      <x:c r="O1040" s="0"/>
      <x:c r="P1040" s="6">
        <x:v>46266</x:v>
      </x:c>
      <x:c r="Q1040" s="6">
        <x:v>46266.626274421295</x:v>
      </x:c>
      <x:c r="R1040" s="0"/>
      <x:c r="S1040" s="6">
        <x:v>46269</x:v>
      </x:c>
      <x:c r="T1040" s="0"/>
      <x:c r="U1040" s="0"/>
      <x:c r="V1040" s="0"/>
      <x:c r="W1040" s="0"/>
      <x:c r="X1040" t="str" s="2">
        <x:v>9184245636</x:v>
      </x:c>
      <x:c r="Y1040" t="str" s="2">
        <x:v>Sexton.jessica320@gmail.com</x:v>
      </x:c>
      <x:c r="Z1040" s="6">
        <x:v>46296.66108741898</x:v>
      </x:c>
      <x:c r="AA1040" t="str" s="2">
        <x:v>Steve Castell</x:v>
      </x:c>
      <x:c r="AB1040" s="6">
        <x:v>46266.62627615741</x:v>
      </x:c>
      <x:c r="AC1040" t="n" s="2">
        <x:v>39574</x:v>
      </x:c>
      <x:c r="AD1040" s="0"/>
      <x:c r="AE1040" s="0"/>
      <x:c r="AF1040" s="0"/>
      <x:c r="AG1040" s="0"/>
      <x:c r="AH1040" s="0"/>
      <x:c r="AI1040" s="0"/>
      <x:c r="AJ1040" s="0"/>
      <x:c r="AK1040" s="0"/>
    </x:row>
    <x:row r="1041">
      <x:c r="A1041" t="str" s="2">
        <x:f>=HYPERLINK("https://rsms.futurehomex.com/lead/39576", "Ralph Ralph")</x:f>
      </x:c>
      <x:c r="B1041" t="n" s="2">
        <x:v>42</x:v>
      </x:c>
      <x:c r="C1041" t="str" s="2">
        <x:v>0/6</x:v>
      </x:c>
      <x:c r="D1041" t="str" s="2">
        <x:f>=""</x:f>
      </x:c>
      <x:c r="E1041" s="0"/>
      <x:c r="F1041" t="str" s="2">
        <x:v>Office Hot Calls</x:v>
      </x:c>
      <x:c r="G1041" t="str" s="2">
        <x:v>Heritage Housing of Oklahoma City</x:v>
      </x:c>
      <x:c r="H1041" t="str" s="2">
        <x:v>Alejandra Calderon</x:v>
      </x:c>
      <x:c r="I1041" t="str" s="2">
        <x:v>Karol Romero</x:v>
      </x:c>
      <x:c r="J1041" t="str" s="2">
        <x:v>Alejandra Calderon</x:v>
      </x:c>
      <x:c r="K1041" t="n" s="2">
        <x:v>5</x:v>
      </x:c>
      <x:c r="L1041" t="str" s="2">
        <x:v>1.1</x:v>
      </x:c>
      <x:c r="M1041" t="str" s="2">
        <x:v>Dead</x:v>
      </x:c>
      <x:c r="N1041" t="str" s="2">
        <x:v>Deal Created</x:v>
      </x:c>
      <x:c r="O1041" s="0"/>
      <x:c r="P1041" s="6">
        <x:v>46266</x:v>
      </x:c>
      <x:c r="Q1041" s="6">
        <x:v>46266.70281859954</x:v>
      </x:c>
      <x:c r="R1041" s="0"/>
      <x:c r="S1041" s="0"/>
      <x:c r="T1041" s="0"/>
      <x:c r="U1041" s="0"/>
      <x:c r="V1041" s="0"/>
      <x:c r="W1041" s="0"/>
      <x:c r="X1041" t="str" s="2">
        <x:v>9403571890</x:v>
      </x:c>
      <x:c r="Y1041" t="str" s="2">
        <x:v>9403571890</x:v>
      </x:c>
      <x:c r="Z1041" s="6">
        <x:v>46291.8715346875</x:v>
      </x:c>
      <x:c r="AA1041" t="str" s="2">
        <x:v>Alejandra Calderon</x:v>
      </x:c>
      <x:c r="AB1041" s="6">
        <x:v>46266.70282048611</x:v>
      </x:c>
      <x:c r="AC1041" t="n" s="2">
        <x:v>39576</x:v>
      </x:c>
      <x:c r="AD1041" s="0"/>
      <x:c r="AE1041" s="0"/>
      <x:c r="AF1041" s="0"/>
      <x:c r="AG1041" s="0"/>
      <x:c r="AH1041" s="0"/>
      <x:c r="AI1041" s="0"/>
      <x:c r="AJ1041" s="0"/>
      <x:c r="AK1041" s="0"/>
    </x:row>
    <x:row r="1042">
      <x:c r="A1042" t="str" s="2">
        <x:f>=HYPERLINK("https://rsms.futurehomex.com/lead/39577", "Joycelynn Brigham")</x:f>
      </x:c>
      <x:c r="B1042" t="n" s="2">
        <x:v>42</x:v>
      </x:c>
      <x:c r="C1042" t="str" s="2">
        <x:v/>
      </x:c>
      <x:c r="D1042" t="str" s="2">
        <x:f>=""</x:f>
      </x:c>
      <x:c r="E1042" s="0"/>
      <x:c r="F1042" t="str" s="2">
        <x:v>Bing - Search</x:v>
      </x:c>
      <x:c r="G1042" t="str" s="2">
        <x:v>Heritage Housing of Augusta</x:v>
      </x:c>
      <x:c r="H1042" t="str" s="2">
        <x:v>Faye Lively</x:v>
      </x:c>
      <x:c r="I1042" s="0"/>
      <x:c r="J1042" t="str" s="2">
        <x:v>Faye Lively</x:v>
      </x:c>
      <x:c r="K1042" t="n" s="2">
        <x:v>5</x:v>
      </x:c>
      <x:c r="L1042" t="str" s="2">
        <x:v>1.1</x:v>
      </x:c>
      <x:c r="M1042" t="str" s="2">
        <x:v>Tentative</x:v>
      </x:c>
      <x:c r="N1042" t="str" s="2">
        <x:v>Prospect</x:v>
      </x:c>
      <x:c r="O1042" s="0"/>
      <x:c r="P1042" s="6">
        <x:v>46266</x:v>
      </x:c>
      <x:c r="Q1042" s="6">
        <x:v>46280.6062965625</x:v>
      </x:c>
      <x:c r="R1042" s="0"/>
      <x:c r="S1042" s="0"/>
      <x:c r="T1042" s="0"/>
      <x:c r="U1042" s="0"/>
      <x:c r="V1042" s="0"/>
      <x:c r="W1042" s="0"/>
      <x:c r="X1042" t="str" s="2">
        <x:v>7063735559</x:v>
      </x:c>
      <x:c r="Y1042" t="str" s="2">
        <x:v>joycelynnmichelle@yahoo.com</x:v>
      </x:c>
      <x:c r="Z1042" s="6">
        <x:v>46266.70836420139</x:v>
      </x:c>
      <x:c r="AA1042" t="str" s="2">
        <x:v>Faye Lively</x:v>
      </x:c>
      <x:c r="AB1042" s="6">
        <x:v>46266.70804505787</x:v>
      </x:c>
      <x:c r="AC1042" t="n" s="2">
        <x:v>39577</x:v>
      </x:c>
      <x:c r="AD1042" s="0"/>
      <x:c r="AE1042" s="0"/>
      <x:c r="AF1042" s="0"/>
      <x:c r="AG1042" s="0"/>
      <x:c r="AH1042" s="0"/>
      <x:c r="AI1042" s="0"/>
      <x:c r="AJ1042" s="0"/>
      <x:c r="AK1042" s="0"/>
    </x:row>
    <x:row r="1043">
      <x:c r="A1043" t="str" s="2">
        <x:f>=HYPERLINK("https://rsms.futurehomex.com/lead/39578", "Jaime Neave")</x:f>
      </x:c>
      <x:c r="B1043" t="n" s="2">
        <x:v>42</x:v>
      </x:c>
      <x:c r="C1043" t="str" s="2">
        <x:v/>
      </x:c>
      <x:c r="D1043" t="str" s="2">
        <x:f>=""</x:f>
      </x:c>
      <x:c r="E1043" s="0"/>
      <x:c r="F1043" t="str" s="2">
        <x:v>TikTok</x:v>
      </x:c>
      <x:c r="G1043" t="str" s="2">
        <x:v>Heritage Housing of Greenville</x:v>
      </x:c>
      <x:c r="H1043" t="str" s="2">
        <x:v>Oscar Osorio</x:v>
      </x:c>
      <x:c r="I1043" s="0"/>
      <x:c r="J1043" t="str" s="2">
        <x:v>Oscar Osorio</x:v>
      </x:c>
      <x:c r="K1043" t="n" s="2">
        <x:v>5</x:v>
      </x:c>
      <x:c r="L1043" t="str" s="2">
        <x:v>1.1</x:v>
      </x:c>
      <x:c r="M1043" t="str" s="2">
        <x:v>Dead</x:v>
      </x:c>
      <x:c r="N1043" t="str" s="2">
        <x:v>Prospect</x:v>
      </x:c>
      <x:c r="O1043" s="0"/>
      <x:c r="P1043" s="6">
        <x:v>46266</x:v>
      </x:c>
      <x:c r="Q1043" s="6">
        <x:v>46266.71067789352</x:v>
      </x:c>
      <x:c r="R1043" s="0"/>
      <x:c r="S1043" s="6">
        <x:v>46263</x:v>
      </x:c>
      <x:c r="T1043" s="6">
        <x:v>46263</x:v>
      </x:c>
      <x:c r="U1043" s="6">
        <x:v>46263</x:v>
      </x:c>
      <x:c r="V1043" s="0"/>
      <x:c r="W1043" s="0"/>
      <x:c r="X1043" t="str" s="2">
        <x:v>4692586195</x:v>
      </x:c>
      <x:c r="Y1043" t="str" s="2">
        <x:v>Jaimeneave5e@gmail.com</x:v>
      </x:c>
      <x:c r="Z1043" s="0"/>
      <x:c r="AA1043" s="0"/>
      <x:c r="AB1043" s="6">
        <x:v>46266.710678854164</x:v>
      </x:c>
      <x:c r="AC1043" t="n" s="2">
        <x:v>39578</x:v>
      </x:c>
      <x:c r="AD1043" s="0"/>
      <x:c r="AE1043" s="0"/>
      <x:c r="AF1043" s="0"/>
      <x:c r="AG1043" s="0"/>
      <x:c r="AH1043" s="0"/>
      <x:c r="AI1043" s="0"/>
      <x:c r="AJ1043" s="0"/>
      <x:c r="AK1043" s="0"/>
    </x:row>
    <x:row r="1044">
      <x:c r="A1044" t="str" s="2">
        <x:f>=HYPERLINK("https://rsms.futurehomex.com/lead/39579", "Leann Venable")</x:f>
      </x:c>
      <x:c r="B1044" t="n" s="2">
        <x:v>42</x:v>
      </x:c>
      <x:c r="C1044" t="str" s="2">
        <x:v/>
      </x:c>
      <x:c r="D1044" t="str" s="2">
        <x:f>=""</x:f>
      </x:c>
      <x:c r="E1044" s="0"/>
      <x:c r="F1044" t="str" s="2">
        <x:v>Greenville</x:v>
      </x:c>
      <x:c r="G1044" t="str" s="2">
        <x:v>Heritage Housing of Greenville</x:v>
      </x:c>
      <x:c r="H1044" t="str" s="2">
        <x:v>Oscar Osorio</x:v>
      </x:c>
      <x:c r="I1044" s="0"/>
      <x:c r="J1044" s="0"/>
      <x:c r="K1044" t="n" s="2">
        <x:v>5</x:v>
      </x:c>
      <x:c r="L1044" t="str" s="2">
        <x:v>1.1</x:v>
      </x:c>
      <x:c r="M1044" t="str" s="2">
        <x:v>Dead</x:v>
      </x:c>
      <x:c r="N1044" t="str" s="2">
        <x:v>Prospect</x:v>
      </x:c>
      <x:c r="O1044" s="0"/>
      <x:c r="P1044" s="6">
        <x:v>46266</x:v>
      </x:c>
      <x:c r="Q1044" s="6">
        <x:v>46266.713293981484</x:v>
      </x:c>
      <x:c r="R1044" s="0"/>
      <x:c r="S1044" s="0"/>
      <x:c r="T1044" s="0"/>
      <x:c r="U1044" s="0"/>
      <x:c r="V1044" s="0"/>
      <x:c r="W1044" s="0"/>
      <x:c r="X1044" t="str" s="2">
        <x:v>8176585537</x:v>
      </x:c>
      <x:c r="Y1044" t="str" s="2">
        <x:v>leann.venable523@gmail.com</x:v>
      </x:c>
      <x:c r="Z1044" s="0"/>
      <x:c r="AA1044" s="0"/>
      <x:c r="AB1044" s="6">
        <x:v>46266.71329490741</x:v>
      </x:c>
      <x:c r="AC1044" t="n" s="2">
        <x:v>39579</x:v>
      </x:c>
      <x:c r="AD1044" s="0"/>
      <x:c r="AE1044" s="0"/>
      <x:c r="AF1044" s="0"/>
      <x:c r="AG1044" s="0"/>
      <x:c r="AH1044" s="0"/>
      <x:c r="AI1044" s="0"/>
      <x:c r="AJ1044" s="0"/>
      <x:c r="AK1044" s="0"/>
    </x:row>
    <x:row r="1045">
      <x:c r="A1045" t="str" s="2">
        <x:f>=HYPERLINK("https://rsms.futurehomex.com/lead/39581", "Oscar Sanchez")</x:f>
      </x:c>
      <x:c r="B1045" t="n" s="2">
        <x:v>42</x:v>
      </x:c>
      <x:c r="C1045" t="str" s="2">
        <x:v>0/2</x:v>
      </x:c>
      <x:c r="D1045" t="str" s="2">
        <x:f>=""</x:f>
      </x:c>
      <x:c r="E1045" s="0"/>
      <x:c r="F1045" t="str" s="2">
        <x:v>TikTok</x:v>
      </x:c>
      <x:c r="G1045" t="str" s="2">
        <x:v>Heritage Housing of Greenville</x:v>
      </x:c>
      <x:c r="H1045" t="str" s="2">
        <x:v>Oscar Osorio</x:v>
      </x:c>
      <x:c r="I1045" s="0"/>
      <x:c r="J1045" t="str" s="2">
        <x:v>Oscar Osorio</x:v>
      </x:c>
      <x:c r="K1045" t="n" s="2">
        <x:v>100</x:v>
      </x:c>
      <x:c r="L1045" t="str" s="2">
        <x:v>6.2</x:v>
      </x:c>
      <x:c r="M1045" t="str" s="2">
        <x:v>Closed</x:v>
      </x:c>
      <x:c r="N1045" t="str" s="2">
        <x:v>Delivered</x:v>
      </x:c>
      <x:c r="O1045" s="6">
        <x:v>46276</x:v>
      </x:c>
      <x:c r="P1045" s="6">
        <x:v>46266</x:v>
      </x:c>
      <x:c r="Q1045" s="6">
        <x:v>46287.8889565625</x:v>
      </x:c>
      <x:c r="R1045" s="0"/>
      <x:c r="S1045" s="6">
        <x:v>46266</x:v>
      </x:c>
      <x:c r="T1045" s="6">
        <x:v>46266</x:v>
      </x:c>
      <x:c r="U1045" s="6">
        <x:v>46273</x:v>
      </x:c>
      <x:c r="V1045" s="6">
        <x:v>46273</x:v>
      </x:c>
      <x:c r="W1045" s="6">
        <x:v>46287</x:v>
      </x:c>
      <x:c r="X1045" t="str" s="2">
        <x:v>4699718256</x:v>
      </x:c>
      <x:c r="Y1045" t="str" s="2">
        <x:v>OS394599@gmail.com</x:v>
      </x:c>
      <x:c r="Z1045" s="6">
        <x:v>46286.952249155096</x:v>
      </x:c>
      <x:c r="AA1045" t="str" s="2">
        <x:v>Sarahi Vazquez</x:v>
      </x:c>
      <x:c r="AB1045" s="6">
        <x:v>46266.73070648148</x:v>
      </x:c>
      <x:c r="AC1045" t="n" s="2">
        <x:v>39581</x:v>
      </x:c>
      <x:c r="AD1045" t="str" s="2">
        <x:v>Doublewide</x:v>
      </x:c>
      <x:c r="AE1045" t="str" s="2">
        <x:v>Legacy Housing Corporation</x:v>
      </x:c>
      <x:c r="AF1045" s="7">
        <x:v>13000</x:v>
      </x:c>
      <x:c r="AG1045" s="7">
        <x:v>11000</x:v>
      </x:c>
      <x:c r="AH1045" s="7">
        <x:v>13000</x:v>
      </x:c>
      <x:c r="AI1045" t="str" s="2">
        <x:v>780</x:v>
      </x:c>
      <x:c r="AJ1045" s="0"/>
      <x:c r="AK1045" t="str" s="6">
        <x:v>2026-09-21</x:v>
      </x:c>
    </x:row>
    <x:row r="1046">
      <x:c r="A1046" t="str" s="2">
        <x:f>=HYPERLINK("https://rsms.futurehomex.com/lead/39582", "William Tabor")</x:f>
      </x:c>
      <x:c r="B1046" t="n" s="2">
        <x:v>42</x:v>
      </x:c>
      <x:c r="C1046" t="str" s="2">
        <x:v/>
      </x:c>
      <x:c r="D1046" t="str" s="2">
        <x:f>=""</x:f>
      </x:c>
      <x:c r="E1046" s="0"/>
      <x:c r="F1046" t="str" s="2">
        <x:v>Website</x:v>
      </x:c>
      <x:c r="G1046" t="str" s="2">
        <x:v>Heritage Housing of Athens</x:v>
      </x:c>
      <x:c r="H1046" t="str" s="2">
        <x:v>Nathan Bishop</x:v>
      </x:c>
      <x:c r="I1046" s="0"/>
      <x:c r="J1046" t="str" s="2">
        <x:v>Nathan Bishop</x:v>
      </x:c>
      <x:c r="K1046" t="n" s="2">
        <x:v>5</x:v>
      </x:c>
      <x:c r="L1046" t="str" s="2">
        <x:v>1.1</x:v>
      </x:c>
      <x:c r="M1046" t="str" s="2">
        <x:v>Tentative</x:v>
      </x:c>
      <x:c r="N1046" t="str" s="2">
        <x:v>Prospect</x:v>
      </x:c>
      <x:c r="O1046" s="0"/>
      <x:c r="P1046" s="6">
        <x:v>46266</x:v>
      </x:c>
      <x:c r="Q1046" s="6">
        <x:v>46266.74612847222</x:v>
      </x:c>
      <x:c r="R1046" s="0"/>
      <x:c r="S1046" s="0"/>
      <x:c r="T1046" s="0"/>
      <x:c r="U1046" s="0"/>
      <x:c r="V1046" s="0"/>
      <x:c r="W1046" s="0"/>
      <x:c r="X1046" t="str" s="2">
        <x:v>7622170483</x:v>
      </x:c>
      <x:c r="Y1046" t="str" s="2">
        <x:v>williamtabor316@gmail.com</x:v>
      </x:c>
      <x:c r="Z1046" s="0"/>
      <x:c r="AA1046" s="0"/>
      <x:c r="AB1046" s="6">
        <x:v>46266.746128969906</x:v>
      </x:c>
      <x:c r="AC1046" t="n" s="2">
        <x:v>39582</x:v>
      </x:c>
      <x:c r="AD1046" s="0"/>
      <x:c r="AE1046" s="0"/>
      <x:c r="AF1046" s="0"/>
      <x:c r="AG1046" s="0"/>
      <x:c r="AH1046" s="0"/>
      <x:c r="AI1046" s="0"/>
      <x:c r="AJ1046" s="0"/>
      <x:c r="AK1046" s="0"/>
    </x:row>
    <x:row r="1047">
      <x:c r="A1047" t="str" s="2">
        <x:f>=HYPERLINK("https://rsms.futurehomex.com/lead/39583", "Julie Hendrix")</x:f>
      </x:c>
      <x:c r="B1047" t="n" s="2">
        <x:v>42</x:v>
      </x:c>
      <x:c r="C1047" t="str" s="2">
        <x:v>0/5</x:v>
      </x:c>
      <x:c r="D1047" t="str" s="2">
        <x:f>=""</x:f>
      </x:c>
      <x:c r="E1047" s="0"/>
      <x:c r="F1047" t="str" s="2">
        <x:v>Landing_BPM</x:v>
      </x:c>
      <x:c r="G1047" t="str" s="2">
        <x:v>Heritage Housing of Oklahoma City</x:v>
      </x:c>
      <x:c r="H1047" t="str" s="2">
        <x:v>Alejandra Calderon</x:v>
      </x:c>
      <x:c r="I1047" s="0"/>
      <x:c r="J1047" t="str" s="2">
        <x:v>Alejandra Calderon</x:v>
      </x:c>
      <x:c r="K1047" t="n" s="2">
        <x:v>5</x:v>
      </x:c>
      <x:c r="L1047" t="str" s="2">
        <x:v>1.1</x:v>
      </x:c>
      <x:c r="M1047" t="str" s="2">
        <x:v>Dead</x:v>
      </x:c>
      <x:c r="N1047" t="str" s="2">
        <x:v>Deal Created</x:v>
      </x:c>
      <x:c r="O1047" s="0"/>
      <x:c r="P1047" s="6">
        <x:v>46266</x:v>
      </x:c>
      <x:c r="Q1047" s="6">
        <x:v>46266.761594131945</x:v>
      </x:c>
      <x:c r="R1047" s="0"/>
      <x:c r="S1047" s="0"/>
      <x:c r="T1047" s="0"/>
      <x:c r="U1047" s="0"/>
      <x:c r="V1047" s="0"/>
      <x:c r="W1047" s="0"/>
      <x:c r="X1047" t="str" s="2">
        <x:v>4052743450</x:v>
      </x:c>
      <x:c r="Y1047" t="str" s="2">
        <x:v>msjules150@gmail.com</x:v>
      </x:c>
      <x:c r="Z1047" s="6">
        <x:v>46274.63167789352</x:v>
      </x:c>
      <x:c r="AA1047" t="str" s="2">
        <x:v>Alejandra Calderon</x:v>
      </x:c>
      <x:c r="AB1047" s="6">
        <x:v>46266.76126990741</x:v>
      </x:c>
      <x:c r="AC1047" t="n" s="2">
        <x:v>39583</x:v>
      </x:c>
      <x:c r="AD1047" s="0"/>
      <x:c r="AE1047" s="0"/>
      <x:c r="AF1047" s="0"/>
      <x:c r="AG1047" s="0"/>
      <x:c r="AH1047" s="0"/>
      <x:c r="AI1047" s="0"/>
      <x:c r="AJ1047" s="0"/>
      <x:c r="AK1047" s="0"/>
    </x:row>
    <x:row r="1048">
      <x:c r="A1048" t="str" s="2">
        <x:f>=HYPERLINK("https://rsms.futurehomex.com/lead/39584", "Yesly Ortega")</x:f>
      </x:c>
      <x:c r="B1048" t="n" s="2">
        <x:v>42</x:v>
      </x:c>
      <x:c r="C1048" t="str" s="2">
        <x:v>2/6</x:v>
      </x:c>
      <x:c r="D1048" t="str" s="2">
        <x:f>=""</x:f>
      </x:c>
      <x:c r="E1048" s="0"/>
      <x:c r="F1048" t="str" s="2">
        <x:v>Landing_BPM</x:v>
      </x:c>
      <x:c r="G1048" t="str" s="2">
        <x:v>Heritage Housing of Oklahoma City</x:v>
      </x:c>
      <x:c r="H1048" t="str" s="2">
        <x:v>Alejandra Calderon</x:v>
      </x:c>
      <x:c r="I1048" s="0"/>
      <x:c r="J1048" t="str" s="2">
        <x:v>Steve Castell</x:v>
      </x:c>
      <x:c r="K1048" t="n" s="2">
        <x:v>5</x:v>
      </x:c>
      <x:c r="L1048" t="str" s="2">
        <x:v>1.1</x:v>
      </x:c>
      <x:c r="M1048" t="str" s="2">
        <x:v>Tentative</x:v>
      </x:c>
      <x:c r="N1048" t="str" s="2">
        <x:v>Deal Created</x:v>
      </x:c>
      <x:c r="O1048" s="0"/>
      <x:c r="P1048" s="6">
        <x:v>46266</x:v>
      </x:c>
      <x:c r="Q1048" s="6">
        <x:v>46287.74375767361</x:v>
      </x:c>
      <x:c r="R1048" t="str" s="2">
        <x:v>Steve Castell</x:v>
      </x:c>
      <x:c r="S1048" s="0"/>
      <x:c r="T1048" s="0"/>
      <x:c r="U1048" s="0"/>
      <x:c r="V1048" s="0"/>
      <x:c r="W1048" s="0"/>
      <x:c r="X1048" t="str" s="2">
        <x:v>4054389307</x:v>
      </x:c>
      <x:c r="Y1048" t="str" s="2">
        <x:v>yesly.ortega44@gmail.com</x:v>
      </x:c>
      <x:c r="Z1048" s="6">
        <x:v>46296.71456030093</x:v>
      </x:c>
      <x:c r="AA1048" t="str" s="2">
        <x:v>Alejandra Calderon</x:v>
      </x:c>
      <x:c r="AB1048" s="6">
        <x:v>46287.63843850695</x:v>
      </x:c>
      <x:c r="AC1048" t="n" s="2">
        <x:v>39584</x:v>
      </x:c>
      <x:c r="AD1048" s="0"/>
      <x:c r="AE1048" s="0"/>
      <x:c r="AF1048" s="0"/>
      <x:c r="AG1048" s="0"/>
      <x:c r="AH1048" s="0"/>
      <x:c r="AI1048" t="str" s="2">
        <x:v>593</x:v>
      </x:c>
      <x:c r="AJ1048" s="0"/>
      <x:c r="AK1048" s="0"/>
    </x:row>
    <x:row r="1049">
      <x:c r="A1049" t="str" s="2">
        <x:f>=HYPERLINK("https://rsms.futurehomex.com/lead/39588", "Justin Cearley")</x:f>
      </x:c>
      <x:c r="B1049" t="n" s="2">
        <x:v>42</x:v>
      </x:c>
      <x:c r="C1049" t="str" s="2">
        <x:v>0/3</x:v>
      </x:c>
      <x:c r="D1049" t="str" s="2">
        <x:f>=""</x:f>
      </x:c>
      <x:c r="E1049" s="0"/>
      <x:c r="F1049" t="str" s="2">
        <x:v>Facebook Messenger</x:v>
      </x:c>
      <x:c r="G1049" t="str" s="2">
        <x:v>Heritage Housing of Oklahoma City</x:v>
      </x:c>
      <x:c r="H1049" t="str" s="2">
        <x:v>Steve Castell</x:v>
      </x:c>
      <x:c r="I1049" s="0"/>
      <x:c r="J1049" t="str" s="2">
        <x:v>Steve Castell</x:v>
      </x:c>
      <x:c r="K1049" t="n" s="2">
        <x:v>5</x:v>
      </x:c>
      <x:c r="L1049" t="str" s="2">
        <x:v>1.1</x:v>
      </x:c>
      <x:c r="M1049" t="str" s="2">
        <x:v>Inactive</x:v>
      </x:c>
      <x:c r="N1049" t="str" s="2">
        <x:v>Deal Created</x:v>
      </x:c>
      <x:c r="O1049" s="0"/>
      <x:c r="P1049" s="6">
        <x:v>46266</x:v>
      </x:c>
      <x:c r="Q1049" s="6">
        <x:v>46269.87899846065</x:v>
      </x:c>
      <x:c r="R1049" t="str" s="2">
        <x:v>Trey Rixleben</x:v>
      </x:c>
      <x:c r="S1049" s="6">
        <x:v>46269</x:v>
      </x:c>
      <x:c r="T1049" s="0"/>
      <x:c r="U1049" s="0"/>
      <x:c r="V1049" s="0"/>
      <x:c r="W1049" s="0"/>
      <x:c r="X1049" t="str" s="2">
        <x:v>9182403392</x:v>
      </x:c>
      <x:c r="Y1049" t="str" s="2">
        <x:v>earthworksbyjustin@gmail.com</x:v>
      </x:c>
      <x:c r="Z1049" s="6">
        <x:v>46293.77540795139</x:v>
      </x:c>
      <x:c r="AA1049" t="str" s="2">
        <x:v>Steve Castell</x:v>
      </x:c>
      <x:c r="AB1049" s="6">
        <x:v>46266.79730061343</x:v>
      </x:c>
      <x:c r="AC1049" t="n" s="2">
        <x:v>39588</x:v>
      </x:c>
      <x:c r="AD1049" s="0"/>
      <x:c r="AE1049" s="0"/>
      <x:c r="AF1049" s="0"/>
      <x:c r="AG1049" s="7">
        <x:v>10000</x:v>
      </x:c>
      <x:c r="AH1049" s="0"/>
      <x:c r="AI1049" s="0"/>
      <x:c r="AJ1049" s="0"/>
      <x:c r="AK1049" s="0"/>
    </x:row>
    <x:row r="1050">
      <x:c r="A1050" t="str" s="2">
        <x:f>=HYPERLINK("https://rsms.futurehomex.com/lead/39589", "Matthew Brittain")</x:f>
      </x:c>
      <x:c r="B1050" t="n" s="2">
        <x:v>42</x:v>
      </x:c>
      <x:c r="C1050" t="str" s="2">
        <x:v>0/13</x:v>
      </x:c>
      <x:c r="D1050" t="str" s="2">
        <x:f>=""</x:f>
      </x:c>
      <x:c r="E1050" s="0"/>
      <x:c r="F1050" t="str" s="2">
        <x:v>Facebook Messenger</x:v>
      </x:c>
      <x:c r="G1050" t="str" s="2">
        <x:v>Heritage Housing of Oklahoma City</x:v>
      </x:c>
      <x:c r="H1050" t="str" s="2">
        <x:v>Steve Castell</x:v>
      </x:c>
      <x:c r="I1050" s="0"/>
      <x:c r="J1050" t="str" s="2">
        <x:v>Steve Castell</x:v>
      </x:c>
      <x:c r="K1050" t="n" s="2">
        <x:v>40</x:v>
      </x:c>
      <x:c r="L1050" t="str" s="2">
        <x:v>3.3</x:v>
      </x:c>
      <x:c r="M1050" t="str" s="2">
        <x:v>Active</x:v>
      </x:c>
      <x:c r="N1050" t="str" s="2">
        <x:v>Application</x:v>
      </x:c>
      <x:c r="O1050" s="0"/>
      <x:c r="P1050" s="6">
        <x:v>46266</x:v>
      </x:c>
      <x:c r="Q1050" s="6">
        <x:v>46307.9564753125</x:v>
      </x:c>
      <x:c r="R1050" t="str" s="2">
        <x:v>Trey Rixleben</x:v>
      </x:c>
      <x:c r="S1050" s="6">
        <x:v>46284</x:v>
      </x:c>
      <x:c r="T1050" s="6">
        <x:v>46290</x:v>
      </x:c>
      <x:c r="U1050" s="6">
        <x:v>46290</x:v>
      </x:c>
      <x:c r="V1050" s="0"/>
      <x:c r="W1050" s="0"/>
      <x:c r="X1050" t="str" s="2">
        <x:v>5807013479</x:v>
      </x:c>
      <x:c r="Y1050" t="str" s="2">
        <x:v>3brittain2019@gmail.com</x:v>
      </x:c>
      <x:c r="Z1050" s="6">
        <x:v>46308.66855408565</x:v>
      </x:c>
      <x:c r="AA1050" t="str" s="2">
        <x:v>Steve Castell</x:v>
      </x:c>
      <x:c r="AB1050" s="6">
        <x:v>46266.803597604165</x:v>
      </x:c>
      <x:c r="AC1050" t="n" s="2">
        <x:v>39589</x:v>
      </x:c>
      <x:c r="AD1050" t="str" s="2">
        <x:v>Singlewide</x:v>
      </x:c>
      <x:c r="AE1050" t="str" s="2">
        <x:v>Legacy Housing Corporation</x:v>
      </x:c>
      <x:c r="AF1050" s="7">
        <x:v>16960</x:v>
      </x:c>
      <x:c r="AG1050" s="7">
        <x:v>11300</x:v>
      </x:c>
      <x:c r="AH1050" s="0"/>
      <x:c r="AI1050" t="str" s="2">
        <x:v>605</x:v>
      </x:c>
      <x:c r="AJ1050" s="0"/>
      <x:c r="AK1050" s="0"/>
    </x:row>
    <x:row r="1051">
      <x:c r="A1051" t="str" s="2">
        <x:f>=HYPERLINK("https://rsms.futurehomex.com/lead/39590", "Justine Toland")</x:f>
      </x:c>
      <x:c r="B1051" t="n" s="2">
        <x:v>42</x:v>
      </x:c>
      <x:c r="C1051" t="str" s="2">
        <x:v/>
      </x:c>
      <x:c r="D1051" t="str" s="2">
        <x:f>=""</x:f>
      </x:c>
      <x:c r="E1051" s="0"/>
      <x:c r="F1051" t="str" s="2">
        <x:v>Facebook Messenger</x:v>
      </x:c>
      <x:c r="G1051" t="str" s="2">
        <x:v>Heritage Housing of Canton</x:v>
      </x:c>
      <x:c r="H1051" t="str" s="2">
        <x:v>Adriana Jaimes-Martinez</x:v>
      </x:c>
      <x:c r="I1051" s="0"/>
      <x:c r="J1051" s="0"/>
      <x:c r="K1051" t="n" s="2">
        <x:v>38</x:v>
      </x:c>
      <x:c r="L1051" t="str" s="2">
        <x:v>3.2</x:v>
      </x:c>
      <x:c r="M1051" t="str" s="2">
        <x:v>Dead</x:v>
      </x:c>
      <x:c r="N1051" t="str" s="2">
        <x:v>Application</x:v>
      </x:c>
      <x:c r="O1051" s="6">
        <x:v>46348</x:v>
      </x:c>
      <x:c r="P1051" s="6">
        <x:v>46266</x:v>
      </x:c>
      <x:c r="Q1051" s="6">
        <x:v>46266.82308908565</x:v>
      </x:c>
      <x:c r="R1051" s="0"/>
      <x:c r="S1051" s="6">
        <x:v>46265</x:v>
      </x:c>
      <x:c r="T1051" s="6">
        <x:v>46265</x:v>
      </x:c>
      <x:c r="U1051" s="6">
        <x:v>46266</x:v>
      </x:c>
      <x:c r="V1051" s="0"/>
      <x:c r="W1051" s="0"/>
      <x:c r="X1051" t="str" s="2">
        <x:v>4694016799</x:v>
      </x:c>
      <x:c r="Y1051" t="str" s="2">
        <x:v>ctoland05@gmail.com</x:v>
      </x:c>
      <x:c r="Z1051" s="6">
        <x:v>46266.82274054398</x:v>
      </x:c>
      <x:c r="AA1051" t="str" s="2">
        <x:v>Melanie Auclair</x:v>
      </x:c>
      <x:c r="AB1051" s="6">
        <x:v>46266.80433425926</x:v>
      </x:c>
      <x:c r="AC1051" t="n" s="2">
        <x:v>39590</x:v>
      </x:c>
      <x:c r="AD1051" t="str" s="2">
        <x:v>Doublewide</x:v>
      </x:c>
      <x:c r="AE1051" t="str" s="2">
        <x:v>21st Mortgage Corporation</x:v>
      </x:c>
      <x:c r="AF1051" s="7">
        <x:v>78000</x:v>
      </x:c>
      <x:c r="AG1051" s="7">
        <x:v>27000</x:v>
      </x:c>
      <x:c r="AH1051" s="0"/>
      <x:c r="AI1051" s="0"/>
      <x:c r="AJ1051" s="0"/>
      <x:c r="AK1051" s="0"/>
    </x:row>
    <x:row r="1052">
      <x:c r="A1052" t="str" s="2">
        <x:f>=HYPERLINK("https://rsms.futurehomex.com/lead/39591", "Kayla Richard")</x:f>
      </x:c>
      <x:c r="B1052" t="n" s="2">
        <x:v>42</x:v>
      </x:c>
      <x:c r="C1052" t="str" s="2">
        <x:v>1/6</x:v>
      </x:c>
      <x:c r="D1052" t="str" s="2">
        <x:f>=""</x:f>
      </x:c>
      <x:c r="E1052" s="0"/>
      <x:c r="F1052" t="str" s="2">
        <x:v>Youtube</x:v>
      </x:c>
      <x:c r="G1052" t="str" s="2">
        <x:v>Heritage Housing of Jennings</x:v>
      </x:c>
      <x:c r="H1052" t="str" s="2">
        <x:v>Clint O'Neal</x:v>
      </x:c>
      <x:c r="I1052" s="0"/>
      <x:c r="J1052" t="str" s="2">
        <x:v>Clint O'Neal</x:v>
      </x:c>
      <x:c r="K1052" t="n" s="2">
        <x:v>5</x:v>
      </x:c>
      <x:c r="L1052" t="str" s="2">
        <x:v>1.1</x:v>
      </x:c>
      <x:c r="M1052" t="str" s="2">
        <x:v>Tentative</x:v>
      </x:c>
      <x:c r="N1052" t="str" s="2">
        <x:v>Deal Created</x:v>
      </x:c>
      <x:c r="O1052" s="0"/>
      <x:c r="P1052" s="6">
        <x:v>46266</x:v>
      </x:c>
      <x:c r="Q1052" s="6">
        <x:v>46266.85489841435</x:v>
      </x:c>
      <x:c r="R1052" s="0"/>
      <x:c r="S1052" s="0"/>
      <x:c r="T1052" s="0"/>
      <x:c r="U1052" s="0"/>
      <x:c r="V1052" s="0"/>
      <x:c r="W1052" s="0"/>
      <x:c r="X1052" t="str" s="2">
        <x:v>3373702245</x:v>
      </x:c>
      <x:c r="Y1052" t="str" s="2">
        <x:v>cowank676@gmail.com</x:v>
      </x:c>
      <x:c r="Z1052" s="6">
        <x:v>46301.68138209491</x:v>
      </x:c>
      <x:c r="AA1052" t="str" s="2">
        <x:v>Clint O'Neal</x:v>
      </x:c>
      <x:c r="AB1052" s="6">
        <x:v>46266.85489899306</x:v>
      </x:c>
      <x:c r="AC1052" t="n" s="2">
        <x:v>39591</x:v>
      </x:c>
      <x:c r="AD1052" s="0"/>
      <x:c r="AE1052" s="0"/>
      <x:c r="AF1052" s="0"/>
      <x:c r="AG1052" s="0"/>
      <x:c r="AH1052" s="0"/>
      <x:c r="AI1052" s="0"/>
      <x:c r="AJ1052" s="0"/>
      <x:c r="AK1052" s="0"/>
    </x:row>
    <x:row r="1053">
      <x:c r="A1053" t="str" s="2">
        <x:f>=HYPERLINK("https://rsms.futurehomex.com/lead/39592", "Tony Anthony")</x:f>
      </x:c>
      <x:c r="B1053" t="n" s="2">
        <x:v>42</x:v>
      </x:c>
      <x:c r="C1053" t="str" s="2">
        <x:v/>
      </x:c>
      <x:c r="D1053" t="str" s="2">
        <x:f>=""</x:f>
      </x:c>
      <x:c r="E1053" s="0"/>
      <x:c r="F1053" t="str" s="2">
        <x:v>Landing_BPM</x:v>
      </x:c>
      <x:c r="G1053" t="str" s="2">
        <x:v>Heritage Housing Mt Pleasant</x:v>
      </x:c>
      <x:c r="H1053" t="str" s="2">
        <x:v>Yarelis Torres</x:v>
      </x:c>
      <x:c r="I1053" s="0"/>
      <x:c r="J1053" t="str" s="2">
        <x:v>Yarelis Torres</x:v>
      </x:c>
      <x:c r="K1053" t="n" s="2">
        <x:v>5</x:v>
      </x:c>
      <x:c r="L1053" t="str" s="2">
        <x:v>1.1</x:v>
      </x:c>
      <x:c r="M1053" t="str" s="2">
        <x:v>Tentative</x:v>
      </x:c>
      <x:c r="N1053" t="str" s="2">
        <x:v>Prospect</x:v>
      </x:c>
      <x:c r="O1053" s="0"/>
      <x:c r="P1053" s="6">
        <x:v>46266</x:v>
      </x:c>
      <x:c r="Q1053" s="6">
        <x:v>46294.71672542824</x:v>
      </x:c>
      <x:c r="R1053" s="0"/>
      <x:c r="S1053" s="0"/>
      <x:c r="T1053" s="0"/>
      <x:c r="U1053" s="0"/>
      <x:c r="V1053" s="0"/>
      <x:c r="W1053" s="0"/>
      <x:c r="X1053" t="str" s="2">
        <x:v>4799739159</x:v>
      </x:c>
      <x:c r="Y1053" t="str" s="2">
        <x:v>hogs14@gmail.com</x:v>
      </x:c>
      <x:c r="Z1053" s="6">
        <x:v>46283.885913391205</x:v>
      </x:c>
      <x:c r="AA1053" t="str" s="2">
        <x:v>Yarelis Torres</x:v>
      </x:c>
      <x:c r="AB1053" s="6">
        <x:v>46266.8754337963</x:v>
      </x:c>
      <x:c r="AC1053" t="n" s="2">
        <x:v>39592</x:v>
      </x:c>
      <x:c r="AD1053" s="0"/>
      <x:c r="AE1053" s="0"/>
      <x:c r="AF1053" s="0"/>
      <x:c r="AG1053" s="0"/>
      <x:c r="AH1053" s="0"/>
      <x:c r="AI1053" s="0"/>
      <x:c r="AJ1053" s="0"/>
      <x:c r="AK1053" s="0"/>
    </x:row>
    <x:row r="1054">
      <x:c r="A1054" t="str" s="2">
        <x:f>=HYPERLINK("https://rsms.futurehomex.com/lead/39593", "Ethan Perkins")</x:f>
      </x:c>
      <x:c r="B1054" t="n" s="2">
        <x:v>42</x:v>
      </x:c>
      <x:c r="C1054" t="str" s="2">
        <x:v>0/1</x:v>
      </x:c>
      <x:c r="D1054" t="str" s="2">
        <x:f>=""</x:f>
      </x:c>
      <x:c r="E1054" s="0"/>
      <x:c r="F1054" t="str" s="2">
        <x:v>Walk-in</x:v>
      </x:c>
      <x:c r="G1054" t="str" s="2">
        <x:v>Heritage Housing of Minden</x:v>
      </x:c>
      <x:c r="H1054" t="str" s="2">
        <x:v>Patrick Schuchart</x:v>
      </x:c>
      <x:c r="I1054" t="str" s="2">
        <x:v>Karol Romero</x:v>
      </x:c>
      <x:c r="J1054" s="0"/>
      <x:c r="K1054" t="n" s="2">
        <x:v>5</x:v>
      </x:c>
      <x:c r="L1054" t="str" s="2">
        <x:v>1.1</x:v>
      </x:c>
      <x:c r="M1054" t="str" s="2">
        <x:v>Tentative</x:v>
      </x:c>
      <x:c r="N1054" t="str" s="2">
        <x:v>Prospect</x:v>
      </x:c>
      <x:c r="O1054" s="0"/>
      <x:c r="P1054" s="6">
        <x:v>46266</x:v>
      </x:c>
      <x:c r="Q1054" s="6">
        <x:v>46282.91999876157</x:v>
      </x:c>
      <x:c r="R1054" s="0"/>
      <x:c r="S1054" s="0"/>
      <x:c r="T1054" s="0"/>
      <x:c r="U1054" s="0"/>
      <x:c r="V1054" s="0"/>
      <x:c r="W1054" s="0"/>
      <x:c r="X1054" t="str" s="2">
        <x:v>3186397590</x:v>
      </x:c>
      <x:c r="Y1054" t="str" s="2">
        <x:v>3186397590</x:v>
      </x:c>
      <x:c r="Z1054" s="6">
        <x:v>46295.85344614583</x:v>
      </x:c>
      <x:c r="AA1054" t="str" s="2">
        <x:v>Kyla Brown</x:v>
      </x:c>
      <x:c r="AB1054" s="6">
        <x:v>46266.897939780094</x:v>
      </x:c>
      <x:c r="AC1054" t="n" s="2">
        <x:v>39593</x:v>
      </x:c>
      <x:c r="AD1054" s="0"/>
      <x:c r="AE1054" s="0"/>
      <x:c r="AF1054" s="0"/>
      <x:c r="AG1054" s="0"/>
      <x:c r="AH1054" s="0"/>
      <x:c r="AI1054" s="0"/>
      <x:c r="AJ1054" s="0"/>
      <x:c r="AK1054" s="0"/>
    </x:row>
    <x:row r="1055">
      <x:c r="A1055" t="str" s="2">
        <x:f>=HYPERLINK("https://rsms.futurehomex.com/lead/39594", "Josh Lee")</x:f>
      </x:c>
      <x:c r="B1055" t="n" s="2">
        <x:v>42</x:v>
      </x:c>
      <x:c r="C1055" t="str" s="2">
        <x:v>0/1</x:v>
      </x:c>
      <x:c r="D1055" t="str" s="2">
        <x:f>=""</x:f>
      </x:c>
      <x:c r="E1055" s="0"/>
      <x:c r="F1055" t="str" s="2">
        <x:v>Walk-in</x:v>
      </x:c>
      <x:c r="G1055" t="str" s="2">
        <x:v>Heritage Housing of Minden</x:v>
      </x:c>
      <x:c r="H1055" t="str" s="2">
        <x:v>Patrick Schuchart</x:v>
      </x:c>
      <x:c r="I1055" t="str" s="2">
        <x:v>Karol Romero</x:v>
      </x:c>
      <x:c r="J1055" t="str" s="2">
        <x:v>Patrick Schuchart</x:v>
      </x:c>
      <x:c r="K1055" t="n" s="2">
        <x:v>5</x:v>
      </x:c>
      <x:c r="L1055" t="str" s="2">
        <x:v>1.1</x:v>
      </x:c>
      <x:c r="M1055" t="str" s="2">
        <x:v>Tentative</x:v>
      </x:c>
      <x:c r="N1055" t="str" s="2">
        <x:v>Deal Created</x:v>
      </x:c>
      <x:c r="O1055" s="0"/>
      <x:c r="P1055" s="6">
        <x:v>46266</x:v>
      </x:c>
      <x:c r="Q1055" s="6">
        <x:v>46267.91264568287</x:v>
      </x:c>
      <x:c r="R1055" t="str" s="2">
        <x:v>Patrick Schuchart</x:v>
      </x:c>
      <x:c r="S1055" s="0"/>
      <x:c r="T1055" s="0"/>
      <x:c r="U1055" s="0"/>
      <x:c r="V1055" s="0"/>
      <x:c r="W1055" s="0"/>
      <x:c r="X1055" t="str" s="2">
        <x:v>3184971926</x:v>
      </x:c>
      <x:c r="Y1055" t="str" s="2">
        <x:v>3184971926</x:v>
      </x:c>
      <x:c r="Z1055" s="6">
        <x:v>46295.85397357639</x:v>
      </x:c>
      <x:c r="AA1055" t="str" s="2">
        <x:v>Kyla Brown</x:v>
      </x:c>
      <x:c r="AB1055" s="6">
        <x:v>46266.90349834491</x:v>
      </x:c>
      <x:c r="AC1055" t="n" s="2">
        <x:v>39594</x:v>
      </x:c>
      <x:c r="AD1055" s="0"/>
      <x:c r="AE1055" s="0"/>
      <x:c r="AF1055" s="0"/>
      <x:c r="AG1055" s="0"/>
      <x:c r="AH1055" s="0"/>
      <x:c r="AI1055" s="0"/>
      <x:c r="AJ1055" s="0"/>
      <x:c r="AK1055" s="0"/>
    </x:row>
    <x:row r="1056">
      <x:c r="A1056" t="str" s="2">
        <x:f>=HYPERLINK("https://rsms.futurehomex.com/lead/39595", "Brandon Wood")</x:f>
      </x:c>
      <x:c r="B1056" t="n" s="2">
        <x:v>42</x:v>
      </x:c>
      <x:c r="C1056" t="str" s="2">
        <x:v/>
      </x:c>
      <x:c r="D1056" t="str" s="2">
        <x:f>=""</x:f>
      </x:c>
      <x:c r="E1056" s="0"/>
      <x:c r="F1056" t="str" s="2">
        <x:v>Walk-in</x:v>
      </x:c>
      <x:c r="G1056" t="str" s="2">
        <x:v>Heritage Housing of Augusta</x:v>
      </x:c>
      <x:c r="H1056" t="str" s="2">
        <x:v>Jennifer Johnson</x:v>
      </x:c>
      <x:c r="I1056" t="str" s="2">
        <x:v>Karol Romero</x:v>
      </x:c>
      <x:c r="J1056" t="str" s="2">
        <x:v>Jennifer Johnson</x:v>
      </x:c>
      <x:c r="K1056" t="n" s="2">
        <x:v>59</x:v>
      </x:c>
      <x:c r="L1056" t="str" s="2">
        <x:v>4.3</x:v>
      </x:c>
      <x:c r="M1056" t="str" s="2">
        <x:v>Tentative</x:v>
      </x:c>
      <x:c r="N1056" t="str" s="2">
        <x:v>Loan Approved</x:v>
      </x:c>
      <x:c r="O1056" s="0"/>
      <x:c r="P1056" s="6">
        <x:v>46266</x:v>
      </x:c>
      <x:c r="Q1056" s="6">
        <x:v>46280.87640674769</x:v>
      </x:c>
      <x:c r="R1056" t="str" s="2">
        <x:v>Jennifer Johnson</x:v>
      </x:c>
      <x:c r="S1056" s="6">
        <x:v>46266</x:v>
      </x:c>
      <x:c r="T1056" s="6">
        <x:v>46266</x:v>
      </x:c>
      <x:c r="U1056" s="6">
        <x:v>46270</x:v>
      </x:c>
      <x:c r="V1056" s="0"/>
      <x:c r="W1056" s="0"/>
      <x:c r="X1056" t="str" s="2">
        <x:v>8035080873</x:v>
      </x:c>
      <x:c r="Y1056" t="str" s="2">
        <x:v>brandon219126@gmail.com</x:v>
      </x:c>
      <x:c r="Z1056" s="6">
        <x:v>46280.877089664355</x:v>
      </x:c>
      <x:c r="AA1056" t="str" s="2">
        <x:v>Faye Lively</x:v>
      </x:c>
      <x:c r="AB1056" s="6">
        <x:v>46295.5364537037</x:v>
      </x:c>
      <x:c r="AC1056" t="n" s="2">
        <x:v>39595</x:v>
      </x:c>
      <x:c r="AD1056" t="str" s="2">
        <x:v>Singlewide</x:v>
      </x:c>
      <x:c r="AE1056" s="0"/>
      <x:c r="AF1056" s="0"/>
      <x:c r="AG1056" s="7">
        <x:v>3000</x:v>
      </x:c>
      <x:c r="AH1056" s="0"/>
      <x:c r="AI1056" t="str" s="2">
        <x:v>462</x:v>
      </x:c>
      <x:c r="AJ1056" s="0"/>
      <x:c r="AK1056" s="0"/>
    </x:row>
    <x:row r="1057">
      <x:c r="A1057" t="str" s="2">
        <x:f>=HYPERLINK("https://rsms.futurehomex.com/lead/39596", "Martin Heinrich")</x:f>
      </x:c>
      <x:c r="B1057" t="n" s="2">
        <x:v>41</x:v>
      </x:c>
      <x:c r="C1057" t="str" s="2">
        <x:v>1/2</x:v>
      </x:c>
      <x:c r="D1057" t="str" s="2">
        <x:f>=""</x:f>
      </x:c>
      <x:c r="E1057" s="0"/>
      <x:c r="F1057" t="str" s="2">
        <x:v>Website</x:v>
      </x:c>
      <x:c r="G1057" t="str" s="2">
        <x:v>Heritage Housing of Oklahoma City</x:v>
      </x:c>
      <x:c r="H1057" t="str" s="2">
        <x:v>Steve Castell</x:v>
      </x:c>
      <x:c r="I1057" s="0"/>
      <x:c r="J1057" t="str" s="2">
        <x:v>Steve Castell</x:v>
      </x:c>
      <x:c r="K1057" t="n" s="2">
        <x:v>5</x:v>
      </x:c>
      <x:c r="L1057" t="str" s="2">
        <x:v>1.1</x:v>
      </x:c>
      <x:c r="M1057" t="str" s="2">
        <x:v>Tentative</x:v>
      </x:c>
      <x:c r="N1057" t="str" s="2">
        <x:v>Deal Created</x:v>
      </x:c>
      <x:c r="O1057" s="0"/>
      <x:c r="P1057" s="6">
        <x:v>46267</x:v>
      </x:c>
      <x:c r="Q1057" s="6">
        <x:v>46267.0227122338</x:v>
      </x:c>
      <x:c r="R1057" s="0"/>
      <x:c r="S1057" s="0"/>
      <x:c r="T1057" s="0"/>
      <x:c r="U1057" s="0"/>
      <x:c r="V1057" s="0"/>
      <x:c r="W1057" s="0"/>
      <x:c r="X1057" t="str" s="2">
        <x:v>4052402808</x:v>
      </x:c>
      <x:c r="Y1057" t="str" s="2">
        <x:v>mtheinrich1965@gmail.com</x:v>
      </x:c>
      <x:c r="Z1057" s="6">
        <x:v>46273.569981168985</x:v>
      </x:c>
      <x:c r="AA1057" t="str" s="2">
        <x:v>Steve Castell</x:v>
      </x:c>
      <x:c r="AB1057" s="6">
        <x:v>46267.022712847225</x:v>
      </x:c>
      <x:c r="AC1057" t="n" s="2">
        <x:v>39596</x:v>
      </x:c>
      <x:c r="AD1057" s="0"/>
      <x:c r="AE1057" s="0"/>
      <x:c r="AF1057" s="0"/>
      <x:c r="AG1057" s="0"/>
      <x:c r="AH1057" s="0"/>
      <x:c r="AI1057" s="0"/>
      <x:c r="AJ1057" s="0"/>
      <x:c r="AK1057" s="0"/>
    </x:row>
    <x:row r="1058">
      <x:c r="A1058" t="str" s="2">
        <x:f>=HYPERLINK("https://rsms.futurehomex.com/lead/39597", "LaCinda Reneau")</x:f>
      </x:c>
      <x:c r="B1058" t="n" s="2">
        <x:v>41</x:v>
      </x:c>
      <x:c r="C1058" t="str" s="2">
        <x:v/>
      </x:c>
      <x:c r="D1058" t="str" s="2">
        <x:f>=""</x:f>
      </x:c>
      <x:c r="E1058" s="0"/>
      <x:c r="F1058" t="str" s="2">
        <x:v>Meta Ads - Forms</x:v>
      </x:c>
      <x:c r="G1058" t="str" s="2">
        <x:v>Heritage Housing of Oklahoma City</x:v>
      </x:c>
      <x:c r="H1058" t="str" s="2">
        <x:v>Steve Castell</x:v>
      </x:c>
      <x:c r="I1058" s="0"/>
      <x:c r="J1058" t="str" s="2">
        <x:v>Steve Castell</x:v>
      </x:c>
      <x:c r="K1058" t="n" s="2">
        <x:v>5</x:v>
      </x:c>
      <x:c r="L1058" t="str" s="2">
        <x:v>1.1</x:v>
      </x:c>
      <x:c r="M1058" t="str" s="2">
        <x:v>Dead</x:v>
      </x:c>
      <x:c r="N1058" t="str" s="2">
        <x:v>Deal Created</x:v>
      </x:c>
      <x:c r="O1058" s="0"/>
      <x:c r="P1058" s="6">
        <x:v>46267</x:v>
      </x:c>
      <x:c r="Q1058" s="6">
        <x:v>46267.03245416666</x:v>
      </x:c>
      <x:c r="R1058" s="0"/>
      <x:c r="S1058" s="0"/>
      <x:c r="T1058" s="0"/>
      <x:c r="U1058" s="0"/>
      <x:c r="V1058" s="0"/>
      <x:c r="W1058" s="0"/>
      <x:c r="X1058" t="str" s="2">
        <x:v>6208422984</x:v>
      </x:c>
      <x:c r="Y1058" t="str" s="2">
        <x:v>Lacindareneau1971@gmail.com</x:v>
      </x:c>
      <x:c r="Z1058" s="6">
        <x:v>46267.033206168984</x:v>
      </x:c>
      <x:c r="AA1058" t="str" s="2">
        <x:v>Steve Castell</x:v>
      </x:c>
      <x:c r="AB1058" s="6">
        <x:v>46267.032455127315</x:v>
      </x:c>
      <x:c r="AC1058" t="n" s="2">
        <x:v>39597</x:v>
      </x:c>
      <x:c r="AD1058" s="0"/>
      <x:c r="AE1058" s="0"/>
      <x:c r="AF1058" s="0"/>
      <x:c r="AG1058" s="0"/>
      <x:c r="AH1058" s="0"/>
      <x:c r="AI1058" s="0"/>
      <x:c r="AJ1058" s="0"/>
      <x:c r="AK1058" s="0"/>
    </x:row>
    <x:row r="1059">
      <x:c r="A1059" t="str" s="2">
        <x:f>=HYPERLINK("https://rsms.futurehomex.com/lead/39598", "Robert Landers")</x:f>
      </x:c>
      <x:c r="B1059" t="n" s="2">
        <x:v>41</x:v>
      </x:c>
      <x:c r="C1059" t="str" s="2">
        <x:v/>
      </x:c>
      <x:c r="D1059" t="str" s="2">
        <x:f>=""</x:f>
      </x:c>
      <x:c r="E1059" s="0"/>
      <x:c r="F1059" t="str" s="2">
        <x:v>Landing_BPM</x:v>
      </x:c>
      <x:c r="G1059" t="str" s="2">
        <x:v>Heritage Housing of Oklahoma City</x:v>
      </x:c>
      <x:c r="H1059" t="str" s="2">
        <x:v>Steve Castell</x:v>
      </x:c>
      <x:c r="I1059" s="0"/>
      <x:c r="J1059" t="str" s="2">
        <x:v>Steve Castell</x:v>
      </x:c>
      <x:c r="K1059" t="n" s="2">
        <x:v>5</x:v>
      </x:c>
      <x:c r="L1059" t="str" s="2">
        <x:v>1.1</x:v>
      </x:c>
      <x:c r="M1059" t="str" s="2">
        <x:v>Dead</x:v>
      </x:c>
      <x:c r="N1059" t="str" s="2">
        <x:v>Deal Created</x:v>
      </x:c>
      <x:c r="O1059" s="0"/>
      <x:c r="P1059" s="6">
        <x:v>46267</x:v>
      </x:c>
      <x:c r="Q1059" s="6">
        <x:v>46267.034747453705</x:v>
      </x:c>
      <x:c r="R1059" s="0"/>
      <x:c r="S1059" s="0"/>
      <x:c r="T1059" s="0"/>
      <x:c r="U1059" s="0"/>
      <x:c r="V1059" s="0"/>
      <x:c r="W1059" s="0"/>
      <x:c r="X1059" t="str" s="2">
        <x:v>4055782056</x:v>
      </x:c>
      <x:c r="Y1059" t="str" s="2">
        <x:v>landersrobert808@gmail.com</x:v>
      </x:c>
      <x:c r="Z1059" s="6">
        <x:v>46267.03497743056</x:v>
      </x:c>
      <x:c r="AA1059" t="str" s="2">
        <x:v>Steve Castell</x:v>
      </x:c>
      <x:c r="AB1059" s="6">
        <x:v>46267.03361767361</x:v>
      </x:c>
      <x:c r="AC1059" t="n" s="2">
        <x:v>39598</x:v>
      </x:c>
      <x:c r="AD1059" s="0"/>
      <x:c r="AE1059" s="0"/>
      <x:c r="AF1059" s="0"/>
      <x:c r="AG1059" s="0"/>
      <x:c r="AH1059" s="0"/>
      <x:c r="AI1059" s="0"/>
      <x:c r="AJ1059" s="0"/>
      <x:c r="AK1059" s="0"/>
    </x:row>
    <x:row r="1060">
      <x:c r="A1060" t="str" s="2">
        <x:f>=HYPERLINK("https://rsms.futurehomex.com/lead/39599", "kaitlyn harding")</x:f>
      </x:c>
      <x:c r="B1060" t="n" s="2">
        <x:v>41</x:v>
      </x:c>
      <x:c r="C1060" t="str" s="2">
        <x:v/>
      </x:c>
      <x:c r="D1060" t="str" s="2">
        <x:f>=""</x:f>
      </x:c>
      <x:c r="E1060" s="0"/>
      <x:c r="F1060" t="str" s="2">
        <x:v>Landing_BPM</x:v>
      </x:c>
      <x:c r="G1060" t="str" s="2">
        <x:v>Heritage Housing of Oklahoma City</x:v>
      </x:c>
      <x:c r="H1060" t="str" s="2">
        <x:v>Steve Castell</x:v>
      </x:c>
      <x:c r="I1060" s="0"/>
      <x:c r="J1060" t="str" s="2">
        <x:v>Steve Castell</x:v>
      </x:c>
      <x:c r="K1060" t="n" s="2">
        <x:v>5</x:v>
      </x:c>
      <x:c r="L1060" t="str" s="2">
        <x:v>1.1</x:v>
      </x:c>
      <x:c r="M1060" t="str" s="2">
        <x:v>Dead</x:v>
      </x:c>
      <x:c r="N1060" t="str" s="2">
        <x:v>Deal Created</x:v>
      </x:c>
      <x:c r="O1060" s="0"/>
      <x:c r="P1060" s="6">
        <x:v>46267</x:v>
      </x:c>
      <x:c r="Q1060" s="6">
        <x:v>46267.03529209491</x:v>
      </x:c>
      <x:c r="R1060" s="0"/>
      <x:c r="S1060" s="0"/>
      <x:c r="T1060" s="0"/>
      <x:c r="U1060" s="0"/>
      <x:c r="V1060" s="0"/>
      <x:c r="W1060" s="0"/>
      <x:c r="X1060" t="str" s="2">
        <x:v>5722768930</x:v>
      </x:c>
      <x:c r="Y1060" t="str" s="2">
        <x:v>hardingkaitlyn59@gmail.com</x:v>
      </x:c>
      <x:c r="Z1060" s="6">
        <x:v>46267.03574614583</x:v>
      </x:c>
      <x:c r="AA1060" t="str" s="2">
        <x:v>Steve Castell</x:v>
      </x:c>
      <x:c r="AB1060" s="6">
        <x:v>46267.03529259259</x:v>
      </x:c>
      <x:c r="AC1060" t="n" s="2">
        <x:v>39599</x:v>
      </x:c>
      <x:c r="AD1060" s="0"/>
      <x:c r="AE1060" s="0"/>
      <x:c r="AF1060" s="0"/>
      <x:c r="AG1060" s="0"/>
      <x:c r="AH1060" s="0"/>
      <x:c r="AI1060" s="0"/>
      <x:c r="AJ1060" s="0"/>
      <x:c r="AK1060" s="0"/>
    </x:row>
    <x:row r="1061">
      <x:c r="A1061" t="str" s="2">
        <x:f>=HYPERLINK("https://rsms.futurehomex.com/lead/39601", "Jeremy Mills")</x:f>
      </x:c>
      <x:c r="B1061" t="n" s="2">
        <x:v>41</x:v>
      </x:c>
      <x:c r="C1061" t="str" s="2">
        <x:v>0/1</x:v>
      </x:c>
      <x:c r="D1061" t="str" s="2">
        <x:f>=""</x:f>
      </x:c>
      <x:c r="E1061" s="0"/>
      <x:c r="F1061" t="str" s="2">
        <x:v>Facebook Messenger</x:v>
      </x:c>
      <x:c r="G1061" t="str" s="2">
        <x:v>Heritage Housing of Oklahoma City</x:v>
      </x:c>
      <x:c r="H1061" t="str" s="2">
        <x:v>Steve Castell</x:v>
      </x:c>
      <x:c r="I1061" s="0"/>
      <x:c r="J1061" t="str" s="2">
        <x:v>Steve Castell</x:v>
      </x:c>
      <x:c r="K1061" t="n" s="2">
        <x:v>5</x:v>
      </x:c>
      <x:c r="L1061" t="str" s="2">
        <x:v>1.1</x:v>
      </x:c>
      <x:c r="M1061" t="str" s="2">
        <x:v>Inactive</x:v>
      </x:c>
      <x:c r="N1061" t="str" s="2">
        <x:v>Deal Created</x:v>
      </x:c>
      <x:c r="O1061" s="0"/>
      <x:c r="P1061" s="6">
        <x:v>46267</x:v>
      </x:c>
      <x:c r="Q1061" s="6">
        <x:v>46267.05763846065</x:v>
      </x:c>
      <x:c r="R1061" s="0"/>
      <x:c r="S1061" s="0"/>
      <x:c r="T1061" s="0"/>
      <x:c r="U1061" s="0"/>
      <x:c r="V1061" s="0"/>
      <x:c r="W1061" s="0"/>
      <x:c r="X1061" t="str" s="2">
        <x:v>5392933911</x:v>
      </x:c>
      <x:c r="Y1061" t="str" s="2">
        <x:v>5392933911</x:v>
      </x:c>
      <x:c r="Z1061" s="6">
        <x:v>46270.64172133102</x:v>
      </x:c>
      <x:c r="AA1061" t="str" s="2">
        <x:v>Steve Castell</x:v>
      </x:c>
      <x:c r="AB1061" s="6">
        <x:v>46267.057639004626</x:v>
      </x:c>
      <x:c r="AC1061" t="n" s="2">
        <x:v>39601</x:v>
      </x:c>
      <x:c r="AD1061" s="0"/>
      <x:c r="AE1061" s="0"/>
      <x:c r="AF1061" s="0"/>
      <x:c r="AG1061" s="0"/>
      <x:c r="AH1061" s="0"/>
      <x:c r="AI1061" s="0"/>
      <x:c r="AJ1061" s="0"/>
      <x:c r="AK1061" s="0"/>
    </x:row>
    <x:row r="1062">
      <x:c r="A1062" t="str" s="2">
        <x:f>=HYPERLINK("https://rsms.futurehomex.com/lead/39602", "Axel Benoit")</x:f>
      </x:c>
      <x:c r="B1062" t="n" s="2">
        <x:v>41</x:v>
      </x:c>
      <x:c r="C1062" t="str" s="2">
        <x:v>0/1</x:v>
      </x:c>
      <x:c r="D1062" t="str" s="2">
        <x:f>=""</x:f>
      </x:c>
      <x:c r="E1062" s="0"/>
      <x:c r="F1062" t="str" s="2">
        <x:v>Facebook Messenger</x:v>
      </x:c>
      <x:c r="G1062" t="str" s="2">
        <x:v>Heritage Housing of Oklahoma City</x:v>
      </x:c>
      <x:c r="H1062" t="str" s="2">
        <x:v>Steve Castell</x:v>
      </x:c>
      <x:c r="I1062" s="0"/>
      <x:c r="J1062" t="str" s="2">
        <x:v>Steve Castell</x:v>
      </x:c>
      <x:c r="K1062" t="n" s="2">
        <x:v>5</x:v>
      </x:c>
      <x:c r="L1062" t="str" s="2">
        <x:v>1.1</x:v>
      </x:c>
      <x:c r="M1062" t="str" s="2">
        <x:v>Dead</x:v>
      </x:c>
      <x:c r="N1062" t="str" s="2">
        <x:v>Deal Created</x:v>
      </x:c>
      <x:c r="O1062" s="0"/>
      <x:c r="P1062" s="6">
        <x:v>46267</x:v>
      </x:c>
      <x:c r="Q1062" s="6">
        <x:v>46267.05945451389</x:v>
      </x:c>
      <x:c r="R1062" s="0"/>
      <x:c r="S1062" s="0"/>
      <x:c r="T1062" s="0"/>
      <x:c r="U1062" s="0"/>
      <x:c r="V1062" s="0"/>
      <x:c r="W1062" s="0"/>
      <x:c r="X1062" t="str" s="2">
        <x:v>9188429512</x:v>
      </x:c>
      <x:c r="Y1062" t="str" s="2">
        <x:v>9188429512</x:v>
      </x:c>
      <x:c r="Z1062" s="6">
        <x:v>46268.0786690625</x:v>
      </x:c>
      <x:c r="AA1062" t="str" s="2">
        <x:v>Steve Castell</x:v>
      </x:c>
      <x:c r="AB1062" s="6">
        <x:v>46267.05945505787</x:v>
      </x:c>
      <x:c r="AC1062" t="n" s="2">
        <x:v>39602</x:v>
      </x:c>
      <x:c r="AD1062" s="0"/>
      <x:c r="AE1062" s="0"/>
      <x:c r="AF1062" s="0"/>
      <x:c r="AG1062" s="0"/>
      <x:c r="AH1062" s="0"/>
      <x:c r="AI1062" s="0"/>
      <x:c r="AJ1062" s="0"/>
      <x:c r="AK1062" s="0"/>
    </x:row>
    <x:row r="1063">
      <x:c r="A1063" t="str" s="2">
        <x:f>=HYPERLINK("https://rsms.futurehomex.com/lead/39603", "Nicole Bettenourt")</x:f>
      </x:c>
      <x:c r="B1063" t="n" s="2">
        <x:v>41</x:v>
      </x:c>
      <x:c r="C1063" t="str" s="2">
        <x:v>0/1</x:v>
      </x:c>
      <x:c r="D1063" t="str" s="2">
        <x:f>=""</x:f>
      </x:c>
      <x:c r="E1063" s="0"/>
      <x:c r="F1063" t="str" s="2">
        <x:v>Facebook Messenger</x:v>
      </x:c>
      <x:c r="G1063" t="str" s="2">
        <x:v>Heritage Housing of Oklahoma City</x:v>
      </x:c>
      <x:c r="H1063" t="str" s="2">
        <x:v>Steve Castell</x:v>
      </x:c>
      <x:c r="I1063" s="0"/>
      <x:c r="J1063" t="str" s="2">
        <x:v>Steve Castell</x:v>
      </x:c>
      <x:c r="K1063" t="n" s="2">
        <x:v>5</x:v>
      </x:c>
      <x:c r="L1063" t="str" s="2">
        <x:v>1.1</x:v>
      </x:c>
      <x:c r="M1063" t="str" s="2">
        <x:v>Dead</x:v>
      </x:c>
      <x:c r="N1063" t="str" s="2">
        <x:v>Deal Created</x:v>
      </x:c>
      <x:c r="O1063" s="0"/>
      <x:c r="P1063" s="6">
        <x:v>46267</x:v>
      </x:c>
      <x:c r="Q1063" s="6">
        <x:v>46267.06179814815</x:v>
      </x:c>
      <x:c r="R1063" s="0"/>
      <x:c r="S1063" s="0"/>
      <x:c r="T1063" s="0"/>
      <x:c r="U1063" s="0"/>
      <x:c r="V1063" s="0"/>
      <x:c r="W1063" s="0"/>
      <x:c r="X1063" t="str" s="2">
        <x:v>2543029254</x:v>
      </x:c>
      <x:c r="Y1063" t="str" s="2">
        <x:v>2543029254</x:v>
      </x:c>
      <x:c r="Z1063" s="6">
        <x:v>46269.87406577546</x:v>
      </x:c>
      <x:c r="AA1063" t="str" s="2">
        <x:v>Richard Bell</x:v>
      </x:c>
      <x:c r="AB1063" s="6">
        <x:v>46267.06179869213</x:v>
      </x:c>
      <x:c r="AC1063" t="n" s="2">
        <x:v>39603</x:v>
      </x:c>
      <x:c r="AD1063" s="0"/>
      <x:c r="AE1063" s="0"/>
      <x:c r="AF1063" s="0"/>
      <x:c r="AG1063" s="0"/>
      <x:c r="AH1063" s="0"/>
      <x:c r="AI1063" s="0"/>
      <x:c r="AJ1063" s="0"/>
      <x:c r="AK1063" s="0"/>
    </x:row>
    <x:row r="1064">
      <x:c r="A1064" t="str" s="2">
        <x:f>=HYPERLINK("https://rsms.futurehomex.com/lead/39604", "Lonny M Leblanc")</x:f>
      </x:c>
      <x:c r="B1064" t="n" s="2">
        <x:v>41</x:v>
      </x:c>
      <x:c r="C1064" t="str" s="2">
        <x:v>0/2</x:v>
      </x:c>
      <x:c r="D1064" t="str" s="2">
        <x:f>=""</x:f>
      </x:c>
      <x:c r="E1064" s="0"/>
      <x:c r="F1064" t="str" s="2">
        <x:v>Walk-in</x:v>
      </x:c>
      <x:c r="G1064" t="str" s="2">
        <x:v>Heritage Housing of Jennings</x:v>
      </x:c>
      <x:c r="H1064" t="str" s="2">
        <x:v>Mervin Leslie Smith</x:v>
      </x:c>
      <x:c r="I1064" t="str" s="2">
        <x:v>Karol Romero</x:v>
      </x:c>
      <x:c r="J1064" s="0"/>
      <x:c r="K1064" t="n" s="2">
        <x:v>38</x:v>
      </x:c>
      <x:c r="L1064" t="str" s="2">
        <x:v>3.2</x:v>
      </x:c>
      <x:c r="M1064" t="str" s="2">
        <x:v>Dead</x:v>
      </x:c>
      <x:c r="N1064" t="str" s="2">
        <x:v>Application</x:v>
      </x:c>
      <x:c r="O1064" s="0"/>
      <x:c r="P1064" s="6">
        <x:v>46267</x:v>
      </x:c>
      <x:c r="Q1064" s="6">
        <x:v>46267.853158645834</x:v>
      </x:c>
      <x:c r="R1064" s="0"/>
      <x:c r="S1064" s="6">
        <x:v>46267</x:v>
      </x:c>
      <x:c r="T1064" s="6">
        <x:v>46267</x:v>
      </x:c>
      <x:c r="U1064" s="0"/>
      <x:c r="V1064" s="0"/>
      <x:c r="W1064" s="0"/>
      <x:c r="X1064" t="str" s="2">
        <x:v>3372030431</x:v>
      </x:c>
      <x:c r="Y1064" t="str" s="2">
        <x:v>lml@nogmail.com</x:v>
      </x:c>
      <x:c r="Z1064" s="6">
        <x:v>46281.55070732639</x:v>
      </x:c>
      <x:c r="AA1064" t="str" s="2">
        <x:v>Mervin Leslie Smith</x:v>
      </x:c>
      <x:c r="AB1064" s="6">
        <x:v>46267.5842165162</x:v>
      </x:c>
      <x:c r="AC1064" t="n" s="2">
        <x:v>39604</x:v>
      </x:c>
      <x:c r="AD1064" t="str" s="2">
        <x:v>Singlewide</x:v>
      </x:c>
      <x:c r="AE1064" t="str" s="2">
        <x:v>Legacy Housing Corporation</x:v>
      </x:c>
      <x:c r="AF1064" s="7">
        <x:v>6488</x:v>
      </x:c>
      <x:c r="AG1064" s="7">
        <x:v>6488</x:v>
      </x:c>
      <x:c r="AH1064" s="0"/>
      <x:c r="AI1064" t="str" s="2">
        <x:v>574</x:v>
      </x:c>
      <x:c r="AJ1064" s="0"/>
      <x:c r="AK1064" s="0"/>
    </x:row>
    <x:row r="1065">
      <x:c r="A1065" t="str" s="2">
        <x:f>=HYPERLINK("https://rsms.futurehomex.com/lead/39605", "chandon ray")</x:f>
      </x:c>
      <x:c r="B1065" t="n" s="2">
        <x:v>41</x:v>
      </x:c>
      <x:c r="C1065" t="str" s="2">
        <x:v>0/1</x:v>
      </x:c>
      <x:c r="D1065" t="str" s="2">
        <x:f>=""</x:f>
      </x:c>
      <x:c r="E1065" s="0"/>
      <x:c r="F1065" t="str" s="2">
        <x:v>Website</x:v>
      </x:c>
      <x:c r="G1065" t="str" s="2">
        <x:v>Heritage Housing of Oklahoma City</x:v>
      </x:c>
      <x:c r="H1065" t="str" s="2">
        <x:v>Trey Rixleben</x:v>
      </x:c>
      <x:c r="I1065" s="0"/>
      <x:c r="J1065" s="0"/>
      <x:c r="K1065" t="n" s="2">
        <x:v>5</x:v>
      </x:c>
      <x:c r="L1065" t="str" s="2">
        <x:v>1.1</x:v>
      </x:c>
      <x:c r="M1065" t="str" s="2">
        <x:v>Dead</x:v>
      </x:c>
      <x:c r="N1065" t="str" s="2">
        <x:v>Deal Created</x:v>
      </x:c>
      <x:c r="O1065" s="0"/>
      <x:c r="P1065" s="6">
        <x:v>46267</x:v>
      </x:c>
      <x:c r="Q1065" s="6">
        <x:v>46290.9310565625</x:v>
      </x:c>
      <x:c r="R1065" s="0"/>
      <x:c r="S1065" s="0"/>
      <x:c r="T1065" s="0"/>
      <x:c r="U1065" s="0"/>
      <x:c r="V1065" s="0"/>
      <x:c r="W1065" s="0"/>
      <x:c r="X1065" t="str" s="2">
        <x:v>5803097973</x:v>
      </x:c>
      <x:c r="Y1065" t="str" s="2">
        <x:v>chandonray35@gmail.com</x:v>
      </x:c>
      <x:c r="Z1065" s="6">
        <x:v>46296.96296655093</x:v>
      </x:c>
      <x:c r="AA1065" t="str" s="2">
        <x:v>Richard Bell</x:v>
      </x:c>
      <x:c r="AB1065" s="6">
        <x:v>46267.598806979164</x:v>
      </x:c>
      <x:c r="AC1065" t="n" s="2">
        <x:v>39605</x:v>
      </x:c>
      <x:c r="AD1065" s="0"/>
      <x:c r="AE1065" s="0"/>
      <x:c r="AF1065" s="0"/>
      <x:c r="AG1065" s="0"/>
      <x:c r="AH1065" s="0"/>
      <x:c r="AI1065" s="0"/>
      <x:c r="AJ1065" s="0"/>
      <x:c r="AK1065" s="0"/>
    </x:row>
    <x:row r="1066">
      <x:c r="A1066" t="str" s="2">
        <x:f>=HYPERLINK("https://rsms.futurehomex.com/lead/39606", "Hilda Foster")</x:f>
      </x:c>
      <x:c r="B1066" t="n" s="2">
        <x:v>41</x:v>
      </x:c>
      <x:c r="C1066" t="str" s="2">
        <x:v>0/1</x:v>
      </x:c>
      <x:c r="D1066" t="str" s="2">
        <x:f>=""</x:f>
      </x:c>
      <x:c r="E1066" s="0"/>
      <x:c r="F1066" t="str" s="2">
        <x:v>Meta Ads - Traffic</x:v>
      </x:c>
      <x:c r="G1066" t="str" s="2">
        <x:v>Heritage Housing of Athens</x:v>
      </x:c>
      <x:c r="H1066" t="str" s="2">
        <x:v>Nathan Bishop</x:v>
      </x:c>
      <x:c r="I1066" s="0"/>
      <x:c r="J1066" s="0"/>
      <x:c r="K1066" t="n" s="2">
        <x:v>5</x:v>
      </x:c>
      <x:c r="L1066" t="str" s="2">
        <x:v>1.1</x:v>
      </x:c>
      <x:c r="M1066" t="str" s="2">
        <x:v>Dead</x:v>
      </x:c>
      <x:c r="N1066" t="str" s="2">
        <x:v>Prospect</x:v>
      </x:c>
      <x:c r="O1066" s="0"/>
      <x:c r="P1066" s="6">
        <x:v>46267</x:v>
      </x:c>
      <x:c r="Q1066" s="6">
        <x:v>46267.607726539354</x:v>
      </x:c>
      <x:c r="R1066" s="0"/>
      <x:c r="S1066" s="0"/>
      <x:c r="T1066" s="0"/>
      <x:c r="U1066" s="0"/>
      <x:c r="V1066" s="0"/>
      <x:c r="W1066" s="0"/>
      <x:c r="X1066" t="str" s="2">
        <x:v>4044372039</x:v>
      </x:c>
      <x:c r="Y1066" t="str" s="2">
        <x:v>hildasfoster@gmail.com</x:v>
      </x:c>
      <x:c r="Z1066" s="6">
        <x:v>46279.7045818287</x:v>
      </x:c>
      <x:c r="AA1066" t="str" s="2">
        <x:v>Nathan Bishop</x:v>
      </x:c>
      <x:c r="AB1066" s="6">
        <x:v>46267.607727546296</x:v>
      </x:c>
      <x:c r="AC1066" t="n" s="2">
        <x:v>39606</x:v>
      </x:c>
      <x:c r="AD1066" s="0"/>
      <x:c r="AE1066" s="0"/>
      <x:c r="AF1066" s="0"/>
      <x:c r="AG1066" s="0"/>
      <x:c r="AH1066" s="0"/>
      <x:c r="AI1066" s="0"/>
      <x:c r="AJ1066" s="0"/>
      <x:c r="AK1066" s="0"/>
    </x:row>
    <x:row r="1067">
      <x:c r="A1067" t="str" s="2">
        <x:f>=HYPERLINK("https://rsms.futurehomex.com/lead/39607", "Illiana Haury")</x:f>
      </x:c>
      <x:c r="B1067" t="n" s="2">
        <x:v>41</x:v>
      </x:c>
      <x:c r="C1067" t="str" s="2">
        <x:v>1/3</x:v>
      </x:c>
      <x:c r="D1067" t="str" s="2">
        <x:f>=""</x:f>
      </x:c>
      <x:c r="E1067" s="0"/>
      <x:c r="F1067" t="str" s="2">
        <x:v>Landing_BPM</x:v>
      </x:c>
      <x:c r="G1067" t="str" s="2">
        <x:v>Heritage Housing of Oklahoma City</x:v>
      </x:c>
      <x:c r="H1067" t="str" s="2">
        <x:v>Trey Rixleben</x:v>
      </x:c>
      <x:c r="I1067" s="0"/>
      <x:c r="J1067" s="0"/>
      <x:c r="K1067" t="n" s="2">
        <x:v>5</x:v>
      </x:c>
      <x:c r="L1067" t="str" s="2">
        <x:v>1.1</x:v>
      </x:c>
      <x:c r="M1067" t="str" s="2">
        <x:v>Tentative</x:v>
      </x:c>
      <x:c r="N1067" t="str" s="2">
        <x:v>Deal Created</x:v>
      </x:c>
      <x:c r="O1067" s="0"/>
      <x:c r="P1067" s="6">
        <x:v>46267</x:v>
      </x:c>
      <x:c r="Q1067" s="6">
        <x:v>46296.82953121528</x:v>
      </x:c>
      <x:c r="R1067" s="0"/>
      <x:c r="S1067" s="0"/>
      <x:c r="T1067" s="0"/>
      <x:c r="U1067" s="0"/>
      <x:c r="V1067" s="0"/>
      <x:c r="W1067" s="0"/>
      <x:c r="X1067" t="str" s="2">
        <x:v>4058620877</x:v>
      </x:c>
      <x:c r="Y1067" t="str" s="2">
        <x:v>ihaury04@gmail.com</x:v>
      </x:c>
      <x:c r="Z1067" s="6">
        <x:v>46296.83563001158</x:v>
      </x:c>
      <x:c r="AA1067" t="str" s="2">
        <x:v>Trey Rixleben</x:v>
      </x:c>
      <x:c r="AB1067" s="6">
        <x:v>46267.61304467593</x:v>
      </x:c>
      <x:c r="AC1067" t="n" s="2">
        <x:v>39607</x:v>
      </x:c>
      <x:c r="AD1067" s="0"/>
      <x:c r="AE1067" s="0"/>
      <x:c r="AF1067" s="0"/>
      <x:c r="AG1067" s="0"/>
      <x:c r="AH1067" s="0"/>
      <x:c r="AI1067" s="0"/>
      <x:c r="AJ1067" s="0"/>
      <x:c r="AK1067" s="0"/>
    </x:row>
    <x:row r="1068">
      <x:c r="A1068" t="str" s="2">
        <x:f>=HYPERLINK("https://rsms.futurehomex.com/lead/39608", "treyce wojciechowski")</x:f>
      </x:c>
      <x:c r="B1068" t="n" s="2">
        <x:v>41</x:v>
      </x:c>
      <x:c r="C1068" t="str" s="2">
        <x:v>0/2</x:v>
      </x:c>
      <x:c r="D1068" t="str" s="2">
        <x:f>=""</x:f>
      </x:c>
      <x:c r="E1068" s="0"/>
      <x:c r="F1068" t="str" s="2">
        <x:v>LandingPage</x:v>
      </x:c>
      <x:c r="G1068" t="str" s="2">
        <x:v>Heritage Housing of Oklahoma City</x:v>
      </x:c>
      <x:c r="H1068" t="str" s="2">
        <x:v>Alejandra Calderon</x:v>
      </x:c>
      <x:c r="I1068" s="0"/>
      <x:c r="J1068" t="str" s="2">
        <x:v>Alejandra Calderon</x:v>
      </x:c>
      <x:c r="K1068" t="n" s="2">
        <x:v>5</x:v>
      </x:c>
      <x:c r="L1068" t="str" s="2">
        <x:v>1.1</x:v>
      </x:c>
      <x:c r="M1068" t="str" s="2">
        <x:v>Dead</x:v>
      </x:c>
      <x:c r="N1068" t="str" s="2">
        <x:v>Deal Created</x:v>
      </x:c>
      <x:c r="O1068" s="0"/>
      <x:c r="P1068" s="6">
        <x:v>46267</x:v>
      </x:c>
      <x:c r="Q1068" s="6">
        <x:v>46267.624719479165</x:v>
      </x:c>
      <x:c r="R1068" s="0"/>
      <x:c r="S1068" s="0"/>
      <x:c r="T1068" s="0"/>
      <x:c r="U1068" s="0"/>
      <x:c r="V1068" s="0"/>
      <x:c r="W1068" s="0"/>
      <x:c r="X1068" t="str" s="2">
        <x:v>7279672347</x:v>
      </x:c>
      <x:c r="Y1068" t="str" s="2">
        <x:v>boothtrey26@gmail.com</x:v>
      </x:c>
      <x:c r="Z1068" s="6">
        <x:v>46273.995222488425</x:v>
      </x:c>
      <x:c r="AA1068" t="str" s="2">
        <x:v>Alejandra Calderon</x:v>
      </x:c>
      <x:c r="AB1068" s="6">
        <x:v>46267.62440462963</x:v>
      </x:c>
      <x:c r="AC1068" t="n" s="2">
        <x:v>39608</x:v>
      </x:c>
      <x:c r="AD1068" s="0"/>
      <x:c r="AE1068" s="0"/>
      <x:c r="AF1068" s="0"/>
      <x:c r="AG1068" s="0"/>
      <x:c r="AH1068" s="0"/>
      <x:c r="AI1068" s="0"/>
      <x:c r="AJ1068" s="0"/>
      <x:c r="AK1068" s="0"/>
    </x:row>
    <x:row r="1069">
      <x:c r="A1069" t="str" s="2">
        <x:f>=HYPERLINK("https://rsms.futurehomex.com/lead/39609", "Nathan Rothenbeck")</x:f>
      </x:c>
      <x:c r="B1069" t="n" s="2">
        <x:v>41</x:v>
      </x:c>
      <x:c r="C1069" t="str" s="2">
        <x:v>1/1</x:v>
      </x:c>
      <x:c r="D1069" t="str" s="2">
        <x:f>=""</x:f>
      </x:c>
      <x:c r="E1069" t="str" s="2">
        <x:v>David Apperson</x:v>
      </x:c>
      <x:c r="F1069" t="str" s="2">
        <x:v>Facebook Messenger</x:v>
      </x:c>
      <x:c r="G1069" t="str" s="2">
        <x:v>Heritage Housing of Oklahoma City</x:v>
      </x:c>
      <x:c r="H1069" t="str" s="2">
        <x:v>Trey Rixleben</x:v>
      </x:c>
      <x:c r="I1069" t="str" s="2">
        <x:v>Karol Romero</x:v>
      </x:c>
      <x:c r="J1069" t="str" s="2">
        <x:v>Trey Rixleben</x:v>
      </x:c>
      <x:c r="K1069" t="n" s="2">
        <x:v>5</x:v>
      </x:c>
      <x:c r="L1069" t="str" s="2">
        <x:v>1.1</x:v>
      </x:c>
      <x:c r="M1069" t="str" s="2">
        <x:v>Tentative</x:v>
      </x:c>
      <x:c r="N1069" t="str" s="2">
        <x:v>Deal Created</x:v>
      </x:c>
      <x:c r="O1069" s="0"/>
      <x:c r="P1069" s="6">
        <x:v>46267</x:v>
      </x:c>
      <x:c r="Q1069" s="6">
        <x:v>46267.657387037034</x:v>
      </x:c>
      <x:c r="R1069" s="0"/>
      <x:c r="S1069" s="0"/>
      <x:c r="T1069" s="0"/>
      <x:c r="U1069" s="0"/>
      <x:c r="V1069" s="0"/>
      <x:c r="W1069" s="0"/>
      <x:c r="X1069" t="str" s="2">
        <x:v>4172417101</x:v>
      </x:c>
      <x:c r="Y1069" t="str" s="2">
        <x:v>ravenrothenbeck@gmail.com</x:v>
      </x:c>
      <x:c r="Z1069" s="6">
        <x:v>46267.692754710646</x:v>
      </x:c>
      <x:c r="AA1069" t="str" s="2">
        <x:v>Trey Rixleben</x:v>
      </x:c>
      <x:c r="AB1069" s="6">
        <x:v>46267.63398561343</x:v>
      </x:c>
      <x:c r="AC1069" t="n" s="2">
        <x:v>39609</x:v>
      </x:c>
      <x:c r="AD1069" s="0"/>
      <x:c r="AE1069" s="0"/>
      <x:c r="AF1069" s="0"/>
      <x:c r="AG1069" s="0"/>
      <x:c r="AH1069" s="0"/>
      <x:c r="AI1069" s="0"/>
      <x:c r="AJ1069" s="0"/>
      <x:c r="AK1069" s="0"/>
    </x:row>
    <x:row r="1070">
      <x:c r="A1070" t="str" s="2">
        <x:f>=HYPERLINK("https://rsms.futurehomex.com/lead/39610", "Gloria R. Merritt")</x:f>
      </x:c>
      <x:c r="B1070" t="n" s="2">
        <x:v>41</x:v>
      </x:c>
      <x:c r="C1070" t="str" s="2">
        <x:v/>
      </x:c>
      <x:c r="D1070" t="str" s="2">
        <x:f>="CASH"</x:f>
      </x:c>
      <x:c r="E1070" s="0"/>
      <x:c r="F1070" t="str" s="2">
        <x:v>Walk-in</x:v>
      </x:c>
      <x:c r="G1070" t="str" s="2">
        <x:v>Heritage Housing of Jennings</x:v>
      </x:c>
      <x:c r="H1070" t="str" s="2">
        <x:v>Mervin Leslie Smith</x:v>
      </x:c>
      <x:c r="I1070" s="0"/>
      <x:c r="J1070" s="0"/>
      <x:c r="K1070" t="n" s="2">
        <x:v>100</x:v>
      </x:c>
      <x:c r="L1070" t="str" s="2">
        <x:v>6.2</x:v>
      </x:c>
      <x:c r="M1070" t="str" s="2">
        <x:v>Closed</x:v>
      </x:c>
      <x:c r="N1070" t="str" s="2">
        <x:v>Delivered</x:v>
      </x:c>
      <x:c r="O1070" s="6">
        <x:v>46268</x:v>
      </x:c>
      <x:c r="P1070" s="6">
        <x:v>46267</x:v>
      </x:c>
      <x:c r="Q1070" s="6">
        <x:v>46287.62769123843</x:v>
      </x:c>
      <x:c r="R1070" s="0"/>
      <x:c r="S1070" s="6">
        <x:v>46267</x:v>
      </x:c>
      <x:c r="T1070" s="0"/>
      <x:c r="U1070" s="6">
        <x:v>46267</x:v>
      </x:c>
      <x:c r="V1070" s="6">
        <x:v>46267</x:v>
      </x:c>
      <x:c r="W1070" s="6">
        <x:v>46274</x:v>
      </x:c>
      <x:c r="X1070" t="str" s="2">
        <x:v>3373992642</x:v>
      </x:c>
      <x:c r="Y1070" t="str" s="2">
        <x:v>bodrowt4@charter.net</x:v>
      </x:c>
      <x:c r="Z1070" s="6">
        <x:v>46287.62695543982</x:v>
      </x:c>
      <x:c r="AA1070" t="str" s="2">
        <x:v>Tina Dallas</x:v>
      </x:c>
      <x:c r="AB1070" s="6">
        <x:v>46267.636531400465</x:v>
      </x:c>
      <x:c r="AC1070" t="n" s="2">
        <x:v>39610</x:v>
      </x:c>
      <x:c r="AD1070" t="str" s="2">
        <x:v>Singlewide</x:v>
      </x:c>
      <x:c r="AE1070" s="0"/>
      <x:c r="AF1070" s="7">
        <x:v>68890.81</x:v>
      </x:c>
      <x:c r="AG1070" s="0"/>
      <x:c r="AH1070" s="0"/>
      <x:c r="AI1070" s="0"/>
      <x:c r="AJ1070" s="0"/>
      <x:c r="AK1070" t="str" s="6">
        <x:v>2026-09-09</x:v>
      </x:c>
    </x:row>
    <x:row r="1071">
      <x:c r="A1071" t="str" s="2">
        <x:f>=HYPERLINK("https://rsms.futurehomex.com/lead/39611", "TRACIE CLINE")</x:f>
      </x:c>
      <x:c r="B1071" t="n" s="2">
        <x:v>41</x:v>
      </x:c>
      <x:c r="C1071" t="str" s="2">
        <x:v/>
      </x:c>
      <x:c r="D1071" t="str" s="2">
        <x:f>=""</x:f>
      </x:c>
      <x:c r="E1071" s="0"/>
      <x:c r="F1071" t="str" s="2">
        <x:v>Financing Form</x:v>
      </x:c>
      <x:c r="G1071" t="str" s="2">
        <x:v>Heritage Housing of Asheboro</x:v>
      </x:c>
      <x:c r="H1071" t="str" s="2">
        <x:v>Maria Lopez</x:v>
      </x:c>
      <x:c r="I1071" t="str" s="2">
        <x:v>Karol Romero</x:v>
      </x:c>
      <x:c r="J1071" s="0"/>
      <x:c r="K1071" t="n" s="2">
        <x:v>21</x:v>
      </x:c>
      <x:c r="L1071" t="str" s="2">
        <x:v>2.1</x:v>
      </x:c>
      <x:c r="M1071" t="str" s="2">
        <x:v>Tentative</x:v>
      </x:c>
      <x:c r="N1071" t="str" s="2">
        <x:v>Qualified</x:v>
      </x:c>
      <x:c r="O1071" s="0"/>
      <x:c r="P1071" s="6">
        <x:v>46267</x:v>
      </x:c>
      <x:c r="Q1071" s="6">
        <x:v>46282.756852314815</x:v>
      </x:c>
      <x:c r="R1071" s="0"/>
      <x:c r="S1071" s="0"/>
      <x:c r="T1071" s="0"/>
      <x:c r="U1071" s="0"/>
      <x:c r="V1071" s="0"/>
      <x:c r="W1071" s="0"/>
      <x:c r="X1071" t="str" s="2">
        <x:v>3364685117</x:v>
      </x:c>
      <x:c r="Y1071" t="str" s="2">
        <x:v>grandmaready18@gmail.com</x:v>
      </x:c>
      <x:c r="Z1071" s="6">
        <x:v>46282.75683958334</x:v>
      </x:c>
      <x:c r="AA1071" t="str" s="2">
        <x:v>Jeremy Jacques</x:v>
      </x:c>
      <x:c r="AB1071" s="6">
        <x:v>46267.6621571412</x:v>
      </x:c>
      <x:c r="AC1071" t="n" s="2">
        <x:v>39611</x:v>
      </x:c>
      <x:c r="AD1071" s="0"/>
      <x:c r="AE1071" s="0"/>
      <x:c r="AF1071" s="0"/>
      <x:c r="AG1071" s="0"/>
      <x:c r="AH1071" s="0"/>
      <x:c r="AI1071" s="0"/>
      <x:c r="AJ1071" s="0"/>
      <x:c r="AK1071" s="0"/>
    </x:row>
    <x:row r="1072">
      <x:c r="A1072" t="str" s="2">
        <x:f>=HYPERLINK("https://rsms.futurehomex.com/lead/39612", "SHERRY RUDD")</x:f>
      </x:c>
      <x:c r="B1072" t="n" s="2">
        <x:v>41</x:v>
      </x:c>
      <x:c r="C1072" t="str" s="2">
        <x:v>1/2</x:v>
      </x:c>
      <x:c r="D1072" t="str" s="2">
        <x:f>=""</x:f>
      </x:c>
      <x:c r="E1072" s="0"/>
      <x:c r="F1072" t="str" s="2">
        <x:v>Landing_BPM</x:v>
      </x:c>
      <x:c r="G1072" t="str" s="2">
        <x:v>Heritage Housing of Oklahoma City</x:v>
      </x:c>
      <x:c r="H1072" t="str" s="2">
        <x:v>Trey Rixleben</x:v>
      </x:c>
      <x:c r="I1072" s="0"/>
      <x:c r="J1072" s="0"/>
      <x:c r="K1072" t="n" s="2">
        <x:v>5</x:v>
      </x:c>
      <x:c r="L1072" t="str" s="2">
        <x:v>1.1</x:v>
      </x:c>
      <x:c r="M1072" t="str" s="2">
        <x:v>Tentative</x:v>
      </x:c>
      <x:c r="N1072" t="str" s="2">
        <x:v>Prospect</x:v>
      </x:c>
      <x:c r="O1072" s="0"/>
      <x:c r="P1072" s="6">
        <x:v>46267</x:v>
      </x:c>
      <x:c r="Q1072" s="6">
        <x:v>46267.69601550926</x:v>
      </x:c>
      <x:c r="R1072" s="0"/>
      <x:c r="S1072" s="0"/>
      <x:c r="T1072" s="0"/>
      <x:c r="U1072" s="0"/>
      <x:c r="V1072" s="0"/>
      <x:c r="W1072" s="0"/>
      <x:c r="X1072" t="str" s="2">
        <x:v>9185392292</x:v>
      </x:c>
      <x:c r="Y1072" t="str" s="2">
        <x:v>kbates65@yahoo.com</x:v>
      </x:c>
      <x:c r="Z1072" s="6">
        <x:v>46268.92628283565</x:v>
      </x:c>
      <x:c r="AA1072" t="str" s="2">
        <x:v>Trey Rixleben</x:v>
      </x:c>
      <x:c r="AB1072" s="6">
        <x:v>46267.69601663195</x:v>
      </x:c>
      <x:c r="AC1072" t="n" s="2">
        <x:v>39612</x:v>
      </x:c>
      <x:c r="AD1072" s="0"/>
      <x:c r="AE1072" s="0"/>
      <x:c r="AF1072" s="0"/>
      <x:c r="AG1072" s="0"/>
      <x:c r="AH1072" s="0"/>
      <x:c r="AI1072" s="0"/>
      <x:c r="AJ1072" s="0"/>
      <x:c r="AK1072" s="0"/>
    </x:row>
    <x:row r="1073">
      <x:c r="A1073" t="str" s="2">
        <x:f>=HYPERLINK("https://rsms.futurehomex.com/lead/39614", "Melissa Carrion")</x:f>
      </x:c>
      <x:c r="B1073" t="n" s="2">
        <x:v>41</x:v>
      </x:c>
      <x:c r="C1073" t="str" s="2">
        <x:v/>
      </x:c>
      <x:c r="D1073" t="str" s="2">
        <x:f>=""</x:f>
      </x:c>
      <x:c r="E1073" s="0"/>
      <x:c r="F1073" t="str" s="2">
        <x:v>Walk-in</x:v>
      </x:c>
      <x:c r="G1073" t="str" s="2">
        <x:v>Heritage Housing of Asheboro</x:v>
      </x:c>
      <x:c r="H1073" t="str" s="2">
        <x:v>Maria Lopez</x:v>
      </x:c>
      <x:c r="I1073" s="0"/>
      <x:c r="J1073" s="0"/>
      <x:c r="K1073" t="n" s="2">
        <x:v>21</x:v>
      </x:c>
      <x:c r="L1073" t="str" s="2">
        <x:v>2.1</x:v>
      </x:c>
      <x:c r="M1073" t="str" s="2">
        <x:v>Tentative</x:v>
      </x:c>
      <x:c r="N1073" t="str" s="2">
        <x:v>Qualified</x:v>
      </x:c>
      <x:c r="O1073" s="0"/>
      <x:c r="P1073" s="6">
        <x:v>46267</x:v>
      </x:c>
      <x:c r="Q1073" s="6">
        <x:v>46282.75713622685</x:v>
      </x:c>
      <x:c r="R1073" s="0"/>
      <x:c r="S1073" s="0"/>
      <x:c r="T1073" s="0"/>
      <x:c r="U1073" s="0"/>
      <x:c r="V1073" s="0"/>
      <x:c r="W1073" s="0"/>
      <x:c r="X1073" t="str" s="2">
        <x:v>3367450090</x:v>
      </x:c>
      <x:c r="Y1073" t="str" s="2">
        <x:v>melissann5391@gmail.com</x:v>
      </x:c>
      <x:c r="Z1073" s="6">
        <x:v>46282.75712199074</x:v>
      </x:c>
      <x:c r="AA1073" t="str" s="2">
        <x:v>Jeremy Jacques</x:v>
      </x:c>
      <x:c r="AB1073" s="6">
        <x:v>46267.79351797454</x:v>
      </x:c>
      <x:c r="AC1073" t="n" s="2">
        <x:v>39614</x:v>
      </x:c>
      <x:c r="AD1073" s="0"/>
      <x:c r="AE1073" s="0"/>
      <x:c r="AF1073" s="0"/>
      <x:c r="AG1073" s="0"/>
      <x:c r="AH1073" s="0"/>
      <x:c r="AI1073" s="0"/>
      <x:c r="AJ1073" s="0"/>
      <x:c r="AK1073" s="0"/>
    </x:row>
    <x:row r="1074">
      <x:c r="A1074" t="str" s="2">
        <x:f>=HYPERLINK("https://rsms.futurehomex.com/lead/39615", "Michael Sherwood")</x:f>
      </x:c>
      <x:c r="B1074" t="n" s="2">
        <x:v>41</x:v>
      </x:c>
      <x:c r="C1074" t="str" s="2">
        <x:v>1/1</x:v>
      </x:c>
      <x:c r="D1074" t="str" s="2">
        <x:f>=""</x:f>
      </x:c>
      <x:c r="E1074" s="0"/>
      <x:c r="F1074" t="str" s="2">
        <x:v>Landing_BPM</x:v>
      </x:c>
      <x:c r="G1074" t="str" s="2">
        <x:v>Heritage Housing of Oklahoma City</x:v>
      </x:c>
      <x:c r="H1074" t="str" s="2">
        <x:v>Trey Rixleben</x:v>
      </x:c>
      <x:c r="I1074" s="0"/>
      <x:c r="J1074" s="0"/>
      <x:c r="K1074" t="n" s="2">
        <x:v>5</x:v>
      </x:c>
      <x:c r="L1074" t="str" s="2">
        <x:v>1.1</x:v>
      </x:c>
      <x:c r="M1074" t="str" s="2">
        <x:v>Tentative</x:v>
      </x:c>
      <x:c r="N1074" t="str" s="2">
        <x:v>Deal Created</x:v>
      </x:c>
      <x:c r="O1074" s="0"/>
      <x:c r="P1074" s="6">
        <x:v>46267</x:v>
      </x:c>
      <x:c r="Q1074" s="6">
        <x:v>46296.82892762731</x:v>
      </x:c>
      <x:c r="R1074" s="0"/>
      <x:c r="S1074" s="0"/>
      <x:c r="T1074" s="0"/>
      <x:c r="U1074" s="0"/>
      <x:c r="V1074" s="0"/>
      <x:c r="W1074" s="0"/>
      <x:c r="X1074" t="str" s="2">
        <x:v>580-272-7283</x:v>
      </x:c>
      <x:c r="Y1074" t="str" s="2">
        <x:v>mnssherwood@gmail.com</x:v>
      </x:c>
      <x:c r="Z1074" s="6">
        <x:v>46296.82904459491</x:v>
      </x:c>
      <x:c r="AA1074" t="str" s="2">
        <x:v>Trey Rixleben</x:v>
      </x:c>
      <x:c r="AB1074" s="6">
        <x:v>46267.796610185185</x:v>
      </x:c>
      <x:c r="AC1074" t="n" s="2">
        <x:v>39615</x:v>
      </x:c>
      <x:c r="AD1074" s="0"/>
      <x:c r="AE1074" s="0"/>
      <x:c r="AF1074" s="0"/>
      <x:c r="AG1074" s="0"/>
      <x:c r="AH1074" s="0"/>
      <x:c r="AI1074" s="0"/>
      <x:c r="AJ1074" s="0"/>
      <x:c r="AK1074" s="0"/>
    </x:row>
    <x:row r="1075">
      <x:c r="A1075" t="str" s="2">
        <x:f>=HYPERLINK("https://rsms.futurehomex.com/lead/39616", "Latoya Denton")</x:f>
      </x:c>
      <x:c r="B1075" t="n" s="2">
        <x:v>41</x:v>
      </x:c>
      <x:c r="C1075" t="str" s="2">
        <x:v>0/1</x:v>
      </x:c>
      <x:c r="D1075" t="str" s="2">
        <x:f>=""</x:f>
      </x:c>
      <x:c r="E1075" s="0"/>
      <x:c r="F1075" t="str" s="2">
        <x:v>Website</x:v>
      </x:c>
      <x:c r="G1075" t="str" s="2">
        <x:v>Heritage Housing of Oklahoma City</x:v>
      </x:c>
      <x:c r="H1075" t="str" s="2">
        <x:v>Trey Rixleben</x:v>
      </x:c>
      <x:c r="I1075" s="0"/>
      <x:c r="J1075" s="0"/>
      <x:c r="K1075" t="n" s="2">
        <x:v>5</x:v>
      </x:c>
      <x:c r="L1075" t="str" s="2">
        <x:v>1.1</x:v>
      </x:c>
      <x:c r="M1075" t="str" s="2">
        <x:v>Dead</x:v>
      </x:c>
      <x:c r="N1075" t="str" s="2">
        <x:v>Deal Created</x:v>
      </x:c>
      <x:c r="O1075" s="0"/>
      <x:c r="P1075" s="6">
        <x:v>46267</x:v>
      </x:c>
      <x:c r="Q1075" s="6">
        <x:v>46267.79954042824</x:v>
      </x:c>
      <x:c r="R1075" s="0"/>
      <x:c r="S1075" s="0"/>
      <x:c r="T1075" s="0"/>
      <x:c r="U1075" s="0"/>
      <x:c r="V1075" s="0"/>
      <x:c r="W1075" s="0"/>
      <x:c r="X1075" t="str" s="2">
        <x:v>4054827605</x:v>
      </x:c>
      <x:c r="Y1075" t="str" s="2">
        <x:v>latoyadenton97@gmail.com</x:v>
      </x:c>
      <x:c r="Z1075" s="6">
        <x:v>46273.760283414354</x:v>
      </x:c>
      <x:c r="AA1075" t="str" s="2">
        <x:v>Richard Bell</x:v>
      </x:c>
      <x:c r="AB1075" s="6">
        <x:v>46267.79874575231</x:v>
      </x:c>
      <x:c r="AC1075" t="n" s="2">
        <x:v>39616</x:v>
      </x:c>
      <x:c r="AD1075" s="0"/>
      <x:c r="AE1075" s="0"/>
      <x:c r="AF1075" s="0"/>
      <x:c r="AG1075" s="0"/>
      <x:c r="AH1075" s="0"/>
      <x:c r="AI1075" s="0"/>
      <x:c r="AJ1075" s="0"/>
      <x:c r="AK1075" s="0"/>
    </x:row>
    <x:row r="1076">
      <x:c r="A1076" t="str" s="2">
        <x:f>=HYPERLINK("https://rsms.futurehomex.com/lead/39617", "Karlena Orange")</x:f>
      </x:c>
      <x:c r="B1076" t="n" s="2">
        <x:v>41</x:v>
      </x:c>
      <x:c r="C1076" t="str" s="2">
        <x:v/>
      </x:c>
      <x:c r="D1076" t="str" s="2">
        <x:f>=""</x:f>
      </x:c>
      <x:c r="E1076" s="0"/>
      <x:c r="F1076" t="str" s="2">
        <x:v>Website</x:v>
      </x:c>
      <x:c r="G1076" t="str" s="2">
        <x:v>Heritage Housing of Oklahoma City</x:v>
      </x:c>
      <x:c r="H1076" t="str" s="2">
        <x:v>Trey Rixleben</x:v>
      </x:c>
      <x:c r="I1076" s="0"/>
      <x:c r="J1076" s="0"/>
      <x:c r="K1076" t="n" s="2">
        <x:v>5</x:v>
      </x:c>
      <x:c r="L1076" t="str" s="2">
        <x:v>1.1</x:v>
      </x:c>
      <x:c r="M1076" t="str" s="2">
        <x:v>Dead</x:v>
      </x:c>
      <x:c r="N1076" t="str" s="2">
        <x:v>Deal Created</x:v>
      </x:c>
      <x:c r="O1076" s="0"/>
      <x:c r="P1076" s="6">
        <x:v>46267</x:v>
      </x:c>
      <x:c r="Q1076" s="6">
        <x:v>46267.802746099536</x:v>
      </x:c>
      <x:c r="R1076" s="0"/>
      <x:c r="S1076" s="0"/>
      <x:c r="T1076" s="0"/>
      <x:c r="U1076" s="0"/>
      <x:c r="V1076" s="0"/>
      <x:c r="W1076" s="0"/>
      <x:c r="X1076" t="str" s="2">
        <x:v>5802434348</x:v>
      </x:c>
      <x:c r="Y1076" t="str" s="2">
        <x:v>karlenajavon1@gmail.com</x:v>
      </x:c>
      <x:c r="Z1076" s="6">
        <x:v>46267.803443784724</x:v>
      </x:c>
      <x:c r="AA1076" t="str" s="2">
        <x:v>Trey Rixleben</x:v>
      </x:c>
      <x:c r="AB1076" s="6">
        <x:v>46267.80227511574</x:v>
      </x:c>
      <x:c r="AC1076" t="n" s="2">
        <x:v>39617</x:v>
      </x:c>
      <x:c r="AD1076" s="0"/>
      <x:c r="AE1076" s="0"/>
      <x:c r="AF1076" s="0"/>
      <x:c r="AG1076" s="0"/>
      <x:c r="AH1076" s="0"/>
      <x:c r="AI1076" s="0"/>
      <x:c r="AJ1076" s="0"/>
      <x:c r="AK1076" s="0"/>
    </x:row>
    <x:row r="1077">
      <x:c r="A1077" t="str" s="2">
        <x:f>=HYPERLINK("https://rsms.futurehomex.com/lead/39618", "Jennifer Ruiz")</x:f>
      </x:c>
      <x:c r="B1077" t="n" s="2">
        <x:v>41</x:v>
      </x:c>
      <x:c r="C1077" t="str" s="2">
        <x:v>0/1</x:v>
      </x:c>
      <x:c r="D1077" t="str" s="2">
        <x:f>=""</x:f>
      </x:c>
      <x:c r="E1077" s="0"/>
      <x:c r="F1077" t="str" s="2">
        <x:v>Facebook Messenger</x:v>
      </x:c>
      <x:c r="G1077" t="str" s="2">
        <x:v>Heritage Housing of Oklahoma City</x:v>
      </x:c>
      <x:c r="H1077" t="str" s="2">
        <x:v>Trey Rixleben</x:v>
      </x:c>
      <x:c r="I1077" s="0"/>
      <x:c r="J1077" s="0"/>
      <x:c r="K1077" t="n" s="2">
        <x:v>5</x:v>
      </x:c>
      <x:c r="L1077" t="str" s="2">
        <x:v>1.1</x:v>
      </x:c>
      <x:c r="M1077" t="str" s="2">
        <x:v>Dead</x:v>
      </x:c>
      <x:c r="N1077" t="str" s="2">
        <x:v>Deal Created</x:v>
      </x:c>
      <x:c r="O1077" s="0"/>
      <x:c r="P1077" s="6">
        <x:v>46267</x:v>
      </x:c>
      <x:c r="Q1077" s="6">
        <x:v>46267.80518009259</x:v>
      </x:c>
      <x:c r="R1077" s="0"/>
      <x:c r="S1077" s="0"/>
      <x:c r="T1077" s="0"/>
      <x:c r="U1077" s="0"/>
      <x:c r="V1077" s="0"/>
      <x:c r="W1077" s="0"/>
      <x:c r="X1077" t="str" s="2">
        <x:v>4056549629</x:v>
      </x:c>
      <x:c r="Y1077" t="str" s="2">
        <x:v>falconsgirl007@gmail.com</x:v>
      </x:c>
      <x:c r="Z1077" s="6">
        <x:v>46268.56245975695</x:v>
      </x:c>
      <x:c r="AA1077" t="str" s="2">
        <x:v>Richard Bell</x:v>
      </x:c>
      <x:c r="AB1077" s="6">
        <x:v>46267.804615740744</x:v>
      </x:c>
      <x:c r="AC1077" t="n" s="2">
        <x:v>39618</x:v>
      </x:c>
      <x:c r="AD1077" s="0"/>
      <x:c r="AE1077" s="0"/>
      <x:c r="AF1077" s="0"/>
      <x:c r="AG1077" s="0"/>
      <x:c r="AH1077" s="0"/>
      <x:c r="AI1077" s="0"/>
      <x:c r="AJ1077" s="0"/>
      <x:c r="AK1077" s="0"/>
    </x:row>
    <x:row r="1078">
      <x:c r="A1078" t="str" s="2">
        <x:f>=HYPERLINK("https://rsms.futurehomex.com/lead/39619", "Diego Ruteaga")</x:f>
      </x:c>
      <x:c r="B1078" t="n" s="2">
        <x:v>41</x:v>
      </x:c>
      <x:c r="C1078" t="str" s="2">
        <x:v>0/1</x:v>
      </x:c>
      <x:c r="D1078" t="str" s="2">
        <x:f>=""</x:f>
      </x:c>
      <x:c r="E1078" s="0"/>
      <x:c r="F1078" t="str" s="2">
        <x:v>Walk-in</x:v>
      </x:c>
      <x:c r="G1078" t="str" s="2">
        <x:v>Heritage Housing of Oklahoma City</x:v>
      </x:c>
      <x:c r="H1078" t="str" s="2">
        <x:v>Trey Rixleben</x:v>
      </x:c>
      <x:c r="I1078" s="0"/>
      <x:c r="J1078" s="0"/>
      <x:c r="K1078" t="n" s="2">
        <x:v>5</x:v>
      </x:c>
      <x:c r="L1078" t="str" s="2">
        <x:v>1.1</x:v>
      </x:c>
      <x:c r="M1078" t="str" s="2">
        <x:v>Dead</x:v>
      </x:c>
      <x:c r="N1078" t="str" s="2">
        <x:v>Deal Created</x:v>
      </x:c>
      <x:c r="O1078" s="0"/>
      <x:c r="P1078" s="6">
        <x:v>46267</x:v>
      </x:c>
      <x:c r="Q1078" s="6">
        <x:v>46267.80797369213</x:v>
      </x:c>
      <x:c r="R1078" s="0"/>
      <x:c r="S1078" s="0"/>
      <x:c r="T1078" s="0"/>
      <x:c r="U1078" s="0"/>
      <x:c r="V1078" s="0"/>
      <x:c r="W1078" s="0"/>
      <x:c r="X1078" t="str" s="2">
        <x:v>4056386002</x:v>
      </x:c>
      <x:c r="Y1078" t="str" s="2">
        <x:v>4056386002</x:v>
      </x:c>
      <x:c r="Z1078" s="6">
        <x:v>46268.56263133102</x:v>
      </x:c>
      <x:c r="AA1078" t="str" s="2">
        <x:v>Richard Bell</x:v>
      </x:c>
      <x:c r="AB1078" s="6">
        <x:v>46267.80797418982</x:v>
      </x:c>
      <x:c r="AC1078" t="n" s="2">
        <x:v>39619</x:v>
      </x:c>
      <x:c r="AD1078" s="0"/>
      <x:c r="AE1078" s="0"/>
      <x:c r="AF1078" s="0"/>
      <x:c r="AG1078" s="0"/>
      <x:c r="AH1078" s="0"/>
      <x:c r="AI1078" s="0"/>
      <x:c r="AJ1078" s="0"/>
      <x:c r="AK1078" s="0"/>
    </x:row>
    <x:row r="1079">
      <x:c r="A1079" t="str" s="2">
        <x:f>=HYPERLINK("https://rsms.futurehomex.com/lead/39620", "Celeste Houston")</x:f>
      </x:c>
      <x:c r="B1079" t="n" s="2">
        <x:v>41</x:v>
      </x:c>
      <x:c r="C1079" t="str" s="2">
        <x:v>0/1</x:v>
      </x:c>
      <x:c r="D1079" t="str" s="2">
        <x:f>=""</x:f>
      </x:c>
      <x:c r="E1079" s="0"/>
      <x:c r="F1079" t="str" s="2">
        <x:v>Facebook Messenger</x:v>
      </x:c>
      <x:c r="G1079" t="str" s="2">
        <x:v>Heritage Housing of Oklahoma City</x:v>
      </x:c>
      <x:c r="H1079" t="str" s="2">
        <x:v>Trey Rixleben</x:v>
      </x:c>
      <x:c r="I1079" s="0"/>
      <x:c r="J1079" s="0"/>
      <x:c r="K1079" t="n" s="2">
        <x:v>5</x:v>
      </x:c>
      <x:c r="L1079" t="str" s="2">
        <x:v>1.1</x:v>
      </x:c>
      <x:c r="M1079" t="str" s="2">
        <x:v>Dead</x:v>
      </x:c>
      <x:c r="N1079" t="str" s="2">
        <x:v>Deal Created</x:v>
      </x:c>
      <x:c r="O1079" s="0"/>
      <x:c r="P1079" s="6">
        <x:v>46267</x:v>
      </x:c>
      <x:c r="Q1079" s="6">
        <x:v>46267.81968966435</x:v>
      </x:c>
      <x:c r="R1079" s="0"/>
      <x:c r="S1079" s="0"/>
      <x:c r="T1079" s="0"/>
      <x:c r="U1079" s="0"/>
      <x:c r="V1079" s="0"/>
      <x:c r="W1079" s="0"/>
      <x:c r="X1079" t="str" s="2">
        <x:v>2399225923</x:v>
      </x:c>
      <x:c r="Y1079" t="str" s="2">
        <x:v>celeste.houston60@gmail.com</x:v>
      </x:c>
      <x:c r="Z1079" s="6">
        <x:v>46268.56279452546</x:v>
      </x:c>
      <x:c r="AA1079" t="str" s="2">
        <x:v>Richard Bell</x:v>
      </x:c>
      <x:c r="AB1079" s="6">
        <x:v>46267.81919548611</x:v>
      </x:c>
      <x:c r="AC1079" t="n" s="2">
        <x:v>39620</x:v>
      </x:c>
      <x:c r="AD1079" s="0"/>
      <x:c r="AE1079" s="0"/>
      <x:c r="AF1079" s="0"/>
      <x:c r="AG1079" s="0"/>
      <x:c r="AH1079" s="0"/>
      <x:c r="AI1079" s="0"/>
      <x:c r="AJ1079" s="0"/>
      <x:c r="AK1079" s="0"/>
    </x:row>
    <x:row r="1080">
      <x:c r="A1080" t="str" s="2">
        <x:f>=HYPERLINK("https://rsms.futurehomex.com/lead/39621", "kelley Ross")</x:f>
      </x:c>
      <x:c r="B1080" t="n" s="2">
        <x:v>41</x:v>
      </x:c>
      <x:c r="C1080" t="str" s="2">
        <x:v>0/1</x:v>
      </x:c>
      <x:c r="D1080" t="str" s="2">
        <x:f>=""</x:f>
      </x:c>
      <x:c r="E1080" s="0"/>
      <x:c r="F1080" t="str" s="2">
        <x:v>Meta Ads - Forms</x:v>
      </x:c>
      <x:c r="G1080" t="str" s="2">
        <x:v>Heritage Housing of Oklahoma City</x:v>
      </x:c>
      <x:c r="H1080" t="str" s="2">
        <x:v>Trey Rixleben</x:v>
      </x:c>
      <x:c r="I1080" s="0"/>
      <x:c r="J1080" s="0"/>
      <x:c r="K1080" t="n" s="2">
        <x:v>5</x:v>
      </x:c>
      <x:c r="L1080" t="str" s="2">
        <x:v>1.1</x:v>
      </x:c>
      <x:c r="M1080" t="str" s="2">
        <x:v>Dead</x:v>
      </x:c>
      <x:c r="N1080" t="str" s="2">
        <x:v>Deal Created</x:v>
      </x:c>
      <x:c r="O1080" s="0"/>
      <x:c r="P1080" s="6">
        <x:v>46267</x:v>
      </x:c>
      <x:c r="Q1080" s="6">
        <x:v>46267.8218875</x:v>
      </x:c>
      <x:c r="R1080" s="0"/>
      <x:c r="S1080" s="0"/>
      <x:c r="T1080" s="0"/>
      <x:c r="U1080" s="0"/>
      <x:c r="V1080" s="0"/>
      <x:c r="W1080" s="0"/>
      <x:c r="X1080" t="str" s="2">
        <x:v>9185648727</x:v>
      </x:c>
      <x:c r="Y1080" t="str" s="2">
        <x:v>kelleyross745@gmail.com</x:v>
      </x:c>
      <x:c r="Z1080" s="6">
        <x:v>46268.56304829861</x:v>
      </x:c>
      <x:c r="AA1080" t="str" s="2">
        <x:v>Richard Bell</x:v>
      </x:c>
      <x:c r="AB1080" s="6">
        <x:v>46267.82188804398</x:v>
      </x:c>
      <x:c r="AC1080" t="n" s="2">
        <x:v>39621</x:v>
      </x:c>
      <x:c r="AD1080" s="0"/>
      <x:c r="AE1080" s="0"/>
      <x:c r="AF1080" s="0"/>
      <x:c r="AG1080" s="0"/>
      <x:c r="AH1080" s="0"/>
      <x:c r="AI1080" s="0"/>
      <x:c r="AJ1080" s="0"/>
      <x:c r="AK1080" s="0"/>
    </x:row>
    <x:row r="1081">
      <x:c r="A1081" t="str" s="2">
        <x:f>=HYPERLINK("https://rsms.futurehomex.com/lead/39622", "Lorann Dent")</x:f>
      </x:c>
      <x:c r="B1081" t="n" s="2">
        <x:v>41</x:v>
      </x:c>
      <x:c r="C1081" t="str" s="2">
        <x:v/>
      </x:c>
      <x:c r="D1081" t="str" s="2">
        <x:f>=""</x:f>
      </x:c>
      <x:c r="E1081" s="0"/>
      <x:c r="F1081" t="str" s="2">
        <x:v>Youtube</x:v>
      </x:c>
      <x:c r="G1081" t="str" s="2">
        <x:v>Heritage Housing of Albany</x:v>
      </x:c>
      <x:c r="H1081" t="str" s="2">
        <x:v>Alexander Bryant</x:v>
      </x:c>
      <x:c r="I1081" s="0"/>
      <x:c r="J1081" t="str" s="2">
        <x:v>Alexander Bryant</x:v>
      </x:c>
      <x:c r="K1081" t="n" s="2">
        <x:v>5</x:v>
      </x:c>
      <x:c r="L1081" t="str" s="2">
        <x:v>1.1</x:v>
      </x:c>
      <x:c r="M1081" t="str" s="2">
        <x:v>Tentative</x:v>
      </x:c>
      <x:c r="N1081" t="str" s="2">
        <x:v>Prospect</x:v>
      </x:c>
      <x:c r="O1081" s="0"/>
      <x:c r="P1081" s="6">
        <x:v>46267</x:v>
      </x:c>
      <x:c r="Q1081" s="6">
        <x:v>46267.82250378472</x:v>
      </x:c>
      <x:c r="R1081" s="0"/>
      <x:c r="S1081" s="0"/>
      <x:c r="T1081" s="0"/>
      <x:c r="U1081" s="0"/>
      <x:c r="V1081" s="0"/>
      <x:c r="W1081" s="0"/>
      <x:c r="X1081" t="str" s="2">
        <x:v>2297980310</x:v>
      </x:c>
      <x:c r="Y1081" t="str" s="2">
        <x:v>loranndent@gmail.com</x:v>
      </x:c>
      <x:c r="Z1081" s="6">
        <x:v>46273.77502141204</x:v>
      </x:c>
      <x:c r="AA1081" t="str" s="2">
        <x:v>Alexander Bryant</x:v>
      </x:c>
      <x:c r="AB1081" s="6">
        <x:v>46267.82250420139</x:v>
      </x:c>
      <x:c r="AC1081" t="n" s="2">
        <x:v>39622</x:v>
      </x:c>
      <x:c r="AD1081" s="0"/>
      <x:c r="AE1081" s="0"/>
      <x:c r="AF1081" s="0"/>
      <x:c r="AG1081" s="0"/>
      <x:c r="AH1081" s="0"/>
      <x:c r="AI1081" s="0"/>
      <x:c r="AJ1081" s="0"/>
      <x:c r="AK1081" s="0"/>
    </x:row>
    <x:row r="1082">
      <x:c r="A1082" t="str" s="2">
        <x:f>=HYPERLINK("https://rsms.futurehomex.com/lead/39623", "Brandi Stevenson")</x:f>
      </x:c>
      <x:c r="B1082" t="n" s="2">
        <x:v>41</x:v>
      </x:c>
      <x:c r="C1082" t="str" s="2">
        <x:v>0/1</x:v>
      </x:c>
      <x:c r="D1082" t="str" s="2">
        <x:f>=""</x:f>
      </x:c>
      <x:c r="E1082" s="0"/>
      <x:c r="F1082" t="str" s="2">
        <x:v>LandingPage</x:v>
      </x:c>
      <x:c r="G1082" t="str" s="2">
        <x:v>Heritage Housing of Oklahoma City</x:v>
      </x:c>
      <x:c r="H1082" t="str" s="2">
        <x:v>Trey Rixleben</x:v>
      </x:c>
      <x:c r="I1082" s="0"/>
      <x:c r="J1082" s="0"/>
      <x:c r="K1082" t="n" s="2">
        <x:v>5</x:v>
      </x:c>
      <x:c r="L1082" t="str" s="2">
        <x:v>1.1</x:v>
      </x:c>
      <x:c r="M1082" t="str" s="2">
        <x:v>Dead</x:v>
      </x:c>
      <x:c r="N1082" t="str" s="2">
        <x:v>Deal Created</x:v>
      </x:c>
      <x:c r="O1082" s="0"/>
      <x:c r="P1082" s="6">
        <x:v>46267</x:v>
      </x:c>
      <x:c r="Q1082" s="6">
        <x:v>46267.82339340278</x:v>
      </x:c>
      <x:c r="R1082" s="0"/>
      <x:c r="S1082" s="0"/>
      <x:c r="T1082" s="0"/>
      <x:c r="U1082" s="0"/>
      <x:c r="V1082" s="0"/>
      <x:c r="W1082" s="0"/>
      <x:c r="X1082" t="str" s="2">
        <x:v>5809160451</x:v>
      </x:c>
      <x:c r="Y1082" t="str" s="2">
        <x:v>brandirstevenson13@gmail.com</x:v>
      </x:c>
      <x:c r="Z1082" s="6">
        <x:v>46268.563438969904</x:v>
      </x:c>
      <x:c r="AA1082" t="str" s="2">
        <x:v>Richard Bell</x:v>
      </x:c>
      <x:c r="AB1082" s="6">
        <x:v>46267.823393900464</x:v>
      </x:c>
      <x:c r="AC1082" t="n" s="2">
        <x:v>39623</x:v>
      </x:c>
      <x:c r="AD1082" s="0"/>
      <x:c r="AE1082" s="0"/>
      <x:c r="AF1082" s="0"/>
      <x:c r="AG1082" s="0"/>
      <x:c r="AH1082" s="0"/>
      <x:c r="AI1082" s="0"/>
      <x:c r="AJ1082" s="0"/>
      <x:c r="AK1082" s="0"/>
    </x:row>
    <x:row r="1083">
      <x:c r="A1083" t="str" s="2">
        <x:f>=HYPERLINK("https://rsms.futurehomex.com/lead/39625", "Constance Sambo")</x:f>
      </x:c>
      <x:c r="B1083" t="n" s="2">
        <x:v>41</x:v>
      </x:c>
      <x:c r="C1083" t="str" s="2">
        <x:v>0/1</x:v>
      </x:c>
      <x:c r="D1083" t="str" s="2">
        <x:f>=""</x:f>
      </x:c>
      <x:c r="E1083" s="0"/>
      <x:c r="F1083" t="str" s="2">
        <x:v>Walk-in</x:v>
      </x:c>
      <x:c r="G1083" t="str" s="2">
        <x:v>Heritage Housing of Jennings</x:v>
      </x:c>
      <x:c r="H1083" t="str" s="2">
        <x:v>Clint O'Neal</x:v>
      </x:c>
      <x:c r="I1083" s="0"/>
      <x:c r="J1083" s="0"/>
      <x:c r="K1083" t="n" s="2">
        <x:v>5</x:v>
      </x:c>
      <x:c r="L1083" t="str" s="2">
        <x:v>1.1</x:v>
      </x:c>
      <x:c r="M1083" t="str" s="2">
        <x:v>Dead</x:v>
      </x:c>
      <x:c r="N1083" t="str" s="2">
        <x:v>Prospect</x:v>
      </x:c>
      <x:c r="O1083" s="0"/>
      <x:c r="P1083" s="6">
        <x:v>46267</x:v>
      </x:c>
      <x:c r="Q1083" s="6">
        <x:v>46267.83066959491</x:v>
      </x:c>
      <x:c r="R1083" s="0"/>
      <x:c r="S1083" s="0"/>
      <x:c r="T1083" s="0"/>
      <x:c r="U1083" s="0"/>
      <x:c r="V1083" s="0"/>
      <x:c r="W1083" s="0"/>
      <x:c r="X1083" t="str" s="2">
        <x:v>2253678246</x:v>
      </x:c>
      <x:c r="Y1083" t="str" s="2">
        <x:v>msconnie1@icloud.com</x:v>
      </x:c>
      <x:c r="Z1083" s="6">
        <x:v>46279.771029710646</x:v>
      </x:c>
      <x:c r="AA1083" t="str" s="2">
        <x:v>Clint O'Neal</x:v>
      </x:c>
      <x:c r="AB1083" s="6">
        <x:v>46267.83067005787</x:v>
      </x:c>
      <x:c r="AC1083" t="n" s="2">
        <x:v>39625</x:v>
      </x:c>
      <x:c r="AD1083" s="0"/>
      <x:c r="AE1083" s="0"/>
      <x:c r="AF1083" s="0"/>
      <x:c r="AG1083" s="0"/>
      <x:c r="AH1083" s="0"/>
      <x:c r="AI1083" s="0"/>
      <x:c r="AJ1083" s="0"/>
      <x:c r="AK1083" s="0"/>
    </x:row>
    <x:row r="1084">
      <x:c r="A1084" t="str" s="2">
        <x:f>=HYPERLINK("https://rsms.futurehomex.com/lead/39627", "Mike Wier")</x:f>
      </x:c>
      <x:c r="B1084" t="n" s="2">
        <x:v>41</x:v>
      </x:c>
      <x:c r="C1084" t="str" s="2">
        <x:v>0/1</x:v>
      </x:c>
      <x:c r="D1084" t="str" s="2">
        <x:f>=""</x:f>
      </x:c>
      <x:c r="E1084" s="0"/>
      <x:c r="F1084" t="str" s="2">
        <x:v>Facebook Messenger</x:v>
      </x:c>
      <x:c r="G1084" t="str" s="2">
        <x:v>Heritage Housing of Oklahoma City</x:v>
      </x:c>
      <x:c r="H1084" t="str" s="2">
        <x:v>Trey Rixleben</x:v>
      </x:c>
      <x:c r="I1084" s="0"/>
      <x:c r="J1084" t="str" s="2">
        <x:v>Trey Rixleben</x:v>
      </x:c>
      <x:c r="K1084" t="n" s="2">
        <x:v>5</x:v>
      </x:c>
      <x:c r="L1084" t="str" s="2">
        <x:v>1.1</x:v>
      </x:c>
      <x:c r="M1084" t="str" s="2">
        <x:v>Dead</x:v>
      </x:c>
      <x:c r="N1084" t="str" s="2">
        <x:v>Deal Created</x:v>
      </x:c>
      <x:c r="O1084" s="0"/>
      <x:c r="P1084" s="6">
        <x:v>46267</x:v>
      </x:c>
      <x:c r="Q1084" s="6">
        <x:v>46267.85023113426</x:v>
      </x:c>
      <x:c r="R1084" s="0"/>
      <x:c r="S1084" s="0"/>
      <x:c r="T1084" s="0"/>
      <x:c r="U1084" s="0"/>
      <x:c r="V1084" s="0"/>
      <x:c r="W1084" s="0"/>
      <x:c r="X1084" t="str" s="2">
        <x:v>6202558319</x:v>
      </x:c>
      <x:c r="Y1084" t="str" s="2">
        <x:v>mike.weir2025@gmail.com</x:v>
      </x:c>
      <x:c r="Z1084" s="6">
        <x:v>46268.56327384259</x:v>
      </x:c>
      <x:c r="AA1084" t="str" s="2">
        <x:v>Richard Bell</x:v>
      </x:c>
      <x:c r="AB1084" s="6">
        <x:v>46267.85023179398</x:v>
      </x:c>
      <x:c r="AC1084" t="n" s="2">
        <x:v>39627</x:v>
      </x:c>
      <x:c r="AD1084" s="0"/>
      <x:c r="AE1084" s="0"/>
      <x:c r="AF1084" s="0"/>
      <x:c r="AG1084" s="0"/>
      <x:c r="AH1084" s="0"/>
      <x:c r="AI1084" s="0"/>
      <x:c r="AJ1084" s="0"/>
      <x:c r="AK1084" s="0"/>
    </x:row>
    <x:row r="1085">
      <x:c r="A1085" t="str" s="2">
        <x:f>=HYPERLINK("https://rsms.futurehomex.com/lead/39628", "Christopher Dudley")</x:f>
      </x:c>
      <x:c r="B1085" t="n" s="2">
        <x:v>41</x:v>
      </x:c>
      <x:c r="C1085" t="str" s="2">
        <x:v/>
      </x:c>
      <x:c r="D1085" t="str" s="2">
        <x:f>=""</x:f>
      </x:c>
      <x:c r="E1085" s="0"/>
      <x:c r="F1085" t="str" s="2">
        <x:v>Office Hot Calls</x:v>
      </x:c>
      <x:c r="G1085" t="str" s="2">
        <x:v>Heritage Housing Mt Pleasant</x:v>
      </x:c>
      <x:c r="H1085" t="str" s="2">
        <x:v>Yarelis Torres</x:v>
      </x:c>
      <x:c r="I1085" s="0"/>
      <x:c r="J1085" t="str" s="2">
        <x:v>Yarelis Torres</x:v>
      </x:c>
      <x:c r="K1085" t="n" s="2">
        <x:v>5</x:v>
      </x:c>
      <x:c r="L1085" t="str" s="2">
        <x:v>1.1</x:v>
      </x:c>
      <x:c r="M1085" t="str" s="2">
        <x:v>Tentative</x:v>
      </x:c>
      <x:c r="N1085" t="str" s="2">
        <x:v>Deal Created</x:v>
      </x:c>
      <x:c r="O1085" s="0"/>
      <x:c r="P1085" s="6">
        <x:v>46267</x:v>
      </x:c>
      <x:c r="Q1085" s="6">
        <x:v>46274.679840358796</x:v>
      </x:c>
      <x:c r="R1085" s="0"/>
      <x:c r="S1085" s="0"/>
      <x:c r="T1085" s="0"/>
      <x:c r="U1085" s="0"/>
      <x:c r="V1085" s="0"/>
      <x:c r="W1085" s="0"/>
      <x:c r="X1085" t="str" s="2">
        <x:v>9034031974</x:v>
      </x:c>
      <x:c r="Y1085" t="str" s="2">
        <x:v>9034031974</x:v>
      </x:c>
      <x:c r="Z1085" s="6">
        <x:v>46279.62415008102</x:v>
      </x:c>
      <x:c r="AA1085" t="str" s="2">
        <x:v>Yarelis Torres</x:v>
      </x:c>
      <x:c r="AB1085" s="6">
        <x:v>46267.85185216435</x:v>
      </x:c>
      <x:c r="AC1085" t="n" s="2">
        <x:v>39628</x:v>
      </x:c>
      <x:c r="AD1085" s="0"/>
      <x:c r="AE1085" s="0"/>
      <x:c r="AF1085" s="0"/>
      <x:c r="AG1085" s="0"/>
      <x:c r="AH1085" s="0"/>
      <x:c r="AI1085" s="0"/>
      <x:c r="AJ1085" s="0"/>
      <x:c r="AK1085" s="0"/>
    </x:row>
    <x:row r="1086">
      <x:c r="A1086" t="str" s="2">
        <x:f>=HYPERLINK("https://rsms.futurehomex.com/lead/39629", "Kaylen Williams")</x:f>
      </x:c>
      <x:c r="B1086" t="n" s="2">
        <x:v>41</x:v>
      </x:c>
      <x:c r="C1086" t="str" s="2">
        <x:v>1/2</x:v>
      </x:c>
      <x:c r="D1086" t="str" s="2">
        <x:f>=""</x:f>
      </x:c>
      <x:c r="E1086" s="0"/>
      <x:c r="F1086" t="str" s="2">
        <x:v>Landing_BPM</x:v>
      </x:c>
      <x:c r="G1086" t="str" s="2">
        <x:v>Heritage Housing of Oklahoma City</x:v>
      </x:c>
      <x:c r="H1086" t="str" s="2">
        <x:v>Trey Rixleben</x:v>
      </x:c>
      <x:c r="I1086" s="0"/>
      <x:c r="J1086" s="0"/>
      <x:c r="K1086" t="n" s="2">
        <x:v>5</x:v>
      </x:c>
      <x:c r="L1086" t="str" s="2">
        <x:v>1.1</x:v>
      </x:c>
      <x:c r="M1086" t="str" s="2">
        <x:v>Inactive</x:v>
      </x:c>
      <x:c r="N1086" t="str" s="2">
        <x:v>Deal Created</x:v>
      </x:c>
      <x:c r="O1086" s="0"/>
      <x:c r="P1086" s="6">
        <x:v>46267</x:v>
      </x:c>
      <x:c r="Q1086" s="6">
        <x:v>46267.852384641206</x:v>
      </x:c>
      <x:c r="R1086" s="0"/>
      <x:c r="S1086" s="0"/>
      <x:c r="T1086" s="0"/>
      <x:c r="U1086" s="0"/>
      <x:c r="V1086" s="0"/>
      <x:c r="W1086" s="0"/>
      <x:c r="X1086" t="str" s="2">
        <x:v>4052042872</x:v>
      </x:c>
      <x:c r="Y1086" t="str" s="2">
        <x:v>kaylenwilliams1986@gmail.com</x:v>
      </x:c>
      <x:c r="Z1086" s="6">
        <x:v>46273.75919869213</x:v>
      </x:c>
      <x:c r="AA1086" t="str" s="2">
        <x:v>Richard Bell</x:v>
      </x:c>
      <x:c r="AB1086" s="6">
        <x:v>46267.85195856482</x:v>
      </x:c>
      <x:c r="AC1086" t="n" s="2">
        <x:v>39629</x:v>
      </x:c>
      <x:c r="AD1086" s="0"/>
      <x:c r="AE1086" s="0"/>
      <x:c r="AF1086" s="0"/>
      <x:c r="AG1086" s="0"/>
      <x:c r="AH1086" s="0"/>
      <x:c r="AI1086" s="0"/>
      <x:c r="AJ1086" s="0"/>
      <x:c r="AK1086" s="0"/>
    </x:row>
    <x:row r="1087">
      <x:c r="A1087" t="str" s="2">
        <x:f>=HYPERLINK("https://rsms.futurehomex.com/lead/39630", "Curtis Henley")</x:f>
      </x:c>
      <x:c r="B1087" t="n" s="2">
        <x:v>41</x:v>
      </x:c>
      <x:c r="C1087" t="str" s="2">
        <x:v>1/1</x:v>
      </x:c>
      <x:c r="D1087" t="str" s="2">
        <x:f>=""</x:f>
      </x:c>
      <x:c r="E1087" s="0"/>
      <x:c r="F1087" t="str" s="2">
        <x:v>Landing_BPM</x:v>
      </x:c>
      <x:c r="G1087" t="str" s="2">
        <x:v>Heritage Housing of Oklahoma City</x:v>
      </x:c>
      <x:c r="H1087" t="str" s="2">
        <x:v>Trey Rixleben</x:v>
      </x:c>
      <x:c r="I1087" s="0"/>
      <x:c r="J1087" s="0"/>
      <x:c r="K1087" t="n" s="2">
        <x:v>5</x:v>
      </x:c>
      <x:c r="L1087" t="str" s="2">
        <x:v>1.1</x:v>
      </x:c>
      <x:c r="M1087" t="str" s="2">
        <x:v>Tentative</x:v>
      </x:c>
      <x:c r="N1087" t="str" s="2">
        <x:v>Deal Created</x:v>
      </x:c>
      <x:c r="O1087" s="0"/>
      <x:c r="P1087" s="6">
        <x:v>46267</x:v>
      </x:c>
      <x:c r="Q1087" s="6">
        <x:v>46290.771001469904</x:v>
      </x:c>
      <x:c r="R1087" s="0"/>
      <x:c r="S1087" s="0"/>
      <x:c r="T1087" s="0"/>
      <x:c r="U1087" s="0"/>
      <x:c r="V1087" s="0"/>
      <x:c r="W1087" s="0"/>
      <x:c r="X1087" t="str" s="2">
        <x:v>5804976006</x:v>
      </x:c>
      <x:c r="Y1087" t="str" s="2">
        <x:v>curtishenley7@gmail.com</x:v>
      </x:c>
      <x:c r="Z1087" s="6">
        <x:v>46290.77179652778</x:v>
      </x:c>
      <x:c r="AA1087" t="str" s="2">
        <x:v>Trey Rixleben</x:v>
      </x:c>
      <x:c r="AB1087" s="6">
        <x:v>46267.8544996875</x:v>
      </x:c>
      <x:c r="AC1087" t="n" s="2">
        <x:v>39630</x:v>
      </x:c>
      <x:c r="AD1087" s="0"/>
      <x:c r="AE1087" s="0"/>
      <x:c r="AF1087" s="0"/>
      <x:c r="AG1087" s="0"/>
      <x:c r="AH1087" s="0"/>
      <x:c r="AI1087" s="0"/>
      <x:c r="AJ1087" s="0"/>
      <x:c r="AK1087" s="0"/>
    </x:row>
    <x:row r="1088">
      <x:c r="A1088" t="str" s="2">
        <x:f>=HYPERLINK("https://rsms.futurehomex.com/lead/39631", "Marquetta Smalls")</x:f>
      </x:c>
      <x:c r="B1088" t="n" s="2">
        <x:v>41</x:v>
      </x:c>
      <x:c r="C1088" t="str" s="2">
        <x:v>0/1</x:v>
      </x:c>
      <x:c r="D1088" t="str" s="2">
        <x:f>=""</x:f>
      </x:c>
      <x:c r="E1088" s="0"/>
      <x:c r="F1088" t="str" s="2">
        <x:v>Financing Form</x:v>
      </x:c>
      <x:c r="G1088" t="str" s="2">
        <x:v>Heritage Housing of Athens</x:v>
      </x:c>
      <x:c r="H1088" t="str" s="2">
        <x:v>Nathan Bishop</x:v>
      </x:c>
      <x:c r="I1088" s="0"/>
      <x:c r="J1088" t="str" s="2">
        <x:v>Nathan Bishop</x:v>
      </x:c>
      <x:c r="K1088" t="n" s="2">
        <x:v>5</x:v>
      </x:c>
      <x:c r="L1088" t="str" s="2">
        <x:v>1.1</x:v>
      </x:c>
      <x:c r="M1088" t="str" s="2">
        <x:v>Active</x:v>
      </x:c>
      <x:c r="N1088" t="str" s="2">
        <x:v>Prospect</x:v>
      </x:c>
      <x:c r="O1088" s="0"/>
      <x:c r="P1088" s="6">
        <x:v>46267</x:v>
      </x:c>
      <x:c r="Q1088" s="6">
        <x:v>46275.90009325231</x:v>
      </x:c>
      <x:c r="R1088" s="0"/>
      <x:c r="S1088" s="6">
        <x:v>46275</x:v>
      </x:c>
      <x:c r="T1088" s="0"/>
      <x:c r="U1088" s="0"/>
      <x:c r="V1088" s="0"/>
      <x:c r="W1088" s="0"/>
      <x:c r="X1088" t="str" s="2">
        <x:v>4707107089</x:v>
      </x:c>
      <x:c r="Y1088" t="str" s="2">
        <x:v>smalls889811@gmail.com</x:v>
      </x:c>
      <x:c r="Z1088" s="6">
        <x:v>46276.471745717594</x:v>
      </x:c>
      <x:c r="AA1088" t="str" s="2">
        <x:v>Kristin Breedlove</x:v>
      </x:c>
      <x:c r="AB1088" s="6">
        <x:v>46267.860442743055</x:v>
      </x:c>
      <x:c r="AC1088" t="n" s="2">
        <x:v>39631</x:v>
      </x:c>
      <x:c r="AD1088" s="0"/>
      <x:c r="AE1088" s="0"/>
      <x:c r="AF1088" s="0"/>
      <x:c r="AG1088" s="0"/>
      <x:c r="AH1088" s="0"/>
      <x:c r="AI1088" t="str" s="2">
        <x:v>511</x:v>
      </x:c>
      <x:c r="AJ1088" s="0"/>
      <x:c r="AK1088" s="0"/>
    </x:row>
    <x:row r="1089">
      <x:c r="A1089" t="str" s="2">
        <x:f>=HYPERLINK("https://rsms.futurehomex.com/lead/39632", "Jessie Moss")</x:f>
      </x:c>
      <x:c r="B1089" t="n" s="2">
        <x:v>41</x:v>
      </x:c>
      <x:c r="C1089" t="str" s="2">
        <x:v>0/2</x:v>
      </x:c>
      <x:c r="D1089" t="str" s="2">
        <x:f>=""</x:f>
      </x:c>
      <x:c r="E1089" s="0"/>
      <x:c r="F1089" t="str" s="2">
        <x:v>Landing_BPM</x:v>
      </x:c>
      <x:c r="G1089" t="str" s="2">
        <x:v>Heritage Housing of Oklahoma City</x:v>
      </x:c>
      <x:c r="H1089" t="str" s="2">
        <x:v>Trey Rixleben</x:v>
      </x:c>
      <x:c r="I1089" s="0"/>
      <x:c r="J1089" s="0"/>
      <x:c r="K1089" t="n" s="2">
        <x:v>5</x:v>
      </x:c>
      <x:c r="L1089" t="str" s="2">
        <x:v>1.1</x:v>
      </x:c>
      <x:c r="M1089" t="str" s="2">
        <x:v>Dead</x:v>
      </x:c>
      <x:c r="N1089" t="str" s="2">
        <x:v>Deal Created</x:v>
      </x:c>
      <x:c r="O1089" s="0"/>
      <x:c r="P1089" s="6">
        <x:v>46267</x:v>
      </x:c>
      <x:c r="Q1089" s="6">
        <x:v>46267.86493329861</x:v>
      </x:c>
      <x:c r="R1089" s="0"/>
      <x:c r="S1089" s="0"/>
      <x:c r="T1089" s="0"/>
      <x:c r="U1089" s="0"/>
      <x:c r="V1089" s="0"/>
      <x:c r="W1089" s="0"/>
      <x:c r="X1089" t="str" s="2">
        <x:v>5722701678</x:v>
      </x:c>
      <x:c r="Y1089" t="str" s="2">
        <x:v>jmoss6749@gmail.com</x:v>
      </x:c>
      <x:c r="Z1089" s="6">
        <x:v>46273.86542623842</x:v>
      </x:c>
      <x:c r="AA1089" t="str" s="2">
        <x:v>Richard Bell</x:v>
      </x:c>
      <x:c r="AB1089" s="6">
        <x:v>46267.8643872338</x:v>
      </x:c>
      <x:c r="AC1089" t="n" s="2">
        <x:v>39632</x:v>
      </x:c>
      <x:c r="AD1089" s="0"/>
      <x:c r="AE1089" s="0"/>
      <x:c r="AF1089" s="0"/>
      <x:c r="AG1089" s="0"/>
      <x:c r="AH1089" s="0"/>
      <x:c r="AI1089" s="0"/>
      <x:c r="AJ1089" s="0"/>
      <x:c r="AK1089" s="0"/>
    </x:row>
    <x:row r="1090">
      <x:c r="A1090" t="str" s="2">
        <x:f>=HYPERLINK("https://rsms.futurehomex.com/lead/39633", "Tosha Westbrook")</x:f>
      </x:c>
      <x:c r="B1090" t="n" s="2">
        <x:v>41</x:v>
      </x:c>
      <x:c r="C1090" t="str" s="2">
        <x:v>0/1</x:v>
      </x:c>
      <x:c r="D1090" t="str" s="2">
        <x:f>=""</x:f>
      </x:c>
      <x:c r="E1090" s="0"/>
      <x:c r="F1090" t="str" s="2">
        <x:v>Facebook Messenger</x:v>
      </x:c>
      <x:c r="G1090" t="str" s="2">
        <x:v>Heritage Housing of Oklahoma City</x:v>
      </x:c>
      <x:c r="H1090" t="str" s="2">
        <x:v>Trey Rixleben</x:v>
      </x:c>
      <x:c r="I1090" s="0"/>
      <x:c r="J1090" s="0"/>
      <x:c r="K1090" t="n" s="2">
        <x:v>5</x:v>
      </x:c>
      <x:c r="L1090" t="str" s="2">
        <x:v>1.1</x:v>
      </x:c>
      <x:c r="M1090" t="str" s="2">
        <x:v>Dead</x:v>
      </x:c>
      <x:c r="N1090" t="str" s="2">
        <x:v>Deal Created</x:v>
      </x:c>
      <x:c r="O1090" s="0"/>
      <x:c r="P1090" s="6">
        <x:v>46267</x:v>
      </x:c>
      <x:c r="Q1090" s="6">
        <x:v>46273.9832684375</x:v>
      </x:c>
      <x:c r="R1090" s="0"/>
      <x:c r="S1090" s="0"/>
      <x:c r="T1090" s="0"/>
      <x:c r="U1090" s="0"/>
      <x:c r="V1090" s="0"/>
      <x:c r="W1090" s="0"/>
      <x:c r="X1090" t="str" s="2">
        <x:v>6828038537</x:v>
      </x:c>
      <x:c r="Y1090" t="str" s="2">
        <x:v>westbrookt79@gmail.com</x:v>
      </x:c>
      <x:c r="Z1090" s="6">
        <x:v>46282.84463399305</x:v>
      </x:c>
      <x:c r="AA1090" t="str" s="2">
        <x:v>Richard Bell</x:v>
      </x:c>
      <x:c r="AB1090" s="6">
        <x:v>46267.87814556713</x:v>
      </x:c>
      <x:c r="AC1090" t="n" s="2">
        <x:v>39633</x:v>
      </x:c>
      <x:c r="AD1090" s="0"/>
      <x:c r="AE1090" s="0"/>
      <x:c r="AF1090" s="0"/>
      <x:c r="AG1090" s="0"/>
      <x:c r="AH1090" s="0"/>
      <x:c r="AI1090" s="0"/>
      <x:c r="AJ1090" s="0"/>
      <x:c r="AK1090" s="0"/>
    </x:row>
    <x:row r="1091">
      <x:c r="A1091" t="str" s="2">
        <x:f>=HYPERLINK("https://rsms.futurehomex.com/lead/39634", "Alisha Still")</x:f>
      </x:c>
      <x:c r="B1091" t="n" s="2">
        <x:v>41</x:v>
      </x:c>
      <x:c r="C1091" t="str" s="2">
        <x:v/>
      </x:c>
      <x:c r="D1091" t="str" s="2">
        <x:f>=""</x:f>
      </x:c>
      <x:c r="E1091" s="0"/>
      <x:c r="F1091" t="str" s="2">
        <x:v>Facebook Messenger</x:v>
      </x:c>
      <x:c r="G1091" t="str" s="2">
        <x:v>Heritage Housing of Minden</x:v>
      </x:c>
      <x:c r="H1091" t="str" s="2">
        <x:v>Patrick Schuchart</x:v>
      </x:c>
      <x:c r="I1091" t="str" s="2">
        <x:v>Karol Romero</x:v>
      </x:c>
      <x:c r="J1091" t="str" s="2">
        <x:v>Patrick Schuchart</x:v>
      </x:c>
      <x:c r="K1091" t="n" s="2">
        <x:v>5</x:v>
      </x:c>
      <x:c r="L1091" t="str" s="2">
        <x:v>1.1</x:v>
      </x:c>
      <x:c r="M1091" t="str" s="2">
        <x:v>Dead</x:v>
      </x:c>
      <x:c r="N1091" t="str" s="2">
        <x:v>Deal Created</x:v>
      </x:c>
      <x:c r="O1091" s="0"/>
      <x:c r="P1091" s="6">
        <x:v>46267</x:v>
      </x:c>
      <x:c r="Q1091" s="6">
        <x:v>46267.88526512731</x:v>
      </x:c>
      <x:c r="R1091" t="str" s="2">
        <x:v>Patrick Schuchart</x:v>
      </x:c>
      <x:c r="S1091" s="0"/>
      <x:c r="T1091" s="0"/>
      <x:c r="U1091" s="0"/>
      <x:c r="V1091" s="0"/>
      <x:c r="W1091" s="0"/>
      <x:c r="X1091" t="str" s="2">
        <x:v>9034907760</x:v>
      </x:c>
      <x:c r="Y1091" t="str" s="2">
        <x:v>9034907760</x:v>
      </x:c>
      <x:c r="Z1091" s="6">
        <x:v>46267.890013460645</x:v>
      </x:c>
      <x:c r="AA1091" t="str" s="2">
        <x:v>Patrick Schuchart</x:v>
      </x:c>
      <x:c r="AB1091" s="6">
        <x:v>46267.884309953704</x:v>
      </x:c>
      <x:c r="AC1091" t="n" s="2">
        <x:v>39634</x:v>
      </x:c>
      <x:c r="AD1091" s="0"/>
      <x:c r="AE1091" s="0"/>
      <x:c r="AF1091" s="0"/>
      <x:c r="AG1091" s="0"/>
      <x:c r="AH1091" s="0"/>
      <x:c r="AI1091" s="0"/>
      <x:c r="AJ1091" s="0"/>
      <x:c r="AK1091" s="0"/>
    </x:row>
    <x:row r="1092">
      <x:c r="A1092" t="str" s="2">
        <x:f>=HYPERLINK("https://rsms.futurehomex.com/lead/39635", "Jenna Follis")</x:f>
      </x:c>
      <x:c r="B1092" t="n" s="2">
        <x:v>41</x:v>
      </x:c>
      <x:c r="C1092" t="str" s="2">
        <x:v>0/2</x:v>
      </x:c>
      <x:c r="D1092" t="str" s="2">
        <x:f>=""</x:f>
      </x:c>
      <x:c r="E1092" s="0"/>
      <x:c r="F1092" t="str" s="2">
        <x:v>Financing Form</x:v>
      </x:c>
      <x:c r="G1092" t="str" s="2">
        <x:v>Heritage Housing Marble Falls</x:v>
      </x:c>
      <x:c r="H1092" t="str" s="2">
        <x:v>Stephen Sanders</x:v>
      </x:c>
      <x:c r="I1092" s="0"/>
      <x:c r="J1092" s="0"/>
      <x:c r="K1092" t="n" s="2">
        <x:v>38</x:v>
      </x:c>
      <x:c r="L1092" t="str" s="2">
        <x:v>3.2</x:v>
      </x:c>
      <x:c r="M1092" t="str" s="2">
        <x:v>Active</x:v>
      </x:c>
      <x:c r="N1092" t="str" s="2">
        <x:v>Application</x:v>
      </x:c>
      <x:c r="O1092" s="6">
        <x:v>46326</x:v>
      </x:c>
      <x:c r="P1092" s="6">
        <x:v>46267</x:v>
      </x:c>
      <x:c r="Q1092" s="6">
        <x:v>46288.5851096875</x:v>
      </x:c>
      <x:c r="R1092" s="0"/>
      <x:c r="S1092" s="6">
        <x:v>46150</x:v>
      </x:c>
      <x:c r="T1092" s="0"/>
      <x:c r="U1092" s="0"/>
      <x:c r="V1092" s="0"/>
      <x:c r="W1092" s="0"/>
      <x:c r="X1092" t="str" s="2">
        <x:v>3252052205</x:v>
      </x:c>
      <x:c r="Y1092" t="str" s="2">
        <x:v>jennafollis2021@gmail.com</x:v>
      </x:c>
      <x:c r="Z1092" s="6">
        <x:v>46288.67949189815</x:v>
      </x:c>
      <x:c r="AA1092" t="str" s="2">
        <x:v>Stephen Sanders</x:v>
      </x:c>
      <x:c r="AB1092" s="6">
        <x:v>46267.885035150466</x:v>
      </x:c>
      <x:c r="AC1092" t="n" s="2">
        <x:v>39635</x:v>
      </x:c>
      <x:c r="AD1092" t="str" s="2">
        <x:v>Doublewide</x:v>
      </x:c>
      <x:c r="AE1092" t="str" s="2">
        <x:v>21st Mortgage Corporation</x:v>
      </x:c>
      <x:c r="AF1092" s="0"/>
      <x:c r="AG1092" s="7">
        <x:v>40000</x:v>
      </x:c>
      <x:c r="AH1092" s="0"/>
      <x:c r="AI1092" s="0"/>
      <x:c r="AJ1092" s="0"/>
      <x:c r="AK1092" s="0"/>
    </x:row>
    <x:row r="1093">
      <x:c r="A1093" t="str" s="2">
        <x:f>=HYPERLINK("https://rsms.futurehomex.com/lead/39636", "Ashley Gourley")</x:f>
      </x:c>
      <x:c r="B1093" t="n" s="2">
        <x:v>41</x:v>
      </x:c>
      <x:c r="C1093" t="str" s="2">
        <x:v>1/8</x:v>
      </x:c>
      <x:c r="D1093" t="str" s="2">
        <x:f>=""</x:f>
      </x:c>
      <x:c r="E1093" s="0"/>
      <x:c r="F1093" t="str" s="2">
        <x:v>Youtube</x:v>
      </x:c>
      <x:c r="G1093" t="str" s="2">
        <x:v>Heritage Housing of Oklahoma City</x:v>
      </x:c>
      <x:c r="H1093" t="str" s="2">
        <x:v>Alejandra Calderon</x:v>
      </x:c>
      <x:c r="I1093" s="0"/>
      <x:c r="J1093" t="str" s="2">
        <x:v>Alejandra Calderon</x:v>
      </x:c>
      <x:c r="K1093" t="n" s="2">
        <x:v>5</x:v>
      </x:c>
      <x:c r="L1093" t="str" s="2">
        <x:v>1.1</x:v>
      </x:c>
      <x:c r="M1093" t="str" s="2">
        <x:v>Tentative</x:v>
      </x:c>
      <x:c r="N1093" t="str" s="2">
        <x:v>Deal Created</x:v>
      </x:c>
      <x:c r="O1093" s="0"/>
      <x:c r="P1093" s="6">
        <x:v>46267</x:v>
      </x:c>
      <x:c r="Q1093" s="6">
        <x:v>46267.9130625</x:v>
      </x:c>
      <x:c r="R1093" s="0"/>
      <x:c r="S1093" s="0"/>
      <x:c r="T1093" s="0"/>
      <x:c r="U1093" s="0"/>
      <x:c r="V1093" s="0"/>
      <x:c r="W1093" s="0"/>
      <x:c r="X1093" t="str" s="2">
        <x:v>4054030915</x:v>
      </x:c>
      <x:c r="Y1093" t="str" s="2">
        <x:v>evilfroggie@gmail.com</x:v>
      </x:c>
      <x:c r="Z1093" s="6">
        <x:v>46297.93012017361</x:v>
      </x:c>
      <x:c r="AA1093" t="str" s="2">
        <x:v>Alejandra Calderon</x:v>
      </x:c>
      <x:c r="AB1093" s="6">
        <x:v>46267.91283943287</x:v>
      </x:c>
      <x:c r="AC1093" t="n" s="2">
        <x:v>39636</x:v>
      </x:c>
      <x:c r="AD1093" s="0"/>
      <x:c r="AE1093" s="0"/>
      <x:c r="AF1093" s="0"/>
      <x:c r="AG1093" s="0"/>
      <x:c r="AH1093" s="0"/>
      <x:c r="AI1093" s="0"/>
      <x:c r="AJ1093" s="0"/>
      <x:c r="AK1093" s="0"/>
    </x:row>
    <x:row r="1094">
      <x:c r="A1094" t="str" s="2">
        <x:f>=HYPERLINK("https://rsms.futurehomex.com/lead/39639", "Robert Reese")</x:f>
      </x:c>
      <x:c r="B1094" t="n" s="2">
        <x:v>40</x:v>
      </x:c>
      <x:c r="C1094" t="str" s="2">
        <x:v>0/1</x:v>
      </x:c>
      <x:c r="D1094" t="str" s="2">
        <x:f>=""</x:f>
      </x:c>
      <x:c r="E1094" s="0"/>
      <x:c r="F1094" t="str" s="2">
        <x:v>Website</x:v>
      </x:c>
      <x:c r="G1094" t="str" s="2">
        <x:v>Heritage Housing of Oklahoma City</x:v>
      </x:c>
      <x:c r="H1094" t="str" s="2">
        <x:v>Steve Castell</x:v>
      </x:c>
      <x:c r="I1094" s="0"/>
      <x:c r="J1094" t="str" s="2">
        <x:v>Steve Castell</x:v>
      </x:c>
      <x:c r="K1094" t="n" s="2">
        <x:v>5</x:v>
      </x:c>
      <x:c r="L1094" t="str" s="2">
        <x:v>1.1</x:v>
      </x:c>
      <x:c r="M1094" t="str" s="2">
        <x:v>Dead</x:v>
      </x:c>
      <x:c r="N1094" t="str" s="2">
        <x:v>Deal Created</x:v>
      </x:c>
      <x:c r="O1094" s="0"/>
      <x:c r="P1094" s="6">
        <x:v>46268</x:v>
      </x:c>
      <x:c r="Q1094" s="6">
        <x:v>46268.03930173611</x:v>
      </x:c>
      <x:c r="R1094" s="0"/>
      <x:c r="S1094" s="0"/>
      <x:c r="T1094" s="0"/>
      <x:c r="U1094" s="0"/>
      <x:c r="V1094" s="0"/>
      <x:c r="W1094" s="0"/>
      <x:c r="X1094" t="str" s="2">
        <x:v>4058030578</x:v>
      </x:c>
      <x:c r="Y1094" t="str" s="2">
        <x:v>reeserobert0684@gmail.com</x:v>
      </x:c>
      <x:c r="Z1094" s="6">
        <x:v>46273.88771894676</x:v>
      </x:c>
      <x:c r="AA1094" t="str" s="2">
        <x:v>Richard Bell</x:v>
      </x:c>
      <x:c r="AB1094" s="6">
        <x:v>46268.03930228009</x:v>
      </x:c>
      <x:c r="AC1094" t="n" s="2">
        <x:v>39639</x:v>
      </x:c>
      <x:c r="AD1094" s="0"/>
      <x:c r="AE1094" s="0"/>
      <x:c r="AF1094" s="0"/>
      <x:c r="AG1094" s="0"/>
      <x:c r="AH1094" s="0"/>
      <x:c r="AI1094" s="0"/>
      <x:c r="AJ1094" s="0"/>
      <x:c r="AK1094" s="0"/>
    </x:row>
    <x:row r="1095">
      <x:c r="A1095" t="str" s="2">
        <x:f>=HYPERLINK("https://rsms.futurehomex.com/lead/39640", "Michael Steffen")</x:f>
      </x:c>
      <x:c r="B1095" t="n" s="2">
        <x:v>40</x:v>
      </x:c>
      <x:c r="C1095" t="str" s="2">
        <x:v>0/7</x:v>
      </x:c>
      <x:c r="D1095" t="str" s="2">
        <x:f>=""</x:f>
      </x:c>
      <x:c r="E1095" s="0"/>
      <x:c r="F1095" t="str" s="2">
        <x:v>Landing_BPM</x:v>
      </x:c>
      <x:c r="G1095" t="str" s="2">
        <x:v>Heritage Housing of Oklahoma City</x:v>
      </x:c>
      <x:c r="H1095" t="str" s="2">
        <x:v>Steve Castell</x:v>
      </x:c>
      <x:c r="I1095" s="0"/>
      <x:c r="J1095" t="str" s="2">
        <x:v>Richard Bell</x:v>
      </x:c>
      <x:c r="K1095" t="n" s="2">
        <x:v>5</x:v>
      </x:c>
      <x:c r="L1095" t="str" s="2">
        <x:v>1.1</x:v>
      </x:c>
      <x:c r="M1095" t="str" s="2">
        <x:v>Inactive</x:v>
      </x:c>
      <x:c r="N1095" t="str" s="2">
        <x:v>Deal Created</x:v>
      </x:c>
      <x:c r="O1095" s="0"/>
      <x:c r="P1095" s="6">
        <x:v>46268</x:v>
      </x:c>
      <x:c r="Q1095" s="6">
        <x:v>46268.58666929398</x:v>
      </x:c>
      <x:c r="R1095" s="0"/>
      <x:c r="S1095" s="0"/>
      <x:c r="T1095" s="0"/>
      <x:c r="U1095" s="0"/>
      <x:c r="V1095" s="0"/>
      <x:c r="W1095" s="0"/>
      <x:c r="X1095" t="str" s="2">
        <x:v>4054824010</x:v>
      </x:c>
      <x:c r="Y1095" t="str" s="2">
        <x:v>Michael.steffen1999@outlook.com</x:v>
      </x:c>
      <x:c r="Z1095" s="6">
        <x:v>46304.97236461806</x:v>
      </x:c>
      <x:c r="AA1095" t="str" s="2">
        <x:v>Steve Castell</x:v>
      </x:c>
      <x:c r="AB1095" s="6">
        <x:v>46268.56530274305</x:v>
      </x:c>
      <x:c r="AC1095" t="n" s="2">
        <x:v>39640</x:v>
      </x:c>
      <x:c r="AD1095" s="0"/>
      <x:c r="AE1095" s="0"/>
      <x:c r="AF1095" s="0"/>
      <x:c r="AG1095" s="0"/>
      <x:c r="AH1095" s="0"/>
      <x:c r="AI1095" s="0"/>
      <x:c r="AJ1095" s="0"/>
      <x:c r="AK1095" s="0"/>
    </x:row>
    <x:row r="1096">
      <x:c r="A1096" t="str" s="2">
        <x:f>=HYPERLINK("https://rsms.futurehomex.com/lead/39642", "Charmin Denton")</x:f>
      </x:c>
      <x:c r="B1096" t="n" s="2">
        <x:v>40</x:v>
      </x:c>
      <x:c r="C1096" t="str" s="2">
        <x:v>1/5</x:v>
      </x:c>
      <x:c r="D1096" t="str" s="2">
        <x:f>=""</x:f>
      </x:c>
      <x:c r="E1096" s="0"/>
      <x:c r="F1096" t="str" s="2">
        <x:v>Landing_BPM</x:v>
      </x:c>
      <x:c r="G1096" t="str" s="2">
        <x:v>Heritage Housing of Oklahoma City</x:v>
      </x:c>
      <x:c r="H1096" t="str" s="2">
        <x:v>Trey Rixleben</x:v>
      </x:c>
      <x:c r="I1096" s="0"/>
      <x:c r="J1096" s="0"/>
      <x:c r="K1096" t="n" s="2">
        <x:v>5</x:v>
      </x:c>
      <x:c r="L1096" t="str" s="2">
        <x:v>1.1</x:v>
      </x:c>
      <x:c r="M1096" t="str" s="2">
        <x:v>Tentative</x:v>
      </x:c>
      <x:c r="N1096" t="str" s="2">
        <x:v>Deal Created</x:v>
      </x:c>
      <x:c r="O1096" s="0"/>
      <x:c r="P1096" s="6">
        <x:v>46268</x:v>
      </x:c>
      <x:c r="Q1096" s="6">
        <x:v>46296.6945971875</x:v>
      </x:c>
      <x:c r="R1096" s="0"/>
      <x:c r="S1096" s="0"/>
      <x:c r="T1096" s="0"/>
      <x:c r="U1096" s="0"/>
      <x:c r="V1096" s="0"/>
      <x:c r="W1096" s="0"/>
      <x:c r="X1096" t="str" s="2">
        <x:v>4059779968</x:v>
      </x:c>
      <x:c r="Y1096" t="str" s="2">
        <x:v>chardenton73@gmail.com</x:v>
      </x:c>
      <x:c r="Z1096" s="6">
        <x:v>46296.69687581019</x:v>
      </x:c>
      <x:c r="AA1096" t="str" s="2">
        <x:v>Trey Rixleben</x:v>
      </x:c>
      <x:c r="AB1096" s="6">
        <x:v>46268.58659290509</x:v>
      </x:c>
      <x:c r="AC1096" t="n" s="2">
        <x:v>39642</x:v>
      </x:c>
      <x:c r="AD1096" s="0"/>
      <x:c r="AE1096" s="0"/>
      <x:c r="AF1096" s="0"/>
      <x:c r="AG1096" s="0"/>
      <x:c r="AH1096" s="0"/>
      <x:c r="AI1096" s="0"/>
      <x:c r="AJ1096" s="0"/>
      <x:c r="AK1096" s="0"/>
    </x:row>
    <x:row r="1097">
      <x:c r="A1097" t="str" s="2">
        <x:f>=HYPERLINK("https://rsms.futurehomex.com/lead/39643", "Jerri Melton")</x:f>
      </x:c>
      <x:c r="B1097" t="n" s="2">
        <x:v>40</x:v>
      </x:c>
      <x:c r="C1097" t="str" s="2">
        <x:v/>
      </x:c>
      <x:c r="D1097" t="str" s="2">
        <x:f>=""</x:f>
      </x:c>
      <x:c r="E1097" s="0"/>
      <x:c r="F1097" t="str" s="2">
        <x:v>Landing_BPM</x:v>
      </x:c>
      <x:c r="G1097" t="str" s="2">
        <x:v>Heritage Housing of Athens</x:v>
      </x:c>
      <x:c r="H1097" t="str" s="2">
        <x:v>Nathan Bishop</x:v>
      </x:c>
      <x:c r="I1097" s="0"/>
      <x:c r="J1097" t="str" s="2">
        <x:v>Nathan Bishop</x:v>
      </x:c>
      <x:c r="K1097" t="n" s="2">
        <x:v>5</x:v>
      </x:c>
      <x:c r="L1097" t="str" s="2">
        <x:v>1.1</x:v>
      </x:c>
      <x:c r="M1097" t="str" s="2">
        <x:v>Tentative</x:v>
      </x:c>
      <x:c r="N1097" t="str" s="2">
        <x:v>Prospect</x:v>
      </x:c>
      <x:c r="O1097" s="0"/>
      <x:c r="P1097" s="6">
        <x:v>46268</x:v>
      </x:c>
      <x:c r="Q1097" s="6">
        <x:v>46268.62570413195</x:v>
      </x:c>
      <x:c r="R1097" s="0"/>
      <x:c r="S1097" s="0"/>
      <x:c r="T1097" s="0"/>
      <x:c r="U1097" s="0"/>
      <x:c r="V1097" s="0"/>
      <x:c r="W1097" s="0"/>
      <x:c r="X1097" t="str" s="2">
        <x:v>7063727760</x:v>
      </x:c>
      <x:c r="Y1097" t="str" s="2">
        <x:v>jerhawk613@gmail.com</x:v>
      </x:c>
      <x:c r="Z1097" s="6">
        <x:v>46270.62440829861</x:v>
      </x:c>
      <x:c r="AA1097" t="str" s="2">
        <x:v>Timothy Postlethwait</x:v>
      </x:c>
      <x:c r="AB1097" s="6">
        <x:v>46268.62570471065</x:v>
      </x:c>
      <x:c r="AC1097" t="n" s="2">
        <x:v>39643</x:v>
      </x:c>
      <x:c r="AD1097" s="0"/>
      <x:c r="AE1097" s="0"/>
      <x:c r="AF1097" s="0"/>
      <x:c r="AG1097" s="0"/>
      <x:c r="AH1097" s="0"/>
      <x:c r="AI1097" s="0"/>
      <x:c r="AJ1097" s="0"/>
      <x:c r="AK1097" s="0"/>
    </x:row>
    <x:row r="1098">
      <x:c r="A1098" t="str" s="2">
        <x:f>=HYPERLINK("https://rsms.futurehomex.com/lead/39644", "Cinthia Medina")</x:f>
      </x:c>
      <x:c r="B1098" t="n" s="2">
        <x:v>40</x:v>
      </x:c>
      <x:c r="C1098" t="str" s="2">
        <x:v/>
      </x:c>
      <x:c r="D1098" t="str" s="2">
        <x:f>=""</x:f>
      </x:c>
      <x:c r="E1098" s="0"/>
      <x:c r="F1098" t="str" s="2">
        <x:v>Other</x:v>
      </x:c>
      <x:c r="G1098" t="str" s="2">
        <x:v>Heritage Housing Mt Pleasant</x:v>
      </x:c>
      <x:c r="H1098" t="str" s="2">
        <x:v>Sandra Saldana</x:v>
      </x:c>
      <x:c r="I1098" s="0"/>
      <x:c r="J1098" t="str" s="2">
        <x:v>Sandra Saldana</x:v>
      </x:c>
      <x:c r="K1098" t="n" s="2">
        <x:v>5</x:v>
      </x:c>
      <x:c r="L1098" t="str" s="2">
        <x:v>1.1</x:v>
      </x:c>
      <x:c r="M1098" t="str" s="2">
        <x:v>Tentative</x:v>
      </x:c>
      <x:c r="N1098" t="str" s="2">
        <x:v>Deal Created</x:v>
      </x:c>
      <x:c r="O1098" s="0"/>
      <x:c r="P1098" s="6">
        <x:v>46268</x:v>
      </x:c>
      <x:c r="Q1098" s="6">
        <x:v>46280.801497685185</x:v>
      </x:c>
      <x:c r="R1098" s="0"/>
      <x:c r="S1098" s="0"/>
      <x:c r="T1098" s="0"/>
      <x:c r="U1098" s="0"/>
      <x:c r="V1098" s="0"/>
      <x:c r="W1098" s="0"/>
      <x:c r="X1098" t="str" s="2">
        <x:v>9037475031</x:v>
      </x:c>
      <x:c r="Y1098" t="str" s="2">
        <x:v>9037475031</x:v>
      </x:c>
      <x:c r="Z1098" s="6">
        <x:v>46285.79810373842</x:v>
      </x:c>
      <x:c r="AA1098" t="str" s="2">
        <x:v>Sandra Saldana</x:v>
      </x:c>
      <x:c r="AB1098" s="6">
        <x:v>46268.663912118056</x:v>
      </x:c>
      <x:c r="AC1098" t="n" s="2">
        <x:v>39644</x:v>
      </x:c>
      <x:c r="AD1098" s="0"/>
      <x:c r="AE1098" s="0"/>
      <x:c r="AF1098" s="0"/>
      <x:c r="AG1098" s="0"/>
      <x:c r="AH1098" s="0"/>
      <x:c r="AI1098" s="0"/>
      <x:c r="AJ1098" s="0"/>
      <x:c r="AK1098" s="0"/>
    </x:row>
    <x:row r="1099">
      <x:c r="A1099" t="str" s="2">
        <x:f>=HYPERLINK("https://rsms.futurehomex.com/lead/39646", "Iris Test")</x:f>
      </x:c>
      <x:c r="B1099" t="n" s="2">
        <x:v>40</x:v>
      </x:c>
      <x:c r="C1099" t="str" s="2">
        <x:v>0/1</x:v>
      </x:c>
      <x:c r="D1099" t="str" s="2">
        <x:f>=""</x:f>
      </x:c>
      <x:c r="E1099" s="0"/>
      <x:c r="F1099" t="str" s="2">
        <x:v>Walk-in</x:v>
      </x:c>
      <x:c r="G1099" t="str" s="2">
        <x:v>Heritage Housing of Athens</x:v>
      </x:c>
      <x:c r="H1099" t="str" s="2">
        <x:v>Iris McKinley</x:v>
      </x:c>
      <x:c r="I1099" s="0"/>
      <x:c r="J1099" s="0"/>
      <x:c r="K1099" t="n" s="2">
        <x:v>5</x:v>
      </x:c>
      <x:c r="L1099" t="str" s="2">
        <x:v>1.1</x:v>
      </x:c>
      <x:c r="M1099" t="str" s="2">
        <x:v>Tentative</x:v>
      </x:c>
      <x:c r="N1099" t="str" s="2">
        <x:v>Prospect</x:v>
      </x:c>
      <x:c r="O1099" s="0"/>
      <x:c r="P1099" s="6">
        <x:v>46268</x:v>
      </x:c>
      <x:c r="Q1099" s="6">
        <x:v>46276.73003946759</x:v>
      </x:c>
      <x:c r="R1099" s="0"/>
      <x:c r="S1099" s="6">
        <x:v>46276</x:v>
      </x:c>
      <x:c r="T1099" s="6">
        <x:v>46276</x:v>
      </x:c>
      <x:c r="U1099" s="6">
        <x:v>46276</x:v>
      </x:c>
      <x:c r="V1099" s="0"/>
      <x:c r="W1099" s="0"/>
      <x:c r="X1099" t="str" s="2">
        <x:v>7622445330</x:v>
      </x:c>
      <x:c r="Y1099" t="str" s="2">
        <x:v>duckandgoose9@gmail.com</x:v>
      </x:c>
      <x:c r="Z1099" s="6">
        <x:v>46276.761524849535</x:v>
      </x:c>
      <x:c r="AA1099" t="str" s="2">
        <x:v>Sarahi Vazquez</x:v>
      </x:c>
      <x:c r="AB1099" s="6">
        <x:v>46268.679419479166</x:v>
      </x:c>
      <x:c r="AC1099" t="n" s="2">
        <x:v>39646</x:v>
      </x:c>
      <x:c r="AD1099" s="0"/>
      <x:c r="AE1099" s="0"/>
      <x:c r="AF1099" s="0"/>
      <x:c r="AG1099" s="7">
        <x:v>30000</x:v>
      </x:c>
      <x:c r="AH1099" s="0"/>
      <x:c r="AI1099" s="0"/>
      <x:c r="AJ1099" s="0"/>
      <x:c r="AK1099" s="0"/>
    </x:row>
    <x:row r="1100">
      <x:c r="A1100" t="str" s="2">
        <x:f>=HYPERLINK("https://rsms.futurehomex.com/lead/39647", "Shawn Geist")</x:f>
      </x:c>
      <x:c r="B1100" t="n" s="2">
        <x:v>40</x:v>
      </x:c>
      <x:c r="C1100" t="str" s="2">
        <x:v>0/1</x:v>
      </x:c>
      <x:c r="D1100" t="str" s="2">
        <x:f>=""</x:f>
      </x:c>
      <x:c r="E1100" s="0"/>
      <x:c r="F1100" t="str" s="2">
        <x:v>LandingPage</x:v>
      </x:c>
      <x:c r="G1100" t="str" s="2">
        <x:v>Heritage Housing of Oklahoma City</x:v>
      </x:c>
      <x:c r="H1100" t="str" s="2">
        <x:v>Trey Rixleben</x:v>
      </x:c>
      <x:c r="I1100" s="0"/>
      <x:c r="J1100" t="str" s="2">
        <x:v>Trey Rixleben</x:v>
      </x:c>
      <x:c r="K1100" t="n" s="2">
        <x:v>5</x:v>
      </x:c>
      <x:c r="L1100" t="str" s="2">
        <x:v>1.1</x:v>
      </x:c>
      <x:c r="M1100" t="str" s="2">
        <x:v>Dead</x:v>
      </x:c>
      <x:c r="N1100" t="str" s="2">
        <x:v>Deal Created</x:v>
      </x:c>
      <x:c r="O1100" s="0"/>
      <x:c r="P1100" s="6">
        <x:v>46268</x:v>
      </x:c>
      <x:c r="Q1100" s="6">
        <x:v>46268.681992164355</x:v>
      </x:c>
      <x:c r="R1100" s="0"/>
      <x:c r="S1100" s="0"/>
      <x:c r="T1100" s="0"/>
      <x:c r="U1100" s="0"/>
      <x:c r="V1100" s="0"/>
      <x:c r="W1100" s="0"/>
      <x:c r="X1100" t="str" s="2">
        <x:v>4054414744</x:v>
      </x:c>
      <x:c r="Y1100" t="str" s="2">
        <x:v>toethelinefarms@gmail.com</x:v>
      </x:c>
      <x:c r="Z1100" s="6">
        <x:v>46268.80069707176</x:v>
      </x:c>
      <x:c r="AA1100" t="str" s="2">
        <x:v>Richard Bell</x:v>
      </x:c>
      <x:c r="AB1100" s="6">
        <x:v>46268.681789780094</x:v>
      </x:c>
      <x:c r="AC1100" t="n" s="2">
        <x:v>39647</x:v>
      </x:c>
      <x:c r="AD1100" s="0"/>
      <x:c r="AE1100" s="0"/>
      <x:c r="AF1100" s="0"/>
      <x:c r="AG1100" s="0"/>
      <x:c r="AH1100" s="0"/>
      <x:c r="AI1100" s="0"/>
      <x:c r="AJ1100" s="0"/>
      <x:c r="AK1100" s="0"/>
    </x:row>
    <x:row r="1101">
      <x:c r="A1101" t="str" s="2">
        <x:f>=HYPERLINK("https://rsms.futurehomex.com/lead/39648", "Michael Riley")</x:f>
      </x:c>
      <x:c r="B1101" t="n" s="2">
        <x:v>40</x:v>
      </x:c>
      <x:c r="C1101" t="str" s="2">
        <x:v>1/1</x:v>
      </x:c>
      <x:c r="D1101" t="str" s="2">
        <x:f>=""</x:f>
      </x:c>
      <x:c r="E1101" s="0"/>
      <x:c r="F1101" t="str" s="2">
        <x:v>Landing_BPM</x:v>
      </x:c>
      <x:c r="G1101" t="str" s="2">
        <x:v>Heritage Housing of Jennings</x:v>
      </x:c>
      <x:c r="H1101" t="str" s="2">
        <x:v>Clint O'Neal</x:v>
      </x:c>
      <x:c r="I1101" s="0"/>
      <x:c r="J1101" t="str" s="2">
        <x:v>Clint O'Neal</x:v>
      </x:c>
      <x:c r="K1101" t="n" s="2">
        <x:v>5</x:v>
      </x:c>
      <x:c r="L1101" t="str" s="2">
        <x:v>1.1</x:v>
      </x:c>
      <x:c r="M1101" t="str" s="2">
        <x:v>Tentative</x:v>
      </x:c>
      <x:c r="N1101" t="str" s="2">
        <x:v>Deal Created</x:v>
      </x:c>
      <x:c r="O1101" s="0"/>
      <x:c r="P1101" s="6">
        <x:v>46268</x:v>
      </x:c>
      <x:c r="Q1101" s="6">
        <x:v>46268.68346898148</x:v>
      </x:c>
      <x:c r="R1101" s="0"/>
      <x:c r="S1101" s="0"/>
      <x:c r="T1101" s="0"/>
      <x:c r="U1101" s="0"/>
      <x:c r="V1101" s="0"/>
      <x:c r="W1101" s="0"/>
      <x:c r="X1101" t="str" s="2">
        <x:v>3374183865</x:v>
      </x:c>
      <x:c r="Y1101" t="str" s="2">
        <x:v>rileymichael1960@gmail.com</x:v>
      </x:c>
      <x:c r="Z1101" s="6">
        <x:v>46268.684010150464</x:v>
      </x:c>
      <x:c r="AA1101" t="str" s="2">
        <x:v>Clint O'Neal</x:v>
      </x:c>
      <x:c r="AB1101" s="6">
        <x:v>46268.683469525466</x:v>
      </x:c>
      <x:c r="AC1101" t="n" s="2">
        <x:v>39648</x:v>
      </x:c>
      <x:c r="AD1101" s="0"/>
      <x:c r="AE1101" s="0"/>
      <x:c r="AF1101" s="0"/>
      <x:c r="AG1101" s="0"/>
      <x:c r="AH1101" s="0"/>
      <x:c r="AI1101" s="0"/>
      <x:c r="AJ1101" s="0"/>
      <x:c r="AK1101" s="0"/>
    </x:row>
    <x:row r="1102">
      <x:c r="A1102" t="str" s="2">
        <x:f>=HYPERLINK("https://rsms.futurehomex.com/lead/39649", "Rosario Herrera Smith")</x:f>
      </x:c>
      <x:c r="B1102" t="n" s="2">
        <x:v>40</x:v>
      </x:c>
      <x:c r="C1102" t="str" s="2">
        <x:v>1/1</x:v>
      </x:c>
      <x:c r="D1102" t="str" s="2">
        <x:f>=""</x:f>
      </x:c>
      <x:c r="E1102" s="0"/>
      <x:c r="F1102" t="str" s="2">
        <x:v>Landing_BPM</x:v>
      </x:c>
      <x:c r="G1102" t="str" s="2">
        <x:v>Heritage Housing of Oklahoma City</x:v>
      </x:c>
      <x:c r="H1102" t="str" s="2">
        <x:v>Trey Rixleben</x:v>
      </x:c>
      <x:c r="I1102" s="0"/>
      <x:c r="J1102" t="str" s="2">
        <x:v>Trey Rixleben</x:v>
      </x:c>
      <x:c r="K1102" t="n" s="2">
        <x:v>5</x:v>
      </x:c>
      <x:c r="L1102" t="str" s="2">
        <x:v>1.1</x:v>
      </x:c>
      <x:c r="M1102" t="str" s="2">
        <x:v>Tentative</x:v>
      </x:c>
      <x:c r="N1102" t="str" s="2">
        <x:v>Deal Created</x:v>
      </x:c>
      <x:c r="O1102" s="0"/>
      <x:c r="P1102" s="6">
        <x:v>46268</x:v>
      </x:c>
      <x:c r="Q1102" s="6">
        <x:v>46290.72376207176</x:v>
      </x:c>
      <x:c r="R1102" s="0"/>
      <x:c r="S1102" s="0"/>
      <x:c r="T1102" s="0"/>
      <x:c r="U1102" s="0"/>
      <x:c r="V1102" s="0"/>
      <x:c r="W1102" s="0"/>
      <x:c r="X1102" t="str" s="2">
        <x:v>(405)512-2589</x:v>
      </x:c>
      <x:c r="Y1102" t="str" s="2">
        <x:v>jessykkaherrera@gmail.com</x:v>
      </x:c>
      <x:c r="Z1102" s="6">
        <x:v>46290.72475390046</x:v>
      </x:c>
      <x:c r="AA1102" t="str" s="2">
        <x:v>Trey Rixleben</x:v>
      </x:c>
      <x:c r="AB1102" s="6">
        <x:v>46268.71196755787</x:v>
      </x:c>
      <x:c r="AC1102" t="n" s="2">
        <x:v>39649</x:v>
      </x:c>
      <x:c r="AD1102" s="0"/>
      <x:c r="AE1102" s="0"/>
      <x:c r="AF1102" s="0"/>
      <x:c r="AG1102" s="0"/>
      <x:c r="AH1102" s="0"/>
      <x:c r="AI1102" s="0"/>
      <x:c r="AJ1102" s="0"/>
      <x:c r="AK1102" s="0"/>
    </x:row>
    <x:row r="1103">
      <x:c r="A1103" t="str" s="2">
        <x:f>=HYPERLINK("https://rsms.futurehomex.com/lead/39651", "Jerrica King")</x:f>
      </x:c>
      <x:c r="B1103" t="n" s="2">
        <x:v>40</x:v>
      </x:c>
      <x:c r="C1103" t="str" s="2">
        <x:v>1/3</x:v>
      </x:c>
      <x:c r="D1103" t="str" s="2">
        <x:f>=""</x:f>
      </x:c>
      <x:c r="E1103" s="0"/>
      <x:c r="F1103" t="str" s="2">
        <x:v>Landing_BPM</x:v>
      </x:c>
      <x:c r="G1103" t="str" s="2">
        <x:v>Heritage Housing of Minden</x:v>
      </x:c>
      <x:c r="H1103" t="str" s="2">
        <x:v>Clint O'Neal</x:v>
      </x:c>
      <x:c r="I1103" s="0"/>
      <x:c r="J1103" t="str" s="2">
        <x:v>Clint O'Neal</x:v>
      </x:c>
      <x:c r="K1103" t="n" s="2">
        <x:v>5</x:v>
      </x:c>
      <x:c r="L1103" t="str" s="2">
        <x:v>1.1</x:v>
      </x:c>
      <x:c r="M1103" t="str" s="2">
        <x:v>Tentative</x:v>
      </x:c>
      <x:c r="N1103" t="str" s="2">
        <x:v>Deal Created</x:v>
      </x:c>
      <x:c r="O1103" s="0"/>
      <x:c r="P1103" s="6">
        <x:v>46268</x:v>
      </x:c>
      <x:c r="Q1103" s="6">
        <x:v>46268.72811172454</x:v>
      </x:c>
      <x:c r="R1103" s="0"/>
      <x:c r="S1103" s="0"/>
      <x:c r="T1103" s="0"/>
      <x:c r="U1103" s="0"/>
      <x:c r="V1103" s="0"/>
      <x:c r="W1103" s="0"/>
      <x:c r="X1103" t="str" s="2">
        <x:v>9852088061</x:v>
      </x:c>
      <x:c r="Y1103" t="str" s="2">
        <x:v>jerricaking0516@Gmail.com</x:v>
      </x:c>
      <x:c r="Z1103" s="6">
        <x:v>46282.55061107639</x:v>
      </x:c>
      <x:c r="AA1103" t="str" s="2">
        <x:v>Clint O'Neal</x:v>
      </x:c>
      <x:c r="AB1103" s="6">
        <x:v>46268.72811253472</x:v>
      </x:c>
      <x:c r="AC1103" t="n" s="2">
        <x:v>39651</x:v>
      </x:c>
      <x:c r="AD1103" s="0"/>
      <x:c r="AE1103" s="0"/>
      <x:c r="AF1103" s="0"/>
      <x:c r="AG1103" s="0"/>
      <x:c r="AH1103" s="0"/>
      <x:c r="AI1103" s="0"/>
      <x:c r="AJ1103" s="0"/>
      <x:c r="AK1103" s="0"/>
    </x:row>
    <x:row r="1104">
      <x:c r="A1104" t="str" s="2">
        <x:f>=HYPERLINK("https://rsms.futurehomex.com/lead/39652", "Dead Dead")</x:f>
      </x:c>
      <x:c r="B1104" t="n" s="2">
        <x:v>40</x:v>
      </x:c>
      <x:c r="C1104" t="str" s="2">
        <x:v/>
      </x:c>
      <x:c r="D1104" t="str" s="2">
        <x:f>=""</x:f>
      </x:c>
      <x:c r="E1104" s="0"/>
      <x:c r="F1104" t="str" s="2">
        <x:v>Walk-in</x:v>
      </x:c>
      <x:c r="G1104" t="str" s="2">
        <x:v>Heritage Housing of Athens</x:v>
      </x:c>
      <x:c r="H1104" t="str" s="2">
        <x:v>Nathan Bishop</x:v>
      </x:c>
      <x:c r="I1104" s="0"/>
      <x:c r="J1104" s="0"/>
      <x:c r="K1104" t="n" s="2">
        <x:v>5</x:v>
      </x:c>
      <x:c r="L1104" t="str" s="2">
        <x:v>1.1</x:v>
      </x:c>
      <x:c r="M1104" t="str" s="2">
        <x:v>Tentative</x:v>
      </x:c>
      <x:c r="N1104" t="str" s="2">
        <x:v>Prospect</x:v>
      </x:c>
      <x:c r="O1104" s="0"/>
      <x:c r="P1104" s="6">
        <x:v>46268</x:v>
      </x:c>
      <x:c r="Q1104" s="6">
        <x:v>46268.7386971875</x:v>
      </x:c>
      <x:c r="R1104" s="0"/>
      <x:c r="S1104" s="0"/>
      <x:c r="T1104" s="0"/>
      <x:c r="U1104" s="0"/>
      <x:c r="V1104" s="0"/>
      <x:c r="W1104" s="0"/>
      <x:c r="X1104" t="str" s="2">
        <x:v>5555555555</x:v>
      </x:c>
      <x:c r="Y1104" t="str" s="2">
        <x:v>hamptoninn@email.com</x:v>
      </x:c>
      <x:c r="Z1104" s="0"/>
      <x:c r="AA1104" s="0"/>
      <x:c r="AB1104" s="6">
        <x:v>46268.73869760417</x:v>
      </x:c>
      <x:c r="AC1104" t="n" s="2">
        <x:v>39652</x:v>
      </x:c>
      <x:c r="AD1104" s="0"/>
      <x:c r="AE1104" s="0"/>
      <x:c r="AF1104" s="0"/>
      <x:c r="AG1104" s="0"/>
      <x:c r="AH1104" s="0"/>
      <x:c r="AI1104" s="0"/>
      <x:c r="AJ1104" s="0"/>
      <x:c r="AK1104" s="0"/>
    </x:row>
    <x:row r="1105">
      <x:c r="A1105" t="str" s="2">
        <x:f>=HYPERLINK("https://rsms.futurehomex.com/lead/39653", "Tonia Manders Manders")</x:f>
      </x:c>
      <x:c r="B1105" t="n" s="2">
        <x:v>40</x:v>
      </x:c>
      <x:c r="C1105" t="str" s="2">
        <x:v/>
      </x:c>
      <x:c r="D1105" t="str" s="2">
        <x:f>=""</x:f>
      </x:c>
      <x:c r="E1105" s="0"/>
      <x:c r="F1105" t="str" s="2">
        <x:v>Landing_BPM</x:v>
      </x:c>
      <x:c r="G1105" t="str" s="2">
        <x:v>Heritage Housing of Athens</x:v>
      </x:c>
      <x:c r="H1105" t="str" s="2">
        <x:v>Nathan Bishop</x:v>
      </x:c>
      <x:c r="I1105" s="0"/>
      <x:c r="J1105" t="str" s="2">
        <x:v>Nathan Bishop</x:v>
      </x:c>
      <x:c r="K1105" t="n" s="2">
        <x:v>5</x:v>
      </x:c>
      <x:c r="L1105" t="str" s="2">
        <x:v>1.1</x:v>
      </x:c>
      <x:c r="M1105" t="str" s="2">
        <x:v>Tentative</x:v>
      </x:c>
      <x:c r="N1105" t="str" s="2">
        <x:v>Prospect</x:v>
      </x:c>
      <x:c r="O1105" s="0"/>
      <x:c r="P1105" s="6">
        <x:v>46268</x:v>
      </x:c>
      <x:c r="Q1105" s="6">
        <x:v>46289.732561192126</x:v>
      </x:c>
      <x:c r="R1105" s="0"/>
      <x:c r="S1105" s="6">
        <x:v>46277</x:v>
      </x:c>
      <x:c r="T1105" s="0"/>
      <x:c r="U1105" s="0"/>
      <x:c r="V1105" s="0"/>
      <x:c r="W1105" s="0"/>
      <x:c r="X1105" t="str" s="2">
        <x:v>4709710109</x:v>
      </x:c>
      <x:c r="Y1105" t="str" s="2">
        <x:v>tsmanders@yahoo.com</x:v>
      </x:c>
      <x:c r="Z1105" s="6">
        <x:v>46278.55361501157</x:v>
      </x:c>
      <x:c r="AA1105" t="str" s="2">
        <x:v>Nathan Bishop</x:v>
      </x:c>
      <x:c r="AB1105" s="6">
        <x:v>46268.77519690972</x:v>
      </x:c>
      <x:c r="AC1105" t="n" s="2">
        <x:v>39653</x:v>
      </x:c>
      <x:c r="AD1105" s="0"/>
      <x:c r="AE1105" s="0"/>
      <x:c r="AF1105" s="0"/>
      <x:c r="AG1105" s="0"/>
      <x:c r="AH1105" s="0"/>
      <x:c r="AI1105" s="0"/>
      <x:c r="AJ1105" s="0"/>
      <x:c r="AK1105" s="0"/>
    </x:row>
    <x:row r="1106">
      <x:c r="A1106" t="str" s="2">
        <x:f>=HYPERLINK("https://rsms.futurehomex.com/lead/39654", "Aaron Hunsucker")</x:f>
      </x:c>
      <x:c r="B1106" t="n" s="2">
        <x:v>40</x:v>
      </x:c>
      <x:c r="C1106" t="str" s="2">
        <x:v>0/1</x:v>
      </x:c>
      <x:c r="D1106" t="str" s="2">
        <x:f>=""</x:f>
      </x:c>
      <x:c r="E1106" s="0"/>
      <x:c r="F1106" t="str" s="2">
        <x:v>Financing Form</x:v>
      </x:c>
      <x:c r="G1106" t="str" s="2">
        <x:v>Heritage Housing of Oklahoma City</x:v>
      </x:c>
      <x:c r="H1106" t="str" s="2">
        <x:v>Gianna Cervantes</x:v>
      </x:c>
      <x:c r="I1106" s="0"/>
      <x:c r="J1106" t="str" s="2">
        <x:v>Gianna Cervantes</x:v>
      </x:c>
      <x:c r="K1106" t="n" s="2">
        <x:v>5</x:v>
      </x:c>
      <x:c r="L1106" t="str" s="2">
        <x:v>1.1</x:v>
      </x:c>
      <x:c r="M1106" t="str" s="2">
        <x:v>Dead</x:v>
      </x:c>
      <x:c r="N1106" t="str" s="2">
        <x:v>Deal Created</x:v>
      </x:c>
      <x:c r="O1106" s="0"/>
      <x:c r="P1106" s="6">
        <x:v>46268</x:v>
      </x:c>
      <x:c r="Q1106" s="6">
        <x:v>46270.84593336806</x:v>
      </x:c>
      <x:c r="R1106" s="0"/>
      <x:c r="S1106" s="0"/>
      <x:c r="T1106" s="0"/>
      <x:c r="U1106" s="0"/>
      <x:c r="V1106" s="0"/>
      <x:c r="W1106" s="0"/>
      <x:c r="X1106" t="str" s="2">
        <x:v>7316077084</x:v>
      </x:c>
      <x:c r="Y1106" t="str" s="2">
        <x:v>apilot0625@gmail.com</x:v>
      </x:c>
      <x:c r="Z1106" s="6">
        <x:v>46275.591156863426</x:v>
      </x:c>
      <x:c r="AA1106" t="str" s="2">
        <x:v>Gianna Cervantes</x:v>
      </x:c>
      <x:c r="AB1106" s="6">
        <x:v>46268.80721114583</x:v>
      </x:c>
      <x:c r="AC1106" t="n" s="2">
        <x:v>39654</x:v>
      </x:c>
      <x:c r="AD1106" s="0"/>
      <x:c r="AE1106" s="0"/>
      <x:c r="AF1106" s="0"/>
      <x:c r="AG1106" s="0"/>
      <x:c r="AH1106" s="0"/>
      <x:c r="AI1106" s="0"/>
      <x:c r="AJ1106" s="0"/>
      <x:c r="AK1106" s="0"/>
    </x:row>
    <x:row r="1107">
      <x:c r="A1107" t="str" s="2">
        <x:f>=HYPERLINK("https://rsms.futurehomex.com/lead/39656", "Asonia Key")</x:f>
      </x:c>
      <x:c r="B1107" t="n" s="2">
        <x:v>40</x:v>
      </x:c>
      <x:c r="C1107" t="str" s="2">
        <x:v>0/1</x:v>
      </x:c>
      <x:c r="D1107" t="str" s="2">
        <x:f>=""</x:f>
      </x:c>
      <x:c r="E1107" s="0"/>
      <x:c r="F1107" t="str" s="2">
        <x:v>Walk-in</x:v>
      </x:c>
      <x:c r="G1107" t="str" s="2">
        <x:v>Heritage Housing of Minden</x:v>
      </x:c>
      <x:c r="H1107" t="str" s="2">
        <x:v>Patrick Schuchart</x:v>
      </x:c>
      <x:c r="I1107" t="str" s="2">
        <x:v>Karol Romero</x:v>
      </x:c>
      <x:c r="J1107" t="str" s="2">
        <x:v>Patrick Schuchart</x:v>
      </x:c>
      <x:c r="K1107" t="n" s="2">
        <x:v>5</x:v>
      </x:c>
      <x:c r="L1107" t="str" s="2">
        <x:v>1.1</x:v>
      </x:c>
      <x:c r="M1107" t="str" s="2">
        <x:v>Tentative</x:v>
      </x:c>
      <x:c r="N1107" t="str" s="2">
        <x:v>Deal Created</x:v>
      </x:c>
      <x:c r="O1107" s="0"/>
      <x:c r="P1107" s="6">
        <x:v>46268</x:v>
      </x:c>
      <x:c r="Q1107" s="6">
        <x:v>46268.81822971065</x:v>
      </x:c>
      <x:c r="R1107" t="str" s="2">
        <x:v>Patrick Schuchart</x:v>
      </x:c>
      <x:c r="S1107" s="0"/>
      <x:c r="T1107" s="0"/>
      <x:c r="U1107" s="0"/>
      <x:c r="V1107" s="0"/>
      <x:c r="W1107" s="0"/>
      <x:c r="X1107" t="str" s="2">
        <x:v>6824034727</x:v>
      </x:c>
      <x:c r="Y1107" t="str" s="2">
        <x:v>6824034727</x:v>
      </x:c>
      <x:c r="Z1107" s="6">
        <x:v>46295.85427982639</x:v>
      </x:c>
      <x:c r="AA1107" t="str" s="2">
        <x:v>Kyla Brown</x:v>
      </x:c>
      <x:c r="AB1107" s="6">
        <x:v>46268.81823121528</x:v>
      </x:c>
      <x:c r="AC1107" t="n" s="2">
        <x:v>39656</x:v>
      </x:c>
      <x:c r="AD1107" s="0"/>
      <x:c r="AE1107" s="0"/>
      <x:c r="AF1107" s="0"/>
      <x:c r="AG1107" s="0"/>
      <x:c r="AH1107" s="0"/>
      <x:c r="AI1107" s="0"/>
      <x:c r="AJ1107" s="0"/>
      <x:c r="AK1107" s="0"/>
    </x:row>
    <x:row r="1108">
      <x:c r="A1108" t="str" s="2">
        <x:f>=HYPERLINK("https://rsms.futurehomex.com/lead/39657", "Robert C Boudreaux")</x:f>
      </x:c>
      <x:c r="B1108" t="n" s="2">
        <x:v>40</x:v>
      </x:c>
      <x:c r="C1108" t="str" s="2">
        <x:v>1/5</x:v>
      </x:c>
      <x:c r="D1108" t="str" s="2">
        <x:f>=""</x:f>
      </x:c>
      <x:c r="E1108" s="0"/>
      <x:c r="F1108" t="str" s="2">
        <x:v>Office Hot Calls</x:v>
      </x:c>
      <x:c r="G1108" t="str" s="2">
        <x:v>Heritage Housing of Jennings</x:v>
      </x:c>
      <x:c r="H1108" t="str" s="2">
        <x:v>Clint O'Neal</x:v>
      </x:c>
      <x:c r="I1108" t="str" s="2">
        <x:v>Karol Romero</x:v>
      </x:c>
      <x:c r="J1108" t="str" s="2">
        <x:v>Clint O'Neal</x:v>
      </x:c>
      <x:c r="K1108" t="n" s="2">
        <x:v>5</x:v>
      </x:c>
      <x:c r="L1108" t="str" s="2">
        <x:v>1.1</x:v>
      </x:c>
      <x:c r="M1108" t="str" s="2">
        <x:v>Active</x:v>
      </x:c>
      <x:c r="N1108" t="str" s="2">
        <x:v>Deal Created</x:v>
      </x:c>
      <x:c r="O1108" s="0"/>
      <x:c r="P1108" s="6">
        <x:v>46268</x:v>
      </x:c>
      <x:c r="Q1108" s="6">
        <x:v>46296.858384259256</x:v>
      </x:c>
      <x:c r="R1108" s="0"/>
      <x:c r="S1108" s="0"/>
      <x:c r="T1108" s="0"/>
      <x:c r="U1108" s="0"/>
      <x:c r="V1108" s="0"/>
      <x:c r="W1108" s="0"/>
      <x:c r="X1108" t="str" s="2">
        <x:v>3373295613</x:v>
      </x:c>
      <x:c r="Y1108" t="str" s="2">
        <x:v>rboud007@yahoo.com</x:v>
      </x:c>
      <x:c r="Z1108" s="6">
        <x:v>46296.923103009256</x:v>
      </x:c>
      <x:c r="AA1108" t="str" s="2">
        <x:v>Clint O'Neal</x:v>
      </x:c>
      <x:c r="AB1108" s="6">
        <x:v>46268.82354482639</x:v>
      </x:c>
      <x:c r="AC1108" t="n" s="2">
        <x:v>39657</x:v>
      </x:c>
      <x:c r="AD1108" s="0"/>
      <x:c r="AE1108" s="0"/>
      <x:c r="AF1108" s="0"/>
      <x:c r="AG1108" s="0"/>
      <x:c r="AH1108" s="0"/>
      <x:c r="AI1108" s="0"/>
      <x:c r="AJ1108" s="0"/>
      <x:c r="AK1108" s="0"/>
    </x:row>
    <x:row r="1109">
      <x:c r="A1109" t="str" s="2">
        <x:f>=HYPERLINK("https://rsms.futurehomex.com/lead/39659", "Kerria Bellard")</x:f>
      </x:c>
      <x:c r="B1109" t="n" s="2">
        <x:v>40</x:v>
      </x:c>
      <x:c r="C1109" t="str" s="2">
        <x:v/>
      </x:c>
      <x:c r="D1109" t="str" s="2">
        <x:f>=""</x:f>
      </x:c>
      <x:c r="E1109" s="0"/>
      <x:c r="F1109" t="str" s="2">
        <x:v>Facebook Messenger</x:v>
      </x:c>
      <x:c r="G1109" t="str" s="2">
        <x:v>Heritage Housing of Greenville</x:v>
      </x:c>
      <x:c r="H1109" t="str" s="2">
        <x:v>Brooklynn Allen</x:v>
      </x:c>
      <x:c r="I1109" s="0"/>
      <x:c r="J1109" t="str" s="2">
        <x:v>Brooklynn Allen</x:v>
      </x:c>
      <x:c r="K1109" t="n" s="2">
        <x:v>5</x:v>
      </x:c>
      <x:c r="L1109" t="str" s="2">
        <x:v>1.1</x:v>
      </x:c>
      <x:c r="M1109" t="str" s="2">
        <x:v>Inactive</x:v>
      </x:c>
      <x:c r="N1109" t="str" s="2">
        <x:v>Deal Created</x:v>
      </x:c>
      <x:c r="O1109" s="0"/>
      <x:c r="P1109" s="6">
        <x:v>46268</x:v>
      </x:c>
      <x:c r="Q1109" s="6">
        <x:v>46269.66602311342</x:v>
      </x:c>
      <x:c r="R1109" s="0"/>
      <x:c r="S1109" s="0"/>
      <x:c r="T1109" s="0"/>
      <x:c r="U1109" s="0"/>
      <x:c r="V1109" s="0"/>
      <x:c r="W1109" s="0"/>
      <x:c r="X1109" t="str" s="2">
        <x:v>4697613677</x:v>
      </x:c>
      <x:c r="Y1109" t="str" s="2">
        <x:v>kerriabellard2023@gmail.com</x:v>
      </x:c>
      <x:c r="Z1109" s="0"/>
      <x:c r="AA1109" s="0"/>
      <x:c r="AB1109" s="6">
        <x:v>46268.84070269676</x:v>
      </x:c>
      <x:c r="AC1109" t="n" s="2">
        <x:v>39659</x:v>
      </x:c>
      <x:c r="AD1109" s="0"/>
      <x:c r="AE1109" s="0"/>
      <x:c r="AF1109" s="0"/>
      <x:c r="AG1109" s="0"/>
      <x:c r="AH1109" s="0"/>
      <x:c r="AI1109" s="0"/>
      <x:c r="AJ1109" s="0"/>
      <x:c r="AK1109" s="0"/>
    </x:row>
    <x:row r="1110">
      <x:c r="A1110" t="str" s="2">
        <x:f>=HYPERLINK("https://rsms.futurehomex.com/lead/39661", "Chad Critser")</x:f>
      </x:c>
      <x:c r="B1110" t="n" s="2">
        <x:v>40</x:v>
      </x:c>
      <x:c r="C1110" t="str" s="2">
        <x:v/>
      </x:c>
      <x:c r="D1110" t="str" s="2">
        <x:f>=""</x:f>
      </x:c>
      <x:c r="E1110" s="0"/>
      <x:c r="F1110" t="str" s="2">
        <x:v>Walk-in</x:v>
      </x:c>
      <x:c r="G1110" t="str" s="2">
        <x:v>Heritage Housing of Oklahoma City</x:v>
      </x:c>
      <x:c r="H1110" t="str" s="2">
        <x:v>Steve Castell</x:v>
      </x:c>
      <x:c r="I1110" s="0"/>
      <x:c r="J1110" t="str" s="2">
        <x:v>Steve Castell</x:v>
      </x:c>
      <x:c r="K1110" t="n" s="2">
        <x:v>5</x:v>
      </x:c>
      <x:c r="L1110" t="str" s="2">
        <x:v>1.1</x:v>
      </x:c>
      <x:c r="M1110" t="str" s="2">
        <x:v>Inactive</x:v>
      </x:c>
      <x:c r="N1110" t="str" s="2">
        <x:v>Deal Created</x:v>
      </x:c>
      <x:c r="O1110" s="0"/>
      <x:c r="P1110" s="6">
        <x:v>46268</x:v>
      </x:c>
      <x:c r="Q1110" s="6">
        <x:v>46268.90438518518</x:v>
      </x:c>
      <x:c r="R1110" s="0"/>
      <x:c r="S1110" s="6">
        <x:v>46268</x:v>
      </x:c>
      <x:c r="T1110" s="0"/>
      <x:c r="U1110" s="0"/>
      <x:c r="V1110" s="0"/>
      <x:c r="W1110" s="0"/>
      <x:c r="X1110" t="str" s="2">
        <x:v>8068393531</x:v>
      </x:c>
      <x:c r="Y1110" t="str" s="2">
        <x:v>chad_critser@yahoo.com</x:v>
      </x:c>
      <x:c r="Z1110" s="6">
        <x:v>46268.905420138886</x:v>
      </x:c>
      <x:c r="AA1110" t="str" s="2">
        <x:v>Steve Castell</x:v>
      </x:c>
      <x:c r="AB1110" s="6">
        <x:v>46268.90421597222</x:v>
      </x:c>
      <x:c r="AC1110" t="n" s="2">
        <x:v>39661</x:v>
      </x:c>
      <x:c r="AD1110" s="0"/>
      <x:c r="AE1110" s="0"/>
      <x:c r="AF1110" s="0"/>
      <x:c r="AG1110" s="0"/>
      <x:c r="AH1110" s="0"/>
      <x:c r="AI1110" s="0"/>
      <x:c r="AJ1110" s="0"/>
      <x:c r="AK1110" s="0"/>
    </x:row>
    <x:row r="1111">
      <x:c r="A1111" t="str" s="2">
        <x:f>=HYPERLINK("https://rsms.futurehomex.com/lead/39662", "Diorah Rowlands")</x:f>
      </x:c>
      <x:c r="B1111" t="n" s="2">
        <x:v>40</x:v>
      </x:c>
      <x:c r="C1111" t="str" s="2">
        <x:v>0/1</x:v>
      </x:c>
      <x:c r="D1111" t="str" s="2">
        <x:f>=""</x:f>
      </x:c>
      <x:c r="E1111" s="0"/>
      <x:c r="F1111" t="str" s="2">
        <x:v>Landing_BPM</x:v>
      </x:c>
      <x:c r="G1111" t="str" s="2">
        <x:v>Heritage Housing of Oklahoma City</x:v>
      </x:c>
      <x:c r="H1111" t="str" s="2">
        <x:v>Steve Castell</x:v>
      </x:c>
      <x:c r="I1111" s="0"/>
      <x:c r="J1111" t="str" s="2">
        <x:v>Steve Castell</x:v>
      </x:c>
      <x:c r="K1111" t="n" s="2">
        <x:v>5</x:v>
      </x:c>
      <x:c r="L1111" t="str" s="2">
        <x:v>1.1</x:v>
      </x:c>
      <x:c r="M1111" t="str" s="2">
        <x:v>Tentative</x:v>
      </x:c>
      <x:c r="N1111" t="str" s="2">
        <x:v>Deal Created</x:v>
      </x:c>
      <x:c r="O1111" s="0"/>
      <x:c r="P1111" s="6">
        <x:v>46268</x:v>
      </x:c>
      <x:c r="Q1111" s="6">
        <x:v>46270.63743865741</x:v>
      </x:c>
      <x:c r="R1111" s="0"/>
      <x:c r="S1111" s="0"/>
      <x:c r="T1111" s="0"/>
      <x:c r="U1111" s="0"/>
      <x:c r="V1111" s="0"/>
      <x:c r="W1111" s="0"/>
      <x:c r="X1111" t="str" s="2">
        <x:v>5722427575</x:v>
      </x:c>
      <x:c r="Y1111" t="str" s="2">
        <x:v>rowlandsdiorah@gmail.com</x:v>
      </x:c>
      <x:c r="Z1111" s="6">
        <x:v>46300.815617974535</x:v>
      </x:c>
      <x:c r="AA1111" t="str" s="2">
        <x:v>Richard Bell</x:v>
      </x:c>
      <x:c r="AB1111" s="6">
        <x:v>46268.97685173611</x:v>
      </x:c>
      <x:c r="AC1111" t="n" s="2">
        <x:v>39662</x:v>
      </x:c>
      <x:c r="AD1111" s="0"/>
      <x:c r="AE1111" s="0"/>
      <x:c r="AF1111" s="0"/>
      <x:c r="AG1111" s="0"/>
      <x:c r="AH1111" s="0"/>
      <x:c r="AI1111" s="0"/>
      <x:c r="AJ1111" s="0"/>
      <x:c r="AK1111" s="0"/>
    </x:row>
    <x:row r="1112">
      <x:c r="A1112" t="str" s="2">
        <x:f>=HYPERLINK("https://rsms.futurehomex.com/lead/39663", "Ezequiel Sanchez")</x:f>
      </x:c>
      <x:c r="B1112" t="n" s="2">
        <x:v>39</x:v>
      </x:c>
      <x:c r="C1112" t="str" s="2">
        <x:v>1/1</x:v>
      </x:c>
      <x:c r="D1112" t="str" s="2">
        <x:f>=""</x:f>
      </x:c>
      <x:c r="E1112" s="0"/>
      <x:c r="F1112" t="str" s="2">
        <x:v>Referrals</x:v>
      </x:c>
      <x:c r="G1112" t="str" s="2">
        <x:v>Legacy Housing Corp. DBA Americasa</x:v>
      </x:c>
      <x:c r="H1112" t="str" s="2">
        <x:v>Joey Marquez</x:v>
      </x:c>
      <x:c r="I1112" t="str" s="2">
        <x:v>Karol Romero</x:v>
      </x:c>
      <x:c r="J1112" s="0"/>
      <x:c r="K1112" t="n" s="2">
        <x:v>5</x:v>
      </x:c>
      <x:c r="L1112" t="str" s="2">
        <x:v>1.1</x:v>
      </x:c>
      <x:c r="M1112" t="str" s="2">
        <x:v>Tentative</x:v>
      </x:c>
      <x:c r="N1112" t="str" s="2">
        <x:v>Prospect</x:v>
      </x:c>
      <x:c r="O1112" s="0"/>
      <x:c r="P1112" s="6">
        <x:v>46269</x:v>
      </x:c>
      <x:c r="Q1112" s="6">
        <x:v>46269.05945775463</x:v>
      </x:c>
      <x:c r="R1112" s="0"/>
      <x:c r="S1112" s="0"/>
      <x:c r="T1112" s="0"/>
      <x:c r="U1112" s="0"/>
      <x:c r="V1112" s="0"/>
      <x:c r="W1112" s="0"/>
      <x:c r="X1112" t="str" s="2">
        <x:v>8325121286</x:v>
      </x:c>
      <x:c r="Y1112" t="str" s="2">
        <x:v>8325121286</x:v>
      </x:c>
      <x:c r="Z1112" s="0"/>
      <x:c r="AA1112" s="0"/>
      <x:c r="AB1112" s="6">
        <x:v>46269.05945917824</x:v>
      </x:c>
      <x:c r="AC1112" t="n" s="2">
        <x:v>39663</x:v>
      </x:c>
      <x:c r="AD1112" s="0"/>
      <x:c r="AE1112" s="0"/>
      <x:c r="AF1112" s="0"/>
      <x:c r="AG1112" s="0"/>
      <x:c r="AH1112" s="0"/>
      <x:c r="AI1112" s="0"/>
      <x:c r="AJ1112" s="0"/>
      <x:c r="AK1112" s="0"/>
    </x:row>
    <x:row r="1113">
      <x:c r="A1113" t="str" s="2">
        <x:f>=HYPERLINK("https://rsms.futurehomex.com/lead/39664", "Cheryl Jernigan")</x:f>
      </x:c>
      <x:c r="B1113" t="n" s="2">
        <x:v>39</x:v>
      </x:c>
      <x:c r="C1113" t="str" s="2">
        <x:v>0/1</x:v>
      </x:c>
      <x:c r="D1113" t="str" s="2">
        <x:f>=""</x:f>
      </x:c>
      <x:c r="E1113" s="0"/>
      <x:c r="F1113" t="str" s="2">
        <x:v>Youtube</x:v>
      </x:c>
      <x:c r="G1113" t="str" s="2">
        <x:v>Heritage Housing of Oklahoma City</x:v>
      </x:c>
      <x:c r="H1113" t="str" s="2">
        <x:v>Steve Castell</x:v>
      </x:c>
      <x:c r="I1113" s="0"/>
      <x:c r="J1113" t="str" s="2">
        <x:v>Steve Castell</x:v>
      </x:c>
      <x:c r="K1113" t="n" s="2">
        <x:v>5</x:v>
      </x:c>
      <x:c r="L1113" t="str" s="2">
        <x:v>1.1</x:v>
      </x:c>
      <x:c r="M1113" t="str" s="2">
        <x:v>Inactive</x:v>
      </x:c>
      <x:c r="N1113" t="str" s="2">
        <x:v>Deal Created</x:v>
      </x:c>
      <x:c r="O1113" s="0"/>
      <x:c r="P1113" s="6">
        <x:v>46269</x:v>
      </x:c>
      <x:c r="Q1113" s="6">
        <x:v>46269.07644232639</x:v>
      </x:c>
      <x:c r="R1113" s="0"/>
      <x:c r="S1113" s="0"/>
      <x:c r="T1113" s="0"/>
      <x:c r="U1113" s="0"/>
      <x:c r="V1113" s="0"/>
      <x:c r="W1113" s="0"/>
      <x:c r="X1113" t="str" s="2">
        <x:v>4059157074</x:v>
      </x:c>
      <x:c r="Y1113" t="str" s="2">
        <x:v>cheryljernigan.2023@gmail.com</x:v>
      </x:c>
      <x:c r="Z1113" s="6">
        <x:v>46274.61182346065</x:v>
      </x:c>
      <x:c r="AA1113" t="str" s="2">
        <x:v>Steve Castell</x:v>
      </x:c>
      <x:c r="AB1113" s="6">
        <x:v>46269.076444363425</x:v>
      </x:c>
      <x:c r="AC1113" t="n" s="2">
        <x:v>39664</x:v>
      </x:c>
      <x:c r="AD1113" s="0"/>
      <x:c r="AE1113" s="0"/>
      <x:c r="AF1113" s="0"/>
      <x:c r="AG1113" s="0"/>
      <x:c r="AH1113" s="0"/>
      <x:c r="AI1113" s="0"/>
      <x:c r="AJ1113" s="0"/>
      <x:c r="AK1113" s="0"/>
    </x:row>
    <x:row r="1114">
      <x:c r="A1114" t="str" s="2">
        <x:f>=HYPERLINK("https://rsms.futurehomex.com/lead/39665", "Beatriz De La Rosa")</x:f>
      </x:c>
      <x:c r="B1114" t="n" s="2">
        <x:v>39</x:v>
      </x:c>
      <x:c r="C1114" t="str" s="2">
        <x:v/>
      </x:c>
      <x:c r="D1114" t="str" s="2">
        <x:f>=""</x:f>
      </x:c>
      <x:c r="E1114" s="0"/>
      <x:c r="F1114" t="str" s="2">
        <x:v>TikTok</x:v>
      </x:c>
      <x:c r="G1114" t="str" s="2">
        <x:v>Heritage Housing Mt Pleasant</x:v>
      </x:c>
      <x:c r="H1114" t="str" s="2">
        <x:v>Elias Gallardo</x:v>
      </x:c>
      <x:c r="I1114" s="0"/>
      <x:c r="J1114" t="str" s="2">
        <x:v>Elias Gallardo</x:v>
      </x:c>
      <x:c r="K1114" t="n" s="2">
        <x:v>59</x:v>
      </x:c>
      <x:c r="L1114" t="str" s="2">
        <x:v>4.3</x:v>
      </x:c>
      <x:c r="M1114" t="str" s="2">
        <x:v>Active</x:v>
      </x:c>
      <x:c r="N1114" t="str" s="2">
        <x:v>Loan Approved</x:v>
      </x:c>
      <x:c r="O1114" s="6">
        <x:v>46326</x:v>
      </x:c>
      <x:c r="P1114" s="6">
        <x:v>46269</x:v>
      </x:c>
      <x:c r="Q1114" s="6">
        <x:v>46307.70372592592</x:v>
      </x:c>
      <x:c r="R1114" s="0"/>
      <x:c r="S1114" s="6">
        <x:v>46268</x:v>
      </x:c>
      <x:c r="T1114" s="0"/>
      <x:c r="U1114" s="6">
        <x:v>46297</x:v>
      </x:c>
      <x:c r="V1114" s="0"/>
      <x:c r="W1114" s="0"/>
      <x:c r="X1114" t="str" s="2">
        <x:v>4303390747</x:v>
      </x:c>
      <x:c r="Y1114" t="str" s="2">
        <x:v>4303390747</x:v>
      </x:c>
      <x:c r="Z1114" s="6">
        <x:v>46297.640986770835</x:v>
      </x:c>
      <x:c r="AA1114" t="str" s="2">
        <x:v>Dane Lara</x:v>
      </x:c>
      <x:c r="AB1114" s="6">
        <x:v>46269.594386840276</x:v>
      </x:c>
      <x:c r="AC1114" t="n" s="2">
        <x:v>39665</x:v>
      </x:c>
      <x:c r="AD1114" t="str" s="2">
        <x:v>Singlewide</x:v>
      </x:c>
      <x:c r="AE1114" t="str" s="2">
        <x:v>21st Mortgage Corporation</x:v>
      </x:c>
      <x:c r="AF1114" s="0"/>
      <x:c r="AG1114" s="0"/>
      <x:c r="AH1114" s="7">
        <x:v>500</x:v>
      </x:c>
      <x:c r="AI1114" s="0"/>
      <x:c r="AJ1114" s="0"/>
      <x:c r="AK1114" s="0"/>
    </x:row>
    <x:row r="1115">
      <x:c r="A1115" t="str" s="2">
        <x:f>=HYPERLINK("https://rsms.futurehomex.com/lead/39666", "John Welty")</x:f>
      </x:c>
      <x:c r="B1115" t="n" s="2">
        <x:v>39</x:v>
      </x:c>
      <x:c r="C1115" t="str" s="2">
        <x:v>0/4</x:v>
      </x:c>
      <x:c r="D1115" t="str" s="2">
        <x:f>=""</x:f>
      </x:c>
      <x:c r="E1115" s="0"/>
      <x:c r="F1115" t="str" s="2">
        <x:v>Youtube</x:v>
      </x:c>
      <x:c r="G1115" t="str" s="2">
        <x:v>Heritage Housing of Oklahoma City</x:v>
      </x:c>
      <x:c r="H1115" t="str" s="2">
        <x:v>Steve Castell</x:v>
      </x:c>
      <x:c r="I1115" s="0"/>
      <x:c r="J1115" s="0"/>
      <x:c r="K1115" t="n" s="2">
        <x:v>5</x:v>
      </x:c>
      <x:c r="L1115" t="str" s="2">
        <x:v>1.1</x:v>
      </x:c>
      <x:c r="M1115" t="str" s="2">
        <x:v>Inactive</x:v>
      </x:c>
      <x:c r="N1115" t="str" s="2">
        <x:v>Deal Created</x:v>
      </x:c>
      <x:c r="O1115" s="0"/>
      <x:c r="P1115" s="6">
        <x:v>46269</x:v>
      </x:c>
      <x:c r="Q1115" s="6">
        <x:v>46269.59631936342</x:v>
      </x:c>
      <x:c r="R1115" s="0"/>
      <x:c r="S1115" s="0"/>
      <x:c r="T1115" s="0"/>
      <x:c r="U1115" s="0"/>
      <x:c r="V1115" s="0"/>
      <x:c r="W1115" s="0"/>
      <x:c r="X1115" t="str" s="2">
        <x:v>5802847097</x:v>
      </x:c>
      <x:c r="Y1115" t="str" s="2">
        <x:v>johnwelty85@gmail.com</x:v>
      </x:c>
      <x:c r="Z1115" s="6">
        <x:v>46300.99477653935</x:v>
      </x:c>
      <x:c r="AA1115" t="str" s="2">
        <x:v>Steve Castell</x:v>
      </x:c>
      <x:c r="AB1115" s="6">
        <x:v>46274.603116053244</x:v>
      </x:c>
      <x:c r="AC1115" t="n" s="2">
        <x:v>39666</x:v>
      </x:c>
      <x:c r="AD1115" s="0"/>
      <x:c r="AE1115" s="0"/>
      <x:c r="AF1115" s="0"/>
      <x:c r="AG1115" s="0"/>
      <x:c r="AH1115" s="0"/>
      <x:c r="AI1115" s="0"/>
      <x:c r="AJ1115" s="0"/>
      <x:c r="AK1115" s="0"/>
    </x:row>
    <x:row r="1116">
      <x:c r="A1116" t="str" s="2">
        <x:f>=HYPERLINK("https://rsms.futurehomex.com/lead/39667", "Jase Labauve")</x:f>
      </x:c>
      <x:c r="B1116" t="n" s="2">
        <x:v>39</x:v>
      </x:c>
      <x:c r="C1116" t="str" s="2">
        <x:v>0/2</x:v>
      </x:c>
      <x:c r="D1116" t="str" s="2">
        <x:f>=""</x:f>
      </x:c>
      <x:c r="E1116" s="0"/>
      <x:c r="F1116" t="str" s="2">
        <x:v>Walk-in</x:v>
      </x:c>
      <x:c r="G1116" t="str" s="2">
        <x:v>Heritage Housing of Jennings</x:v>
      </x:c>
      <x:c r="H1116" t="str" s="2">
        <x:v>Clint O'Neal</x:v>
      </x:c>
      <x:c r="I1116" s="0"/>
      <x:c r="J1116" s="0"/>
      <x:c r="K1116" t="n" s="2">
        <x:v>5</x:v>
      </x:c>
      <x:c r="L1116" t="str" s="2">
        <x:v>1.1</x:v>
      </x:c>
      <x:c r="M1116" t="str" s="2">
        <x:v>Active</x:v>
      </x:c>
      <x:c r="N1116" t="str" s="2">
        <x:v>Prospect</x:v>
      </x:c>
      <x:c r="O1116" s="0"/>
      <x:c r="P1116" s="6">
        <x:v>46269</x:v>
      </x:c>
      <x:c r="Q1116" s="6">
        <x:v>46269.643370798614</x:v>
      </x:c>
      <x:c r="R1116" s="0"/>
      <x:c r="S1116" s="6">
        <x:v>46269</x:v>
      </x:c>
      <x:c r="T1116" s="0"/>
      <x:c r="U1116" s="0"/>
      <x:c r="V1116" s="0"/>
      <x:c r="W1116" s="0"/>
      <x:c r="X1116" t="str" s="2">
        <x:v>3373689731</x:v>
      </x:c>
      <x:c r="Y1116" t="str" s="2">
        <x:v>jblabauve@gmail.com</x:v>
      </x:c>
      <x:c r="Z1116" s="6">
        <x:v>46279.67004444444</x:v>
      </x:c>
      <x:c r="AA1116" t="str" s="2">
        <x:v>Clint O'Neal</x:v>
      </x:c>
      <x:c r="AB1116" s="6">
        <x:v>46269.60063368056</x:v>
      </x:c>
      <x:c r="AC1116" t="n" s="2">
        <x:v>39667</x:v>
      </x:c>
      <x:c r="AD1116" s="0"/>
      <x:c r="AE1116" s="0"/>
      <x:c r="AF1116" s="0"/>
      <x:c r="AG1116" s="0"/>
      <x:c r="AH1116" s="0"/>
      <x:c r="AI1116" s="0"/>
      <x:c r="AJ1116" s="0"/>
      <x:c r="AK1116" s="0"/>
    </x:row>
    <x:row r="1117">
      <x:c r="A1117" t="str" s="2">
        <x:f>=HYPERLINK("https://rsms.futurehomex.com/lead/39668", "Myranda Heath")</x:f>
      </x:c>
      <x:c r="B1117" t="n" s="2">
        <x:v>39</x:v>
      </x:c>
      <x:c r="C1117" t="str" s="2">
        <x:v>0/4</x:v>
      </x:c>
      <x:c r="D1117" t="str" s="2">
        <x:f>=""</x:f>
      </x:c>
      <x:c r="E1117" s="0"/>
      <x:c r="F1117" t="str" s="2">
        <x:v>Landing_BPM</x:v>
      </x:c>
      <x:c r="G1117" t="str" s="2">
        <x:v>Heritage Housing of Oklahoma City</x:v>
      </x:c>
      <x:c r="H1117" t="str" s="2">
        <x:v>Steve Castell</x:v>
      </x:c>
      <x:c r="I1117" s="0"/>
      <x:c r="J1117" t="str" s="2">
        <x:v>Steve Castell</x:v>
      </x:c>
      <x:c r="K1117" t="n" s="2">
        <x:v>5</x:v>
      </x:c>
      <x:c r="L1117" t="str" s="2">
        <x:v>1.1</x:v>
      </x:c>
      <x:c r="M1117" t="str" s="2">
        <x:v>Inactive</x:v>
      </x:c>
      <x:c r="N1117" t="str" s="2">
        <x:v>Deal Created</x:v>
      </x:c>
      <x:c r="O1117" s="0"/>
      <x:c r="P1117" s="6">
        <x:v>46269</x:v>
      </x:c>
      <x:c r="Q1117" s="6">
        <x:v>46269.60244899306</x:v>
      </x:c>
      <x:c r="R1117" s="0"/>
      <x:c r="S1117" s="0"/>
      <x:c r="T1117" s="0"/>
      <x:c r="U1117" s="0"/>
      <x:c r="V1117" s="0"/>
      <x:c r="W1117" s="0"/>
      <x:c r="X1117" t="str" s="2">
        <x:v>5803706814</x:v>
      </x:c>
      <x:c r="Y1117" t="str" s="2">
        <x:v>randiheath1989@gmail.com</x:v>
      </x:c>
      <x:c r="Z1117" s="6">
        <x:v>46294.95734042824</x:v>
      </x:c>
      <x:c r="AA1117" t="str" s="2">
        <x:v>Steve Castell</x:v>
      </x:c>
      <x:c r="AB1117" s="6">
        <x:v>46269.60244945602</x:v>
      </x:c>
      <x:c r="AC1117" t="n" s="2">
        <x:v>39668</x:v>
      </x:c>
      <x:c r="AD1117" s="0"/>
      <x:c r="AE1117" s="0"/>
      <x:c r="AF1117" s="0"/>
      <x:c r="AG1117" s="0"/>
      <x:c r="AH1117" s="0"/>
      <x:c r="AI1117" s="0"/>
      <x:c r="AJ1117" s="0"/>
      <x:c r="AK1117" s="0"/>
    </x:row>
    <x:row r="1118">
      <x:c r="A1118" t="str" s="2">
        <x:f>=HYPERLINK("https://rsms.futurehomex.com/lead/39669", "Jared Goode")</x:f>
      </x:c>
      <x:c r="B1118" t="n" s="2">
        <x:v>39</x:v>
      </x:c>
      <x:c r="C1118" t="str" s="2">
        <x:v>1/1</x:v>
      </x:c>
      <x:c r="D1118" t="str" s="2">
        <x:f>=""</x:f>
      </x:c>
      <x:c r="E1118" s="0"/>
      <x:c r="F1118" t="str" s="2">
        <x:v>Facebook Messenger</x:v>
      </x:c>
      <x:c r="G1118" t="str" s="2">
        <x:v>Heritage Housing of Oklahoma City</x:v>
      </x:c>
      <x:c r="H1118" t="str" s="2">
        <x:v>Trey Rixleben</x:v>
      </x:c>
      <x:c r="I1118" s="0"/>
      <x:c r="J1118" t="str" s="2">
        <x:v>Trey Rixleben</x:v>
      </x:c>
      <x:c r="K1118" t="n" s="2">
        <x:v>5</x:v>
      </x:c>
      <x:c r="L1118" t="str" s="2">
        <x:v>1.1</x:v>
      </x:c>
      <x:c r="M1118" t="str" s="2">
        <x:v>Tentative</x:v>
      </x:c>
      <x:c r="N1118" t="str" s="2">
        <x:v>Deal Created</x:v>
      </x:c>
      <x:c r="O1118" s="0"/>
      <x:c r="P1118" s="6">
        <x:v>46269</x:v>
      </x:c>
      <x:c r="Q1118" s="6">
        <x:v>46300.98248958333</x:v>
      </x:c>
      <x:c r="R1118" s="0"/>
      <x:c r="S1118" s="0"/>
      <x:c r="T1118" s="0"/>
      <x:c r="U1118" s="0"/>
      <x:c r="V1118" s="0"/>
      <x:c r="W1118" s="0"/>
      <x:c r="X1118" t="str" s="2">
        <x:v>4053066724</x:v>
      </x:c>
      <x:c r="Y1118" t="str" s="2">
        <x:v>pandjayy4lyfers@icloud.com</x:v>
      </x:c>
      <x:c r="Z1118" s="6">
        <x:v>46295.945327430556</x:v>
      </x:c>
      <x:c r="AA1118" t="str" s="2">
        <x:v>Trey Rixleben</x:v>
      </x:c>
      <x:c r="AB1118" s="6">
        <x:v>46269.60784290509</x:v>
      </x:c>
      <x:c r="AC1118" t="n" s="2">
        <x:v>39669</x:v>
      </x:c>
      <x:c r="AD1118" s="0"/>
      <x:c r="AE1118" s="0"/>
      <x:c r="AF1118" s="0"/>
      <x:c r="AG1118" s="0"/>
      <x:c r="AH1118" s="0"/>
      <x:c r="AI1118" s="0"/>
      <x:c r="AJ1118" s="0"/>
      <x:c r="AK1118" s="0"/>
    </x:row>
    <x:row r="1119">
      <x:c r="A1119" t="str" s="2">
        <x:f>=HYPERLINK("https://rsms.futurehomex.com/lead/39670", "Ronda Griggs")</x:f>
      </x:c>
      <x:c r="B1119" t="n" s="2">
        <x:v>39</x:v>
      </x:c>
      <x:c r="C1119" t="str" s="2">
        <x:v>0/1</x:v>
      </x:c>
      <x:c r="D1119" t="str" s="2">
        <x:f>=""</x:f>
      </x:c>
      <x:c r="E1119" s="0"/>
      <x:c r="F1119" t="str" s="2">
        <x:v>Landing_BPM</x:v>
      </x:c>
      <x:c r="G1119" t="str" s="2">
        <x:v>Heritage Housing of Oklahoma City</x:v>
      </x:c>
      <x:c r="H1119" t="str" s="2">
        <x:v>Steve Castell</x:v>
      </x:c>
      <x:c r="I1119" s="0"/>
      <x:c r="J1119" t="str" s="2">
        <x:v>Steve Castell</x:v>
      </x:c>
      <x:c r="K1119" t="n" s="2">
        <x:v>5</x:v>
      </x:c>
      <x:c r="L1119" t="str" s="2">
        <x:v>1.1</x:v>
      </x:c>
      <x:c r="M1119" t="str" s="2">
        <x:v>Dead</x:v>
      </x:c>
      <x:c r="N1119" t="str" s="2">
        <x:v>Deal Created</x:v>
      </x:c>
      <x:c r="O1119" s="0"/>
      <x:c r="P1119" s="6">
        <x:v>46269</x:v>
      </x:c>
      <x:c r="Q1119" s="6">
        <x:v>46269.60999950232</x:v>
      </x:c>
      <x:c r="R1119" s="0"/>
      <x:c r="S1119" s="0"/>
      <x:c r="T1119" s="0"/>
      <x:c r="U1119" s="0"/>
      <x:c r="V1119" s="0"/>
      <x:c r="W1119" s="0"/>
      <x:c r="X1119" t="str" s="2">
        <x:v>4055190447</x:v>
      </x:c>
      <x:c r="Y1119" t="str" s="2">
        <x:v>ragriggs1964@gmail.com</x:v>
      </x:c>
      <x:c r="Z1119" s="6">
        <x:v>46269.89184945602</x:v>
      </x:c>
      <x:c r="AA1119" t="str" s="2">
        <x:v>Richard Bell</x:v>
      </x:c>
      <x:c r="AB1119" s="6">
        <x:v>46269.60999991898</x:v>
      </x:c>
      <x:c r="AC1119" t="n" s="2">
        <x:v>39670</x:v>
      </x:c>
      <x:c r="AD1119" s="0"/>
      <x:c r="AE1119" s="0"/>
      <x:c r="AF1119" s="0"/>
      <x:c r="AG1119" s="0"/>
      <x:c r="AH1119" s="0"/>
      <x:c r="AI1119" s="0"/>
      <x:c r="AJ1119" s="0"/>
      <x:c r="AK1119" s="0"/>
    </x:row>
    <x:row r="1120">
      <x:c r="A1120" t="str" s="2">
        <x:f>=HYPERLINK("https://rsms.futurehomex.com/lead/39671", "Tiffany Hickman")</x:f>
      </x:c>
      <x:c r="B1120" t="n" s="2">
        <x:v>39</x:v>
      </x:c>
      <x:c r="C1120" t="str" s="2">
        <x:v>0/2</x:v>
      </x:c>
      <x:c r="D1120" t="str" s="2">
        <x:f>=""</x:f>
      </x:c>
      <x:c r="E1120" s="0"/>
      <x:c r="F1120" t="str" s="2">
        <x:v>Facebook Messenger</x:v>
      </x:c>
      <x:c r="G1120" t="str" s="2">
        <x:v>Heritage Housing of Oklahoma City</x:v>
      </x:c>
      <x:c r="H1120" t="str" s="2">
        <x:v>Steve Castell</x:v>
      </x:c>
      <x:c r="I1120" s="0"/>
      <x:c r="J1120" t="str" s="2">
        <x:v>Steve Castell</x:v>
      </x:c>
      <x:c r="K1120" t="n" s="2">
        <x:v>5</x:v>
      </x:c>
      <x:c r="L1120" t="str" s="2">
        <x:v>1.1</x:v>
      </x:c>
      <x:c r="M1120" t="str" s="2">
        <x:v>Inactive</x:v>
      </x:c>
      <x:c r="N1120" t="str" s="2">
        <x:v>Deal Created</x:v>
      </x:c>
      <x:c r="O1120" s="0"/>
      <x:c r="P1120" s="6">
        <x:v>46269</x:v>
      </x:c>
      <x:c r="Q1120" s="6">
        <x:v>46269.61093498843</x:v>
      </x:c>
      <x:c r="R1120" s="0"/>
      <x:c r="S1120" s="0"/>
      <x:c r="T1120" s="0"/>
      <x:c r="U1120" s="0"/>
      <x:c r="V1120" s="0"/>
      <x:c r="W1120" s="0"/>
      <x:c r="X1120" t="str" s="2">
        <x:v>4056000461</x:v>
      </x:c>
      <x:c r="Y1120" t="str" s="2">
        <x:v>4056000461</x:v>
      </x:c>
      <x:c r="Z1120" s="6">
        <x:v>46290.068494907406</x:v>
      </x:c>
      <x:c r="AA1120" t="str" s="2">
        <x:v>Steve Castell</x:v>
      </x:c>
      <x:c r="AB1120" s="6">
        <x:v>46269.61093541667</x:v>
      </x:c>
      <x:c r="AC1120" t="n" s="2">
        <x:v>39671</x:v>
      </x:c>
      <x:c r="AD1120" s="0"/>
      <x:c r="AE1120" s="0"/>
      <x:c r="AF1120" s="0"/>
      <x:c r="AG1120" s="0"/>
      <x:c r="AH1120" s="0"/>
      <x:c r="AI1120" s="0"/>
      <x:c r="AJ1120" s="0"/>
      <x:c r="AK1120" s="0"/>
    </x:row>
    <x:row r="1121">
      <x:c r="A1121" t="str" s="2">
        <x:f>=HYPERLINK("https://rsms.futurehomex.com/lead/39672", "Nicoli Owens")</x:f>
      </x:c>
      <x:c r="B1121" t="n" s="2">
        <x:v>39</x:v>
      </x:c>
      <x:c r="C1121" t="str" s="2">
        <x:v>0/1</x:v>
      </x:c>
      <x:c r="D1121" t="str" s="2">
        <x:f>=""</x:f>
      </x:c>
      <x:c r="E1121" s="0"/>
      <x:c r="F1121" t="str" s="2">
        <x:v>Financing Form</x:v>
      </x:c>
      <x:c r="G1121" t="str" s="2">
        <x:v>Heritage Housing of Oklahoma City</x:v>
      </x:c>
      <x:c r="H1121" t="str" s="2">
        <x:v>Steve Castell</x:v>
      </x:c>
      <x:c r="I1121" s="0"/>
      <x:c r="J1121" t="str" s="2">
        <x:v>Steve Castell</x:v>
      </x:c>
      <x:c r="K1121" t="n" s="2">
        <x:v>5</x:v>
      </x:c>
      <x:c r="L1121" t="str" s="2">
        <x:v>1.1</x:v>
      </x:c>
      <x:c r="M1121" t="str" s="2">
        <x:v>Inactive</x:v>
      </x:c>
      <x:c r="N1121" t="str" s="2">
        <x:v>Deal Created</x:v>
      </x:c>
      <x:c r="O1121" s="0"/>
      <x:c r="P1121" s="6">
        <x:v>46269</x:v>
      </x:c>
      <x:c r="Q1121" s="6">
        <x:v>46269.6169943287</x:v>
      </x:c>
      <x:c r="R1121" s="0"/>
      <x:c r="S1121" s="0"/>
      <x:c r="T1121" s="0"/>
      <x:c r="U1121" s="0"/>
      <x:c r="V1121" s="0"/>
      <x:c r="W1121" s="0"/>
      <x:c r="X1121" t="str" s="2">
        <x:v>5802541335</x:v>
      </x:c>
      <x:c r="Y1121" t="str" s="2">
        <x:v>nyeliquintero@gmail.com</x:v>
      </x:c>
      <x:c r="Z1121" s="6">
        <x:v>46270.65174097222</x:v>
      </x:c>
      <x:c r="AA1121" t="str" s="2">
        <x:v>Steve Castell</x:v>
      </x:c>
      <x:c r="AB1121" s="6">
        <x:v>46269.61699471065</x:v>
      </x:c>
      <x:c r="AC1121" t="n" s="2">
        <x:v>39672</x:v>
      </x:c>
      <x:c r="AD1121" s="0"/>
      <x:c r="AE1121" s="0"/>
      <x:c r="AF1121" s="0"/>
      <x:c r="AG1121" s="0"/>
      <x:c r="AH1121" s="0"/>
      <x:c r="AI1121" s="0"/>
      <x:c r="AJ1121" s="0"/>
      <x:c r="AK1121" s="0"/>
    </x:row>
    <x:row r="1122">
      <x:c r="A1122" t="str" s="2">
        <x:f>=HYPERLINK("https://rsms.futurehomex.com/lead/39673", "Autumn Bond")</x:f>
      </x:c>
      <x:c r="B1122" t="n" s="2">
        <x:v>39</x:v>
      </x:c>
      <x:c r="C1122" t="str" s="2">
        <x:v/>
      </x:c>
      <x:c r="D1122" t="str" s="2">
        <x:f>=""</x:f>
      </x:c>
      <x:c r="E1122" s="0"/>
      <x:c r="F1122" t="str" s="2">
        <x:v>Facebook Messenger</x:v>
      </x:c>
      <x:c r="G1122" t="str" s="2">
        <x:v>Heritage Housing of Oklahoma City</x:v>
      </x:c>
      <x:c r="H1122" t="str" s="2">
        <x:v>Steve Castell</x:v>
      </x:c>
      <x:c r="I1122" s="0"/>
      <x:c r="J1122" t="str" s="2">
        <x:v>Steve Castell</x:v>
      </x:c>
      <x:c r="K1122" t="n" s="2">
        <x:v>5</x:v>
      </x:c>
      <x:c r="L1122" t="str" s="2">
        <x:v>1.1</x:v>
      </x:c>
      <x:c r="M1122" t="str" s="2">
        <x:v>Dead</x:v>
      </x:c>
      <x:c r="N1122" t="str" s="2">
        <x:v>Deal Created</x:v>
      </x:c>
      <x:c r="O1122" s="0"/>
      <x:c r="P1122" s="6">
        <x:v>46269</x:v>
      </x:c>
      <x:c r="Q1122" s="6">
        <x:v>46269.621934953706</x:v>
      </x:c>
      <x:c r="R1122" s="0"/>
      <x:c r="S1122" s="0"/>
      <x:c r="T1122" s="0"/>
      <x:c r="U1122" s="0"/>
      <x:c r="V1122" s="0"/>
      <x:c r="W1122" s="0"/>
      <x:c r="X1122" t="str" s="2">
        <x:v>4057128969</x:v>
      </x:c>
      <x:c r="Y1122" t="str" s="2">
        <x:v>4057128969</x:v>
      </x:c>
      <x:c r="Z1122" s="0"/>
      <x:c r="AA1122" s="0"/>
      <x:c r="AB1122" s="6">
        <x:v>46269.62193541667</x:v>
      </x:c>
      <x:c r="AC1122" t="n" s="2">
        <x:v>39673</x:v>
      </x:c>
      <x:c r="AD1122" s="0"/>
      <x:c r="AE1122" s="0"/>
      <x:c r="AF1122" s="0"/>
      <x:c r="AG1122" s="0"/>
      <x:c r="AH1122" s="0"/>
      <x:c r="AI1122" s="0"/>
      <x:c r="AJ1122" s="0"/>
      <x:c r="AK1122" s="0"/>
    </x:row>
    <x:row r="1123">
      <x:c r="A1123" t="str" s="2">
        <x:f>=HYPERLINK("https://rsms.futurehomex.com/lead/39674", "Lane McEntire")</x:f>
      </x:c>
      <x:c r="B1123" t="n" s="2">
        <x:v>39</x:v>
      </x:c>
      <x:c r="C1123" t="str" s="2">
        <x:v/>
      </x:c>
      <x:c r="D1123" t="str" s="2">
        <x:f>=""</x:f>
      </x:c>
      <x:c r="E1123" s="0"/>
      <x:c r="F1123" t="str" s="2">
        <x:v>Facebook Messenger</x:v>
      </x:c>
      <x:c r="G1123" t="str" s="2">
        <x:v>Heritage Housing of Oklahoma City</x:v>
      </x:c>
      <x:c r="H1123" t="str" s="2">
        <x:v>Steve Castell</x:v>
      </x:c>
      <x:c r="I1123" s="0"/>
      <x:c r="J1123" t="str" s="2">
        <x:v>Steve Castell</x:v>
      </x:c>
      <x:c r="K1123" t="n" s="2">
        <x:v>5</x:v>
      </x:c>
      <x:c r="L1123" t="str" s="2">
        <x:v>1.1</x:v>
      </x:c>
      <x:c r="M1123" t="str" s="2">
        <x:v>Inactive</x:v>
      </x:c>
      <x:c r="N1123" t="str" s="2">
        <x:v>Deal Created</x:v>
      </x:c>
      <x:c r="O1123" s="0"/>
      <x:c r="P1123" s="6">
        <x:v>46269</x:v>
      </x:c>
      <x:c r="Q1123" s="6">
        <x:v>46269.62282754629</x:v>
      </x:c>
      <x:c r="R1123" s="0"/>
      <x:c r="S1123" s="0"/>
      <x:c r="T1123" s="0"/>
      <x:c r="U1123" s="0"/>
      <x:c r="V1123" s="0"/>
      <x:c r="W1123" s="0"/>
      <x:c r="X1123" t="str" s="2">
        <x:v>5807162133</x:v>
      </x:c>
      <x:c r="Y1123" t="str" s="2">
        <x:v>5807162133</x:v>
      </x:c>
      <x:c r="Z1123" s="6">
        <x:v>46269.624431331016</x:v>
      </x:c>
      <x:c r="AA1123" t="str" s="2">
        <x:v>Steve Castell</x:v>
      </x:c>
      <x:c r="AB1123" s="6">
        <x:v>46269.622827974534</x:v>
      </x:c>
      <x:c r="AC1123" t="n" s="2">
        <x:v>39674</x:v>
      </x:c>
      <x:c r="AD1123" s="0"/>
      <x:c r="AE1123" s="0"/>
      <x:c r="AF1123" s="0"/>
      <x:c r="AG1123" s="0"/>
      <x:c r="AH1123" s="0"/>
      <x:c r="AI1123" s="0"/>
      <x:c r="AJ1123" s="0"/>
      <x:c r="AK1123" s="0"/>
    </x:row>
    <x:row r="1124">
      <x:c r="A1124" t="str" s="2">
        <x:f>=HYPERLINK("https://rsms.futurehomex.com/lead/39675", "Kevin Duncan")</x:f>
      </x:c>
      <x:c r="B1124" t="n" s="2">
        <x:v>39</x:v>
      </x:c>
      <x:c r="C1124" t="str" s="2">
        <x:v>1/1</x:v>
      </x:c>
      <x:c r="D1124" t="str" s="2">
        <x:f>=""</x:f>
      </x:c>
      <x:c r="E1124" s="0"/>
      <x:c r="F1124" t="str" s="2">
        <x:v>Meta Marketplace</x:v>
      </x:c>
      <x:c r="G1124" t="str" s="2">
        <x:v>Heritage Housing of Oklahoma City</x:v>
      </x:c>
      <x:c r="H1124" t="str" s="2">
        <x:v>Trey Rixleben</x:v>
      </x:c>
      <x:c r="I1124" s="0"/>
      <x:c r="J1124" s="0"/>
      <x:c r="K1124" t="n" s="2">
        <x:v>5</x:v>
      </x:c>
      <x:c r="L1124" t="str" s="2">
        <x:v>1.1</x:v>
      </x:c>
      <x:c r="M1124" t="str" s="2">
        <x:v>Tentative</x:v>
      </x:c>
      <x:c r="N1124" t="str" s="2">
        <x:v>Deal Created</x:v>
      </x:c>
      <x:c r="O1124" s="0"/>
      <x:c r="P1124" s="6">
        <x:v>46269</x:v>
      </x:c>
      <x:c r="Q1124" s="6">
        <x:v>46269.622995335645</x:v>
      </x:c>
      <x:c r="R1124" s="0"/>
      <x:c r="S1124" s="0"/>
      <x:c r="T1124" s="0"/>
      <x:c r="U1124" s="0"/>
      <x:c r="V1124" s="0"/>
      <x:c r="W1124" s="0"/>
      <x:c r="X1124" t="str" s="2">
        <x:v>4056120696</x:v>
      </x:c>
      <x:c r="Y1124" t="str" s="2">
        <x:v>4056120696</x:v>
      </x:c>
      <x:c r="Z1124" s="6">
        <x:v>46269.66688668982</x:v>
      </x:c>
      <x:c r="AA1124" t="str" s="2">
        <x:v>Trey Rixleben</x:v>
      </x:c>
      <x:c r="AB1124" s="6">
        <x:v>46269.62299672454</x:v>
      </x:c>
      <x:c r="AC1124" t="n" s="2">
        <x:v>39675</x:v>
      </x:c>
      <x:c r="AD1124" s="0"/>
      <x:c r="AE1124" s="0"/>
      <x:c r="AF1124" s="0"/>
      <x:c r="AG1124" s="0"/>
      <x:c r="AH1124" s="0"/>
      <x:c r="AI1124" s="0"/>
      <x:c r="AJ1124" s="0"/>
      <x:c r="AK1124" s="0"/>
    </x:row>
    <x:row r="1125">
      <x:c r="A1125" t="str" s="2">
        <x:f>=HYPERLINK("https://rsms.futurehomex.com/lead/39676", "Melinda Newsome")</x:f>
      </x:c>
      <x:c r="B1125" t="n" s="2">
        <x:v>39</x:v>
      </x:c>
      <x:c r="C1125" t="str" s="2">
        <x:v>0/1</x:v>
      </x:c>
      <x:c r="D1125" t="str" s="2">
        <x:f>=""</x:f>
      </x:c>
      <x:c r="E1125" s="0"/>
      <x:c r="F1125" t="str" s="2">
        <x:v>Landing_BPM</x:v>
      </x:c>
      <x:c r="G1125" t="str" s="2">
        <x:v>Heritage Housing of Oklahoma City</x:v>
      </x:c>
      <x:c r="H1125" t="str" s="2">
        <x:v>Steve Castell</x:v>
      </x:c>
      <x:c r="I1125" s="0"/>
      <x:c r="J1125" t="str" s="2">
        <x:v>Steve Castell</x:v>
      </x:c>
      <x:c r="K1125" t="n" s="2">
        <x:v>5</x:v>
      </x:c>
      <x:c r="L1125" t="str" s="2">
        <x:v>1.1</x:v>
      </x:c>
      <x:c r="M1125" t="str" s="2">
        <x:v>Dead</x:v>
      </x:c>
      <x:c r="N1125" t="str" s="2">
        <x:v>Deal Created</x:v>
      </x:c>
      <x:c r="O1125" s="0"/>
      <x:c r="P1125" s="6">
        <x:v>46269</x:v>
      </x:c>
      <x:c r="Q1125" s="6">
        <x:v>46269.62500251157</x:v>
      </x:c>
      <x:c r="R1125" s="0"/>
      <x:c r="S1125" s="0"/>
      <x:c r="T1125" s="0"/>
      <x:c r="U1125" s="0"/>
      <x:c r="V1125" s="0"/>
      <x:c r="W1125" s="0"/>
      <x:c r="X1125" t="str" s="2">
        <x:v>9139446483</x:v>
      </x:c>
      <x:c r="Y1125" t="str" s="2">
        <x:v>ladygemini1700@gmail.com</x:v>
      </x:c>
      <x:c r="Z1125" s="6">
        <x:v>46276.60915188657</x:v>
      </x:c>
      <x:c r="AA1125" t="str" s="2">
        <x:v>Steve Castell</x:v>
      </x:c>
      <x:c r="AB1125" s="6">
        <x:v>46269.62471921296</x:v>
      </x:c>
      <x:c r="AC1125" t="n" s="2">
        <x:v>39676</x:v>
      </x:c>
      <x:c r="AD1125" s="0"/>
      <x:c r="AE1125" s="0"/>
      <x:c r="AF1125" s="0"/>
      <x:c r="AG1125" s="0"/>
      <x:c r="AH1125" s="0"/>
      <x:c r="AI1125" s="0"/>
      <x:c r="AJ1125" s="0"/>
      <x:c r="AK1125" s="0"/>
    </x:row>
    <x:row r="1126">
      <x:c r="A1126" t="str" s="2">
        <x:f>=HYPERLINK("https://rsms.futurehomex.com/lead/39681", "Melinda Newsome")</x:f>
      </x:c>
      <x:c r="B1126" t="n" s="2">
        <x:v>39</x:v>
      </x:c>
      <x:c r="C1126" t="str" s="2">
        <x:v>0/3</x:v>
      </x:c>
      <x:c r="D1126" t="str" s="2">
        <x:f>=""</x:f>
      </x:c>
      <x:c r="E1126" s="0"/>
      <x:c r="F1126" t="str" s="2">
        <x:v>Landing_BPM</x:v>
      </x:c>
      <x:c r="G1126" t="str" s="2">
        <x:v>Heritage Housing of Oklahoma City</x:v>
      </x:c>
      <x:c r="H1126" t="str" s="2">
        <x:v>Steve Castell</x:v>
      </x:c>
      <x:c r="I1126" s="0"/>
      <x:c r="J1126" t="str" s="2">
        <x:v>Steve Castell</x:v>
      </x:c>
      <x:c r="K1126" t="n" s="2">
        <x:v>5</x:v>
      </x:c>
      <x:c r="L1126" t="str" s="2">
        <x:v>1.1</x:v>
      </x:c>
      <x:c r="M1126" t="str" s="2">
        <x:v>Dead</x:v>
      </x:c>
      <x:c r="N1126" t="str" s="2">
        <x:v>Deal Created</x:v>
      </x:c>
      <x:c r="O1126" s="0"/>
      <x:c r="P1126" s="6">
        <x:v>46269</x:v>
      </x:c>
      <x:c r="Q1126" s="6">
        <x:v>46269.67554675926</x:v>
      </x:c>
      <x:c r="R1126" s="0"/>
      <x:c r="S1126" s="0"/>
      <x:c r="T1126" s="0"/>
      <x:c r="U1126" s="0"/>
      <x:c r="V1126" s="0"/>
      <x:c r="W1126" s="0"/>
      <x:c r="X1126" t="str" s="2">
        <x:v>9139446483</x:v>
      </x:c>
      <x:c r="Y1126" t="str" s="2">
        <x:v>ladygemini1700@gmail.com</x:v>
      </x:c>
      <x:c r="Z1126" s="6">
        <x:v>46282.937805243055</x:v>
      </x:c>
      <x:c r="AA1126" t="str" s="2">
        <x:v>Steve Castell</x:v>
      </x:c>
      <x:c r="AB1126" s="6">
        <x:v>46269.67524853009</x:v>
      </x:c>
      <x:c r="AC1126" t="n" s="2">
        <x:v>39681</x:v>
      </x:c>
      <x:c r="AD1126" s="0"/>
      <x:c r="AE1126" s="0"/>
      <x:c r="AF1126" s="0"/>
      <x:c r="AG1126" s="0"/>
      <x:c r="AH1126" s="0"/>
      <x:c r="AI1126" s="0"/>
      <x:c r="AJ1126" s="0"/>
      <x:c r="AK1126" s="0"/>
    </x:row>
    <x:row r="1127">
      <x:c r="A1127" t="str" s="2">
        <x:f>=HYPERLINK("https://rsms.futurehomex.com/lead/39682", "Eva Rosa")</x:f>
      </x:c>
      <x:c r="B1127" t="n" s="2">
        <x:v>39</x:v>
      </x:c>
      <x:c r="C1127" t="str" s="2">
        <x:v/>
      </x:c>
      <x:c r="D1127" t="str" s="2">
        <x:f>=""</x:f>
      </x:c>
      <x:c r="E1127" s="0"/>
      <x:c r="F1127" t="str" s="2">
        <x:v>Facebook Messenger</x:v>
      </x:c>
      <x:c r="G1127" t="str" s="2">
        <x:v>Heritage Housing of Asheboro</x:v>
      </x:c>
      <x:c r="H1127" t="str" s="2">
        <x:v>Maria Lopez</x:v>
      </x:c>
      <x:c r="I1127" s="0"/>
      <x:c r="J1127" s="0"/>
      <x:c r="K1127" t="n" s="2">
        <x:v>21</x:v>
      </x:c>
      <x:c r="L1127" t="str" s="2">
        <x:v>2.1</x:v>
      </x:c>
      <x:c r="M1127" t="str" s="2">
        <x:v>Tentative</x:v>
      </x:c>
      <x:c r="N1127" t="str" s="2">
        <x:v>Qualified</x:v>
      </x:c>
      <x:c r="O1127" s="0"/>
      <x:c r="P1127" s="6">
        <x:v>46269</x:v>
      </x:c>
      <x:c r="Q1127" s="6">
        <x:v>46282.74574521991</x:v>
      </x:c>
      <x:c r="R1127" s="0"/>
      <x:c r="S1127" s="6">
        <x:v>46269</x:v>
      </x:c>
      <x:c r="T1127" s="0"/>
      <x:c r="U1127" s="0"/>
      <x:c r="V1127" s="0"/>
      <x:c r="W1127" s="0"/>
      <x:c r="X1127" t="str" s="2">
        <x:v>6099806581</x:v>
      </x:c>
      <x:c r="Y1127" t="str" s="2">
        <x:v>eoliveras723@gmail.com</x:v>
      </x:c>
      <x:c r="Z1127" s="6">
        <x:v>46282.74573167824</x:v>
      </x:c>
      <x:c r="AA1127" t="str" s="2">
        <x:v>Jeremy Jacques</x:v>
      </x:c>
      <x:c r="AB1127" s="6">
        <x:v>46269.765660613426</x:v>
      </x:c>
      <x:c r="AC1127" t="n" s="2">
        <x:v>39682</x:v>
      </x:c>
      <x:c r="AD1127" s="0"/>
      <x:c r="AE1127" s="0"/>
      <x:c r="AF1127" s="0"/>
      <x:c r="AG1127" s="0"/>
      <x:c r="AH1127" s="0"/>
      <x:c r="AI1127" s="0"/>
      <x:c r="AJ1127" s="0"/>
      <x:c r="AK1127" s="0"/>
    </x:row>
    <x:row r="1128">
      <x:c r="A1128" t="str" s="2">
        <x:f>=HYPERLINK("https://rsms.futurehomex.com/lead/39683", "Kackie Mccracken")</x:f>
      </x:c>
      <x:c r="B1128" t="n" s="2">
        <x:v>39</x:v>
      </x:c>
      <x:c r="C1128" t="str" s="2">
        <x:v>1/1</x:v>
      </x:c>
      <x:c r="D1128" t="str" s="2">
        <x:f>=""</x:f>
      </x:c>
      <x:c r="E1128" s="0"/>
      <x:c r="F1128" t="str" s="2">
        <x:v>Landing_BPM</x:v>
      </x:c>
      <x:c r="G1128" t="str" s="2">
        <x:v>Heritage Housing of Oklahoma City</x:v>
      </x:c>
      <x:c r="H1128" t="str" s="2">
        <x:v>Trey Rixleben</x:v>
      </x:c>
      <x:c r="I1128" s="0"/>
      <x:c r="J1128" t="str" s="2">
        <x:v>Trey Rixleben</x:v>
      </x:c>
      <x:c r="K1128" t="n" s="2">
        <x:v>5</x:v>
      </x:c>
      <x:c r="L1128" t="str" s="2">
        <x:v>1.1</x:v>
      </x:c>
      <x:c r="M1128" t="str" s="2">
        <x:v>Tentative</x:v>
      </x:c>
      <x:c r="N1128" t="str" s="2">
        <x:v>Deal Created</x:v>
      </x:c>
      <x:c r="O1128" s="0"/>
      <x:c r="P1128" s="6">
        <x:v>46269</x:v>
      </x:c>
      <x:c r="Q1128" s="6">
        <x:v>46290.95754725694</x:v>
      </x:c>
      <x:c r="R1128" s="0"/>
      <x:c r="S1128" s="0"/>
      <x:c r="T1128" s="0"/>
      <x:c r="U1128" s="0"/>
      <x:c r="V1128" s="0"/>
      <x:c r="W1128" s="0"/>
      <x:c r="X1128" t="str" s="2">
        <x:v>4058661338</x:v>
      </x:c>
      <x:c r="Y1128" t="str" s="2">
        <x:v>jackiemcracken1989@gmail.com</x:v>
      </x:c>
      <x:c r="Z1128" s="6">
        <x:v>46290.958444097225</x:v>
      </x:c>
      <x:c r="AA1128" t="str" s="2">
        <x:v>Trey Rixleben</x:v>
      </x:c>
      <x:c r="AB1128" s="6">
        <x:v>46269.78028452546</x:v>
      </x:c>
      <x:c r="AC1128" t="n" s="2">
        <x:v>39683</x:v>
      </x:c>
      <x:c r="AD1128" s="0"/>
      <x:c r="AE1128" s="0"/>
      <x:c r="AF1128" s="0"/>
      <x:c r="AG1128" s="0"/>
      <x:c r="AH1128" s="0"/>
      <x:c r="AI1128" s="0"/>
      <x:c r="AJ1128" s="0"/>
      <x:c r="AK1128" s="0"/>
    </x:row>
    <x:row r="1129">
      <x:c r="A1129" t="str" s="2">
        <x:f>=HYPERLINK("https://rsms.futurehomex.com/lead/39684", "Juan Rivera")</x:f>
      </x:c>
      <x:c r="B1129" t="n" s="2">
        <x:v>39</x:v>
      </x:c>
      <x:c r="C1129" t="str" s="2">
        <x:v/>
      </x:c>
      <x:c r="D1129" t="str" s="2">
        <x:f>=""</x:f>
      </x:c>
      <x:c r="E1129" s="0"/>
      <x:c r="F1129" t="str" s="2">
        <x:v>Facebook Messenger</x:v>
      </x:c>
      <x:c r="G1129" t="str" s="2">
        <x:v>Heritage Housing of Asheboro</x:v>
      </x:c>
      <x:c r="H1129" t="str" s="2">
        <x:v>Maria Lopez</x:v>
      </x:c>
      <x:c r="I1129" s="0"/>
      <x:c r="J1129" s="0"/>
      <x:c r="K1129" t="n" s="2">
        <x:v>21</x:v>
      </x:c>
      <x:c r="L1129" t="str" s="2">
        <x:v>2.1</x:v>
      </x:c>
      <x:c r="M1129" t="str" s="2">
        <x:v>Tentative</x:v>
      </x:c>
      <x:c r="N1129" t="str" s="2">
        <x:v>Qualified</x:v>
      </x:c>
      <x:c r="O1129" s="0"/>
      <x:c r="P1129" s="6">
        <x:v>46269</x:v>
      </x:c>
      <x:c r="Q1129" s="6">
        <x:v>46282.746095752314</x:v>
      </x:c>
      <x:c r="R1129" s="0"/>
      <x:c r="S1129" s="6">
        <x:v>46269</x:v>
      </x:c>
      <x:c r="T1129" s="0"/>
      <x:c r="U1129" s="0"/>
      <x:c r="V1129" s="0"/>
      <x:c r="W1129" s="0"/>
      <x:c r="X1129" t="str" s="2">
        <x:v>3366538390</x:v>
      </x:c>
      <x:c r="Y1129" t="str" s="2">
        <x:v>manolo_76@yahoo.com</x:v>
      </x:c>
      <x:c r="Z1129" s="6">
        <x:v>46282.74608059028</x:v>
      </x:c>
      <x:c r="AA1129" t="str" s="2">
        <x:v>Jeremy Jacques</x:v>
      </x:c>
      <x:c r="AB1129" s="6">
        <x:v>46269.80069991898</x:v>
      </x:c>
      <x:c r="AC1129" t="n" s="2">
        <x:v>39684</x:v>
      </x:c>
      <x:c r="AD1129" s="0"/>
      <x:c r="AE1129" s="0"/>
      <x:c r="AF1129" s="0"/>
      <x:c r="AG1129" s="0"/>
      <x:c r="AH1129" s="0"/>
      <x:c r="AI1129" s="0"/>
      <x:c r="AJ1129" s="0"/>
      <x:c r="AK1129" s="0"/>
    </x:row>
    <x:row r="1130">
      <x:c r="A1130" t="str" s="2">
        <x:f>=HYPERLINK("https://rsms.futurehomex.com/lead/39685", "Bryan Funeral Director")</x:f>
      </x:c>
      <x:c r="B1130" t="n" s="2">
        <x:v>39</x:v>
      </x:c>
      <x:c r="C1130" t="str" s="2">
        <x:v>0/1</x:v>
      </x:c>
      <x:c r="D1130" t="str" s="2">
        <x:f>=""</x:f>
      </x:c>
      <x:c r="E1130" s="0"/>
      <x:c r="F1130" t="str" s="2">
        <x:v>Other</x:v>
      </x:c>
      <x:c r="G1130" t="str" s="2">
        <x:v>Heritage Housing of Albany</x:v>
      </x:c>
      <x:c r="H1130" t="str" s="2">
        <x:v>Alexander Bryant</x:v>
      </x:c>
      <x:c r="I1130" t="str" s="2">
        <x:v>Karol Romero</x:v>
      </x:c>
      <x:c r="J1130" t="str" s="2">
        <x:v>Alexander Bryant</x:v>
      </x:c>
      <x:c r="K1130" t="n" s="2">
        <x:v>5</x:v>
      </x:c>
      <x:c r="L1130" t="str" s="2">
        <x:v>1.1</x:v>
      </x:c>
      <x:c r="M1130" t="str" s="2">
        <x:v>Dead</x:v>
      </x:c>
      <x:c r="N1130" t="str" s="2">
        <x:v>Deal Created</x:v>
      </x:c>
      <x:c r="O1130" s="0"/>
      <x:c r="P1130" s="6">
        <x:v>46269</x:v>
      </x:c>
      <x:c r="Q1130" s="6">
        <x:v>46269.80443321759</x:v>
      </x:c>
      <x:c r="R1130" s="0"/>
      <x:c r="S1130" s="0"/>
      <x:c r="T1130" s="0"/>
      <x:c r="U1130" s="0"/>
      <x:c r="V1130" s="0"/>
      <x:c r="W1130" s="0"/>
      <x:c r="X1130" t="str" s="2">
        <x:v>2293397726</x:v>
      </x:c>
      <x:c r="Y1130" t="str" s="2">
        <x:v>2293397726</x:v>
      </x:c>
      <x:c r="Z1130" s="6">
        <x:v>46302.84398680556</x:v>
      </x:c>
      <x:c r="AA1130" t="str" s="2">
        <x:v>Justin Johnson</x:v>
      </x:c>
      <x:c r="AB1130" s="6">
        <x:v>46269.80443483796</x:v>
      </x:c>
      <x:c r="AC1130" t="n" s="2">
        <x:v>39685</x:v>
      </x:c>
      <x:c r="AD1130" s="0"/>
      <x:c r="AE1130" s="0"/>
      <x:c r="AF1130" s="0"/>
      <x:c r="AG1130" s="0"/>
      <x:c r="AH1130" s="0"/>
      <x:c r="AI1130" s="0"/>
      <x:c r="AJ1130" s="0"/>
      <x:c r="AK1130" s="0"/>
    </x:row>
    <x:row r="1131">
      <x:c r="A1131" t="str" s="2">
        <x:f>=HYPERLINK("https://rsms.futurehomex.com/lead/39689", "Leroy Hudson")</x:f>
      </x:c>
      <x:c r="B1131" t="n" s="2">
        <x:v>39</x:v>
      </x:c>
      <x:c r="C1131" t="str" s="2">
        <x:v/>
      </x:c>
      <x:c r="D1131" t="str" s="2">
        <x:f>=""</x:f>
      </x:c>
      <x:c r="E1131" s="0"/>
      <x:c r="F1131" t="str" s="2">
        <x:v>Walk-in</x:v>
      </x:c>
      <x:c r="G1131" t="str" s="2">
        <x:v>Heritage Housing of Greenville</x:v>
      </x:c>
      <x:c r="H1131" t="str" s="2">
        <x:v>Greg Christman</x:v>
      </x:c>
      <x:c r="I1131" s="0"/>
      <x:c r="J1131" t="str" s="2">
        <x:v>Greg Christman</x:v>
      </x:c>
      <x:c r="K1131" t="n" s="2">
        <x:v>34</x:v>
      </x:c>
      <x:c r="L1131" t="str" s="2">
        <x:v>2.4</x:v>
      </x:c>
      <x:c r="M1131" t="str" s="2">
        <x:v>Dead</x:v>
      </x:c>
      <x:c r="N1131" t="str" s="2">
        <x:v>Deal approval</x:v>
      </x:c>
      <x:c r="O1131" s="0"/>
      <x:c r="P1131" s="6">
        <x:v>46269</x:v>
      </x:c>
      <x:c r="Q1131" s="6">
        <x:v>46269.85410170139</x:v>
      </x:c>
      <x:c r="R1131" s="0"/>
      <x:c r="S1131" s="6">
        <x:v>46269</x:v>
      </x:c>
      <x:c r="T1131" s="0"/>
      <x:c r="U1131" s="0"/>
      <x:c r="V1131" s="0"/>
      <x:c r="W1131" s="0"/>
      <x:c r="X1131" t="str" s="2">
        <x:v>9032173813</x:v>
      </x:c>
      <x:c r="Y1131" t="str" s="2">
        <x:v>9032173813</x:v>
      </x:c>
      <x:c r="Z1131" s="6">
        <x:v>46273.72431261574</x:v>
      </x:c>
      <x:c r="AA1131" t="str" s="2">
        <x:v>Brandie Sartor</x:v>
      </x:c>
      <x:c r="AB1131" s="6">
        <x:v>46269.85046299769</x:v>
      </x:c>
      <x:c r="AC1131" t="n" s="2">
        <x:v>39689</x:v>
      </x:c>
      <x:c r="AD1131" t="str" s="2">
        <x:v>Singlewide</x:v>
      </x:c>
      <x:c r="AE1131" s="0"/>
      <x:c r="AF1131" s="0"/>
      <x:c r="AG1131" s="0"/>
      <x:c r="AH1131" s="0"/>
      <x:c r="AI1131" s="0"/>
      <x:c r="AJ1131" s="0"/>
      <x:c r="AK1131" s="0"/>
    </x:row>
    <x:row r="1132">
      <x:c r="A1132" t="str" s="2">
        <x:f>=HYPERLINK("https://rsms.futurehomex.com/lead/39690", "Crystal Edmonds")</x:f>
      </x:c>
      <x:c r="B1132" t="n" s="2">
        <x:v>39</x:v>
      </x:c>
      <x:c r="C1132" t="str" s="2">
        <x:v/>
      </x:c>
      <x:c r="D1132" t="str" s="2">
        <x:f>=""</x:f>
      </x:c>
      <x:c r="E1132" s="0"/>
      <x:c r="F1132" t="str" s="2">
        <x:v>Walk-in</x:v>
      </x:c>
      <x:c r="G1132" t="str" s="2">
        <x:v>Heritage Housing of Asheboro</x:v>
      </x:c>
      <x:c r="H1132" t="str" s="2">
        <x:v>Kate Gutierrez</x:v>
      </x:c>
      <x:c r="I1132" s="0"/>
      <x:c r="J1132" s="0"/>
      <x:c r="K1132" t="n" s="2">
        <x:v>21</x:v>
      </x:c>
      <x:c r="L1132" t="str" s="2">
        <x:v>2.1</x:v>
      </x:c>
      <x:c r="M1132" t="str" s="2">
        <x:v>Tentative</x:v>
      </x:c>
      <x:c r="N1132" t="str" s="2">
        <x:v>Qualified</x:v>
      </x:c>
      <x:c r="O1132" s="0"/>
      <x:c r="P1132" s="6">
        <x:v>46269</x:v>
      </x:c>
      <x:c r="Q1132" s="6">
        <x:v>46282.74642461805</x:v>
      </x:c>
      <x:c r="R1132" s="0"/>
      <x:c r="S1132" s="0"/>
      <x:c r="T1132" s="0"/>
      <x:c r="U1132" s="0"/>
      <x:c r="V1132" s="0"/>
      <x:c r="W1132" s="0"/>
      <x:c r="X1132" t="str" s="2">
        <x:v>4722037853</x:v>
      </x:c>
      <x:c r="Y1132" t="str" s="2">
        <x:v>crystaldawn3.1983@icloud.com</x:v>
      </x:c>
      <x:c r="Z1132" s="6">
        <x:v>46282.746408831015</x:v>
      </x:c>
      <x:c r="AA1132" t="str" s="2">
        <x:v>Jeremy Jacques</x:v>
      </x:c>
      <x:c r="AB1132" s="6">
        <x:v>46269.859858599535</x:v>
      </x:c>
      <x:c r="AC1132" t="n" s="2">
        <x:v>39690</x:v>
      </x:c>
      <x:c r="AD1132" s="0"/>
      <x:c r="AE1132" s="0"/>
      <x:c r="AF1132" s="0"/>
      <x:c r="AG1132" s="0"/>
      <x:c r="AH1132" s="0"/>
      <x:c r="AI1132" s="0"/>
      <x:c r="AJ1132" s="0"/>
      <x:c r="AK1132" s="0"/>
    </x:row>
    <x:row r="1133">
      <x:c r="A1133" t="str" s="2">
        <x:f>=HYPERLINK("https://rsms.futurehomex.com/lead/39691", "Flor Juarez")</x:f>
      </x:c>
      <x:c r="B1133" t="n" s="2">
        <x:v>39</x:v>
      </x:c>
      <x:c r="C1133" t="str" s="2">
        <x:v/>
      </x:c>
      <x:c r="D1133" t="str" s="2">
        <x:f>=""</x:f>
      </x:c>
      <x:c r="E1133" s="0"/>
      <x:c r="F1133" t="str" s="2">
        <x:v>Facebook Messenger</x:v>
      </x:c>
      <x:c r="G1133" t="str" s="2">
        <x:v>Heritage Housing of Asheboro</x:v>
      </x:c>
      <x:c r="H1133" t="str" s="2">
        <x:v>Maria Lopez</x:v>
      </x:c>
      <x:c r="I1133" s="0"/>
      <x:c r="J1133" s="0"/>
      <x:c r="K1133" t="n" s="2">
        <x:v>21</x:v>
      </x:c>
      <x:c r="L1133" t="str" s="2">
        <x:v>2.1</x:v>
      </x:c>
      <x:c r="M1133" t="str" s="2">
        <x:v>Tentative</x:v>
      </x:c>
      <x:c r="N1133" t="str" s="2">
        <x:v>Qualified</x:v>
      </x:c>
      <x:c r="O1133" s="0"/>
      <x:c r="P1133" s="6">
        <x:v>46269</x:v>
      </x:c>
      <x:c r="Q1133" s="6">
        <x:v>46282.74674880787</x:v>
      </x:c>
      <x:c r="R1133" s="0"/>
      <x:c r="S1133" s="6">
        <x:v>46269</x:v>
      </x:c>
      <x:c r="T1133" s="0"/>
      <x:c r="U1133" s="0"/>
      <x:c r="V1133" s="0"/>
      <x:c r="W1133" s="0"/>
      <x:c r="X1133" t="str" s="2">
        <x:v>3364605597</x:v>
      </x:c>
      <x:c r="Y1133" t="str" s="2">
        <x:v>flowjuarez@icloud.com</x:v>
      </x:c>
      <x:c r="Z1133" s="6">
        <x:v>46282.746734803244</x:v>
      </x:c>
      <x:c r="AA1133" t="str" s="2">
        <x:v>Jeremy Jacques</x:v>
      </x:c>
      <x:c r="AB1133" s="6">
        <x:v>46269.88158217593</x:v>
      </x:c>
      <x:c r="AC1133" t="n" s="2">
        <x:v>39691</x:v>
      </x:c>
      <x:c r="AD1133" s="0"/>
      <x:c r="AE1133" s="0"/>
      <x:c r="AF1133" s="0"/>
      <x:c r="AG1133" s="0"/>
      <x:c r="AH1133" s="0"/>
      <x:c r="AI1133" s="0"/>
      <x:c r="AJ1133" s="0"/>
      <x:c r="AK1133" s="0"/>
    </x:row>
    <x:row r="1134">
      <x:c r="A1134" t="str" s="2">
        <x:f>=HYPERLINK("https://rsms.futurehomex.com/lead/39692", "Diane Doughty")</x:f>
      </x:c>
      <x:c r="B1134" t="n" s="2">
        <x:v>39</x:v>
      </x:c>
      <x:c r="C1134" t="str" s="2">
        <x:v/>
      </x:c>
      <x:c r="D1134" t="str" s="2">
        <x:f>=""</x:f>
      </x:c>
      <x:c r="E1134" s="0"/>
      <x:c r="F1134" t="str" s="2">
        <x:v>Office Hot Calls</x:v>
      </x:c>
      <x:c r="G1134" t="str" s="2">
        <x:v>Heritage Housing of Augusta</x:v>
      </x:c>
      <x:c r="H1134" t="str" s="2">
        <x:v>Faye Lively</x:v>
      </x:c>
      <x:c r="I1134" t="str" s="2">
        <x:v>Karol Romero</x:v>
      </x:c>
      <x:c r="J1134" t="str" s="2">
        <x:v>Faye Lively</x:v>
      </x:c>
      <x:c r="K1134" t="n" s="2">
        <x:v>5</x:v>
      </x:c>
      <x:c r="L1134" t="str" s="2">
        <x:v>1.1</x:v>
      </x:c>
      <x:c r="M1134" t="str" s="2">
        <x:v>Tentative</x:v>
      </x:c>
      <x:c r="N1134" t="str" s="2">
        <x:v>Deal Created</x:v>
      </x:c>
      <x:c r="O1134" s="0"/>
      <x:c r="P1134" s="6">
        <x:v>46269</x:v>
      </x:c>
      <x:c r="Q1134" s="6">
        <x:v>46280.5912474537</x:v>
      </x:c>
      <x:c r="R1134" s="0"/>
      <x:c r="S1134" s="0"/>
      <x:c r="T1134" s="0"/>
      <x:c r="U1134" s="0"/>
      <x:c r="V1134" s="0"/>
      <x:c r="W1134" s="0"/>
      <x:c r="X1134" t="str" s="2">
        <x:v>8432470876</x:v>
      </x:c>
      <x:c r="Y1134" t="str" s="2">
        <x:v>dianedoughty70@gmail.com</x:v>
      </x:c>
      <x:c r="Z1134" s="6">
        <x:v>46280.592914849534</x:v>
      </x:c>
      <x:c r="AA1134" t="str" s="2">
        <x:v>Faye Lively</x:v>
      </x:c>
      <x:c r="AB1134" s="6">
        <x:v>46269.882396030094</x:v>
      </x:c>
      <x:c r="AC1134" t="n" s="2">
        <x:v>39692</x:v>
      </x:c>
      <x:c r="AD1134" s="0"/>
      <x:c r="AE1134" s="0"/>
      <x:c r="AF1134" s="0"/>
      <x:c r="AG1134" s="0"/>
      <x:c r="AH1134" s="0"/>
      <x:c r="AI1134" s="0"/>
      <x:c r="AJ1134" s="0"/>
      <x:c r="AK1134" s="0"/>
    </x:row>
    <x:row r="1135">
      <x:c r="A1135" t="str" s="2">
        <x:f>=HYPERLINK("https://rsms.futurehomex.com/lead/39693", "Cynthia Hardesty")</x:f>
      </x:c>
      <x:c r="B1135" t="n" s="2">
        <x:v>39</x:v>
      </x:c>
      <x:c r="C1135" t="str" s="2">
        <x:v>0/2</x:v>
      </x:c>
      <x:c r="D1135" t="str" s="2">
        <x:f>=""</x:f>
      </x:c>
      <x:c r="E1135" t="str" s="2">
        <x:v>Ronald Burchfield</x:v>
      </x:c>
      <x:c r="F1135" t="str" s="2">
        <x:v>Facebook Messenger</x:v>
      </x:c>
      <x:c r="G1135" t="str" s="2">
        <x:v>Heritage Housing of Oklahoma City</x:v>
      </x:c>
      <x:c r="H1135" t="str" s="2">
        <x:v>Steve Castell</x:v>
      </x:c>
      <x:c r="I1135" s="0"/>
      <x:c r="J1135" t="str" s="2">
        <x:v>Steve Castell</x:v>
      </x:c>
      <x:c r="K1135" t="n" s="2">
        <x:v>5</x:v>
      </x:c>
      <x:c r="L1135" t="str" s="2">
        <x:v>1.1</x:v>
      </x:c>
      <x:c r="M1135" t="str" s="2">
        <x:v>Inactive</x:v>
      </x:c>
      <x:c r="N1135" t="str" s="2">
        <x:v>Deal Created</x:v>
      </x:c>
      <x:c r="O1135" s="0"/>
      <x:c r="P1135" s="6">
        <x:v>46269</x:v>
      </x:c>
      <x:c r="Q1135" s="6">
        <x:v>46270.02099267361</x:v>
      </x:c>
      <x:c r="R1135" s="0"/>
      <x:c r="S1135" s="6">
        <x:v>46269</x:v>
      </x:c>
      <x:c r="T1135" s="0"/>
      <x:c r="U1135" s="0"/>
      <x:c r="V1135" s="0"/>
      <x:c r="W1135" s="0"/>
      <x:c r="X1135" t="str" s="2">
        <x:v>4058021324</x:v>
      </x:c>
      <x:c r="Y1135" t="str" s="2">
        <x:v>whitebuffalotp@sbcglobal.net</x:v>
      </x:c>
      <x:c r="Z1135" s="6">
        <x:v>46274.60430193287</x:v>
      </x:c>
      <x:c r="AA1135" t="str" s="2">
        <x:v>Steve Castell</x:v>
      </x:c>
      <x:c r="AB1135" s="6">
        <x:v>46269.8945977662</x:v>
      </x:c>
      <x:c r="AC1135" t="n" s="2">
        <x:v>39693</x:v>
      </x:c>
      <x:c r="AD1135" s="0"/>
      <x:c r="AE1135" s="0"/>
      <x:c r="AF1135" s="0"/>
      <x:c r="AG1135" s="7">
        <x:v>12000</x:v>
      </x:c>
      <x:c r="AH1135" s="0"/>
      <x:c r="AI1135" t="str" s="2" xml:space="preserve">
        <x:v>725 </x:v>
      </x:c>
      <x:c r="AJ1135" s="0"/>
      <x:c r="AK1135" s="0"/>
    </x:row>
    <x:row r="1136">
      <x:c r="A1136" t="str" s="2">
        <x:f>=HYPERLINK("https://rsms.futurehomex.com/lead/39694", "Lindsey Zanca")</x:f>
      </x:c>
      <x:c r="B1136" t="n" s="2">
        <x:v>39</x:v>
      </x:c>
      <x:c r="C1136" t="str" s="2">
        <x:v>0/1</x:v>
      </x:c>
      <x:c r="D1136" t="str" s="2">
        <x:f>=""</x:f>
      </x:c>
      <x:c r="E1136" s="0"/>
      <x:c r="F1136" t="str" s="2">
        <x:v>Website</x:v>
      </x:c>
      <x:c r="G1136" t="str" s="2">
        <x:v>Heritage Housing of Minden</x:v>
      </x:c>
      <x:c r="H1136" t="str" s="2">
        <x:v>Patrick Schuchart</x:v>
      </x:c>
      <x:c r="I1136" t="str" s="2">
        <x:v>Karol Romero</x:v>
      </x:c>
      <x:c r="J1136" t="str" s="2">
        <x:v>Patrick Schuchart</x:v>
      </x:c>
      <x:c r="K1136" t="n" s="2">
        <x:v>5</x:v>
      </x:c>
      <x:c r="L1136" t="str" s="2">
        <x:v>1.1</x:v>
      </x:c>
      <x:c r="M1136" t="str" s="2">
        <x:v>Tentative</x:v>
      </x:c>
      <x:c r="N1136" t="str" s="2">
        <x:v>Deal Created</x:v>
      </x:c>
      <x:c r="O1136" s="0"/>
      <x:c r="P1136" s="6">
        <x:v>46269</x:v>
      </x:c>
      <x:c r="Q1136" s="6">
        <x:v>46269.932515740744</x:v>
      </x:c>
      <x:c r="R1136" t="str" s="2">
        <x:v>Patrick Schuchart</x:v>
      </x:c>
      <x:c r="S1136" s="0"/>
      <x:c r="T1136" s="0"/>
      <x:c r="U1136" s="0"/>
      <x:c r="V1136" s="0"/>
      <x:c r="W1136" s="0"/>
      <x:c r="X1136" t="str" s="2">
        <x:v>3379369053</x:v>
      </x:c>
      <x:c r="Y1136" t="str" s="2">
        <x:v>3379369053</x:v>
      </x:c>
      <x:c r="Z1136" s="6">
        <x:v>46295.85112068287</x:v>
      </x:c>
      <x:c r="AA1136" t="str" s="2">
        <x:v>Kyla Brown</x:v>
      </x:c>
      <x:c r="AB1136" s="6">
        <x:v>46269.93251704861</x:v>
      </x:c>
      <x:c r="AC1136" t="n" s="2">
        <x:v>39694</x:v>
      </x:c>
      <x:c r="AD1136" s="0"/>
      <x:c r="AE1136" s="0"/>
      <x:c r="AF1136" s="0"/>
      <x:c r="AG1136" s="0"/>
      <x:c r="AH1136" s="0"/>
      <x:c r="AI1136" s="0"/>
      <x:c r="AJ1136" s="0"/>
      <x:c r="AK1136" s="0"/>
    </x:row>
    <x:row r="1137">
      <x:c r="A1137" t="str" s="2">
        <x:f>=HYPERLINK("https://rsms.futurehomex.com/lead/39695", "Dora Andrea Garcia Mena")</x:f>
      </x:c>
      <x:c r="B1137" t="n" s="2">
        <x:v>38</x:v>
      </x:c>
      <x:c r="C1137" t="str" s="2">
        <x:v/>
      </x:c>
      <x:c r="D1137" t="str" s="2">
        <x:f>=""</x:f>
      </x:c>
      <x:c r="E1137" s="0"/>
      <x:c r="F1137" t="str" s="2">
        <x:v>Walk-in</x:v>
      </x:c>
      <x:c r="G1137" t="str" s="2">
        <x:v>Heritage Housing of Asheboro</x:v>
      </x:c>
      <x:c r="H1137" t="str" s="2">
        <x:v>Kate Gutierrez</x:v>
      </x:c>
      <x:c r="I1137" s="0"/>
      <x:c r="J1137" s="0"/>
      <x:c r="K1137" t="n" s="2">
        <x:v>21</x:v>
      </x:c>
      <x:c r="L1137" t="str" s="2">
        <x:v>2.1</x:v>
      </x:c>
      <x:c r="M1137" t="str" s="2">
        <x:v>Tentative</x:v>
      </x:c>
      <x:c r="N1137" t="str" s="2">
        <x:v>Qualified</x:v>
      </x:c>
      <x:c r="O1137" s="0"/>
      <x:c r="P1137" s="6">
        <x:v>46270</x:v>
      </x:c>
      <x:c r="Q1137" s="6">
        <x:v>46282.74255292824</x:v>
      </x:c>
      <x:c r="R1137" s="0"/>
      <x:c r="S1137" s="0"/>
      <x:c r="T1137" s="0"/>
      <x:c r="U1137" s="0"/>
      <x:c r="V1137" s="0"/>
      <x:c r="W1137" s="0"/>
      <x:c r="X1137" t="str" s="2">
        <x:v>3362679350</x:v>
      </x:c>
      <x:c r="Y1137" t="str" s="2">
        <x:v>drealez55@gmail.com</x:v>
      </x:c>
      <x:c r="Z1137" s="6">
        <x:v>46282.7425403588</x:v>
      </x:c>
      <x:c r="AA1137" t="str" s="2">
        <x:v>Jeremy Jacques</x:v>
      </x:c>
      <x:c r="AB1137" s="6">
        <x:v>46270.54869105324</x:v>
      </x:c>
      <x:c r="AC1137" t="n" s="2">
        <x:v>39695</x:v>
      </x:c>
      <x:c r="AD1137" s="0"/>
      <x:c r="AE1137" s="0"/>
      <x:c r="AF1137" s="0"/>
      <x:c r="AG1137" s="0"/>
      <x:c r="AH1137" s="0"/>
      <x:c r="AI1137" s="0"/>
      <x:c r="AJ1137" s="0"/>
      <x:c r="AK1137" s="0"/>
    </x:row>
    <x:row r="1138">
      <x:c r="A1138" t="str" s="2">
        <x:f>=HYPERLINK("https://rsms.futurehomex.com/lead/39697", "Jeffrey White White")</x:f>
      </x:c>
      <x:c r="B1138" t="n" s="2">
        <x:v>38</x:v>
      </x:c>
      <x:c r="C1138" t="str" s="2">
        <x:v/>
      </x:c>
      <x:c r="D1138" t="str" s="2">
        <x:f>=""</x:f>
      </x:c>
      <x:c r="E1138" s="0"/>
      <x:c r="F1138" t="str" s="2">
        <x:v>Walk-in</x:v>
      </x:c>
      <x:c r="G1138" t="str" s="2">
        <x:v>Heritage Housing of Asheboro</x:v>
      </x:c>
      <x:c r="H1138" t="str" s="2">
        <x:v>Maria Lopez</x:v>
      </x:c>
      <x:c r="I1138" s="0"/>
      <x:c r="J1138" s="0"/>
      <x:c r="K1138" t="n" s="2">
        <x:v>21</x:v>
      </x:c>
      <x:c r="L1138" t="str" s="2">
        <x:v>2.1</x:v>
      </x:c>
      <x:c r="M1138" t="str" s="2">
        <x:v>Tentative</x:v>
      </x:c>
      <x:c r="N1138" t="str" s="2">
        <x:v>Qualified</x:v>
      </x:c>
      <x:c r="O1138" s="0"/>
      <x:c r="P1138" s="6">
        <x:v>46270</x:v>
      </x:c>
      <x:c r="Q1138" s="6">
        <x:v>46282.743744444444</x:v>
      </x:c>
      <x:c r="R1138" s="0"/>
      <x:c r="S1138" s="0"/>
      <x:c r="T1138" s="0"/>
      <x:c r="U1138" s="0"/>
      <x:c r="V1138" s="0"/>
      <x:c r="W1138" s="0"/>
      <x:c r="X1138" t="str" s="2">
        <x:v>3364938478</x:v>
      </x:c>
      <x:c r="Y1138" t="str" s="2">
        <x:v>jeffreycwhite1963@yahoo.com</x:v>
      </x:c>
      <x:c r="Z1138" s="6">
        <x:v>46282.743732442126</x:v>
      </x:c>
      <x:c r="AA1138" t="str" s="2">
        <x:v>Jeremy Jacques</x:v>
      </x:c>
      <x:c r="AB1138" s="6">
        <x:v>46270.59730243056</x:v>
      </x:c>
      <x:c r="AC1138" t="n" s="2">
        <x:v>39697</x:v>
      </x:c>
      <x:c r="AD1138" s="0"/>
      <x:c r="AE1138" s="0"/>
      <x:c r="AF1138" s="0"/>
      <x:c r="AG1138" s="0"/>
      <x:c r="AH1138" s="0"/>
      <x:c r="AI1138" s="0"/>
      <x:c r="AJ1138" s="0"/>
      <x:c r="AK1138" s="0"/>
    </x:row>
    <x:row r="1139">
      <x:c r="A1139" t="str" s="2">
        <x:f>=HYPERLINK("https://rsms.futurehomex.com/lead/39699", "Dominic Johnson")</x:f>
      </x:c>
      <x:c r="B1139" t="n" s="2">
        <x:v>38</x:v>
      </x:c>
      <x:c r="C1139" t="str" s="2">
        <x:v>0/1</x:v>
      </x:c>
      <x:c r="D1139" t="str" s="2">
        <x:f>=""</x:f>
      </x:c>
      <x:c r="E1139" s="0"/>
      <x:c r="F1139" t="str" s="2">
        <x:v>Landing_BPM</x:v>
      </x:c>
      <x:c r="G1139" t="str" s="2">
        <x:v>Heritage Housing of Oklahoma City</x:v>
      </x:c>
      <x:c r="H1139" t="str" s="2">
        <x:v>Steve Castell</x:v>
      </x:c>
      <x:c r="I1139" s="0"/>
      <x:c r="J1139" t="str" s="2">
        <x:v>Steve Castell</x:v>
      </x:c>
      <x:c r="K1139" t="n" s="2">
        <x:v>5</x:v>
      </x:c>
      <x:c r="L1139" t="str" s="2">
        <x:v>1.1</x:v>
      </x:c>
      <x:c r="M1139" t="str" s="2">
        <x:v>Dead</x:v>
      </x:c>
      <x:c r="N1139" t="str" s="2">
        <x:v>Deal Created</x:v>
      </x:c>
      <x:c r="O1139" s="0"/>
      <x:c r="P1139" s="6">
        <x:v>46270</x:v>
      </x:c>
      <x:c r="Q1139" s="6">
        <x:v>46270.60342519676</x:v>
      </x:c>
      <x:c r="R1139" s="0"/>
      <x:c r="S1139" s="0"/>
      <x:c r="T1139" s="0"/>
      <x:c r="U1139" s="0"/>
      <x:c r="V1139" s="0"/>
      <x:c r="W1139" s="0"/>
      <x:c r="X1139" t="str" s="2">
        <x:v>4055260352</x:v>
      </x:c>
      <x:c r="Y1139" t="str" s="2">
        <x:v>dominicjohnson450@gmail.com</x:v>
      </x:c>
      <x:c r="Z1139" s="6">
        <x:v>46273.88965925926</x:v>
      </x:c>
      <x:c r="AA1139" t="str" s="2">
        <x:v>Richard Bell</x:v>
      </x:c>
      <x:c r="AB1139" s="6">
        <x:v>46270.60295709491</x:v>
      </x:c>
      <x:c r="AC1139" t="n" s="2">
        <x:v>39699</x:v>
      </x:c>
      <x:c r="AD1139" s="0"/>
      <x:c r="AE1139" s="0"/>
      <x:c r="AF1139" s="0"/>
      <x:c r="AG1139" s="0"/>
      <x:c r="AH1139" s="0"/>
      <x:c r="AI1139" s="0"/>
      <x:c r="AJ1139" s="0"/>
      <x:c r="AK1139" s="0"/>
    </x:row>
    <x:row r="1140">
      <x:c r="A1140" t="str" s="2">
        <x:f>=HYPERLINK("https://rsms.futurehomex.com/lead/39700", "Alex Stoker")</x:f>
      </x:c>
      <x:c r="B1140" t="n" s="2">
        <x:v>38</x:v>
      </x:c>
      <x:c r="C1140" t="str" s="2">
        <x:v>0/3</x:v>
      </x:c>
      <x:c r="D1140" t="str" s="2">
        <x:f>=""</x:f>
      </x:c>
      <x:c r="E1140" s="0"/>
      <x:c r="F1140" t="str" s="2">
        <x:v>Landing_BPM</x:v>
      </x:c>
      <x:c r="G1140" t="str" s="2">
        <x:v>Heritage Housing of Oklahoma City</x:v>
      </x:c>
      <x:c r="H1140" t="str" s="2">
        <x:v>Steve Castell</x:v>
      </x:c>
      <x:c r="I1140" s="0"/>
      <x:c r="J1140" t="str" s="2">
        <x:v>Steve Castell</x:v>
      </x:c>
      <x:c r="K1140" t="n" s="2">
        <x:v>5</x:v>
      </x:c>
      <x:c r="L1140" t="str" s="2">
        <x:v>1.1</x:v>
      </x:c>
      <x:c r="M1140" t="str" s="2">
        <x:v>Inactive</x:v>
      </x:c>
      <x:c r="N1140" t="str" s="2">
        <x:v>Deal Created</x:v>
      </x:c>
      <x:c r="O1140" s="0"/>
      <x:c r="P1140" s="6">
        <x:v>46270</x:v>
      </x:c>
      <x:c r="Q1140" s="6">
        <x:v>46270.606361805556</x:v>
      </x:c>
      <x:c r="R1140" s="0"/>
      <x:c r="S1140" s="0"/>
      <x:c r="T1140" s="0"/>
      <x:c r="U1140" s="0"/>
      <x:c r="V1140" s="0"/>
      <x:c r="W1140" s="0"/>
      <x:c r="X1140" t="str" s="2">
        <x:v>4055068587</x:v>
      </x:c>
      <x:c r="Y1140" t="str" s="2">
        <x:v>alexstoker631@gmail.com</x:v>
      </x:c>
      <x:c r="Z1140" s="6">
        <x:v>46280.018765243054</x:v>
      </x:c>
      <x:c r="AA1140" t="str" s="2">
        <x:v>Steve Castell</x:v>
      </x:c>
      <x:c r="AB1140" s="6">
        <x:v>46270.60609594907</x:v>
      </x:c>
      <x:c r="AC1140" t="n" s="2">
        <x:v>39700</x:v>
      </x:c>
      <x:c r="AD1140" s="0"/>
      <x:c r="AE1140" s="0"/>
      <x:c r="AF1140" s="0"/>
      <x:c r="AG1140" s="0"/>
      <x:c r="AH1140" s="0"/>
      <x:c r="AI1140" s="0"/>
      <x:c r="AJ1140" s="0"/>
      <x:c r="AK1140" s="0"/>
    </x:row>
    <x:row r="1141">
      <x:c r="A1141" t="str" s="2">
        <x:f>=HYPERLINK("https://rsms.futurehomex.com/lead/39701", "Jeaneth Peevy")</x:f>
      </x:c>
      <x:c r="B1141" t="n" s="2">
        <x:v>38</x:v>
      </x:c>
      <x:c r="C1141" t="str" s="2">
        <x:v>1/6</x:v>
      </x:c>
      <x:c r="D1141" t="str" s="2">
        <x:f>=""</x:f>
      </x:c>
      <x:c r="E1141" s="0"/>
      <x:c r="F1141" t="str" s="2">
        <x:v>Youtube</x:v>
      </x:c>
      <x:c r="G1141" t="str" s="2">
        <x:v>Heritage Housing of Oklahoma City</x:v>
      </x:c>
      <x:c r="H1141" t="str" s="2">
        <x:v>Alejandra Calderon</x:v>
      </x:c>
      <x:c r="I1141" s="0"/>
      <x:c r="J1141" t="str" s="2">
        <x:v>Alejandra Calderon</x:v>
      </x:c>
      <x:c r="K1141" t="n" s="2">
        <x:v>5</x:v>
      </x:c>
      <x:c r="L1141" t="str" s="2">
        <x:v>1.1</x:v>
      </x:c>
      <x:c r="M1141" t="str" s="2">
        <x:v>Tentative</x:v>
      </x:c>
      <x:c r="N1141" t="str" s="2">
        <x:v>Deal Created</x:v>
      </x:c>
      <x:c r="O1141" s="0"/>
      <x:c r="P1141" s="6">
        <x:v>46270</x:v>
      </x:c>
      <x:c r="Q1141" s="6">
        <x:v>46270.60844039352</x:v>
      </x:c>
      <x:c r="R1141" s="0"/>
      <x:c r="S1141" s="0"/>
      <x:c r="T1141" s="0"/>
      <x:c r="U1141" s="0"/>
      <x:c r="V1141" s="0"/>
      <x:c r="W1141" s="0"/>
      <x:c r="X1141" t="str" s="2">
        <x:v>9189074125</x:v>
      </x:c>
      <x:c r="Y1141" t="str" s="2">
        <x:v>peevyj11@gmail.com</x:v>
      </x:c>
      <x:c r="Z1141" s="6">
        <x:v>46296.96409537037</x:v>
      </x:c>
      <x:c r="AA1141" t="str" s="2">
        <x:v>Alejandra Calderon</x:v>
      </x:c>
      <x:c r="AB1141" s="6">
        <x:v>46270.60820509259</x:v>
      </x:c>
      <x:c r="AC1141" t="n" s="2">
        <x:v>39701</x:v>
      </x:c>
      <x:c r="AD1141" s="0"/>
      <x:c r="AE1141" s="0"/>
      <x:c r="AF1141" s="0"/>
      <x:c r="AG1141" s="0"/>
      <x:c r="AH1141" s="0"/>
      <x:c r="AI1141" s="0"/>
      <x:c r="AJ1141" s="0"/>
      <x:c r="AK1141" s="0"/>
    </x:row>
    <x:row r="1142">
      <x:c r="A1142" t="str" s="2">
        <x:f>=HYPERLINK("https://rsms.futurehomex.com/lead/39702", "Celia Kindley")</x:f>
      </x:c>
      <x:c r="B1142" t="n" s="2">
        <x:v>38</x:v>
      </x:c>
      <x:c r="C1142" t="str" s="2">
        <x:v>1/6</x:v>
      </x:c>
      <x:c r="D1142" t="str" s="2">
        <x:f>=""</x:f>
      </x:c>
      <x:c r="E1142" s="0"/>
      <x:c r="F1142" t="str" s="2">
        <x:v>Youtube</x:v>
      </x:c>
      <x:c r="G1142" t="str" s="2">
        <x:v>Heritage Housing of Oklahoma City</x:v>
      </x:c>
      <x:c r="H1142" t="str" s="2">
        <x:v>Alejandra Calderon</x:v>
      </x:c>
      <x:c r="I1142" s="0"/>
      <x:c r="J1142" t="str" s="2">
        <x:v>Alejandra Calderon</x:v>
      </x:c>
      <x:c r="K1142" t="n" s="2">
        <x:v>5</x:v>
      </x:c>
      <x:c r="L1142" t="str" s="2">
        <x:v>1.1</x:v>
      </x:c>
      <x:c r="M1142" t="str" s="2">
        <x:v>Tentative</x:v>
      </x:c>
      <x:c r="N1142" t="str" s="2">
        <x:v>Deal Created</x:v>
      </x:c>
      <x:c r="O1142" s="0"/>
      <x:c r="P1142" s="6">
        <x:v>46270</x:v>
      </x:c>
      <x:c r="Q1142" s="6">
        <x:v>46303.96153630787</x:v>
      </x:c>
      <x:c r="R1142" s="0"/>
      <x:c r="S1142" s="0"/>
      <x:c r="T1142" s="0"/>
      <x:c r="U1142" s="0"/>
      <x:c r="V1142" s="0"/>
      <x:c r="W1142" s="0"/>
      <x:c r="X1142" t="str" s="2">
        <x:v>4063843714</x:v>
      </x:c>
      <x:c r="Y1142" t="str" s="2">
        <x:v>nurseceliakindley@gmail.com</x:v>
      </x:c>
      <x:c r="Z1142" s="6">
        <x:v>46303.961690972224</x:v>
      </x:c>
      <x:c r="AA1142" t="str" s="2">
        <x:v>Alejandra Calderon</x:v>
      </x:c>
      <x:c r="AB1142" s="6">
        <x:v>46270.60903591435</x:v>
      </x:c>
      <x:c r="AC1142" t="n" s="2">
        <x:v>39702</x:v>
      </x:c>
      <x:c r="AD1142" s="0"/>
      <x:c r="AE1142" s="0"/>
      <x:c r="AF1142" s="0"/>
      <x:c r="AG1142" s="0"/>
      <x:c r="AH1142" s="0"/>
      <x:c r="AI1142" s="0"/>
      <x:c r="AJ1142" s="0"/>
      <x:c r="AK1142" s="0"/>
    </x:row>
    <x:row r="1143">
      <x:c r="A1143" t="str" s="2">
        <x:f>=HYPERLINK("https://rsms.futurehomex.com/lead/39703", "Julia Romero")</x:f>
      </x:c>
      <x:c r="B1143" t="n" s="2">
        <x:v>38</x:v>
      </x:c>
      <x:c r="C1143" t="str" s="2">
        <x:v>0/1</x:v>
      </x:c>
      <x:c r="D1143" t="str" s="2">
        <x:f>=""</x:f>
      </x:c>
      <x:c r="E1143" s="0"/>
      <x:c r="F1143" t="str" s="2">
        <x:v>Youtube</x:v>
      </x:c>
      <x:c r="G1143" t="str" s="2">
        <x:v>Heritage Housing of Oklahoma City</x:v>
      </x:c>
      <x:c r="H1143" t="str" s="2">
        <x:v>Alejandra Calderon</x:v>
      </x:c>
      <x:c r="I1143" s="0"/>
      <x:c r="J1143" t="str" s="2">
        <x:v>Alejandra Calderon</x:v>
      </x:c>
      <x:c r="K1143" t="n" s="2">
        <x:v>5</x:v>
      </x:c>
      <x:c r="L1143" t="str" s="2">
        <x:v>1.1</x:v>
      </x:c>
      <x:c r="M1143" t="str" s="2">
        <x:v>Dead</x:v>
      </x:c>
      <x:c r="N1143" t="str" s="2">
        <x:v>Deal Created</x:v>
      </x:c>
      <x:c r="O1143" s="0"/>
      <x:c r="P1143" s="6">
        <x:v>46270</x:v>
      </x:c>
      <x:c r="Q1143" s="6">
        <x:v>46270.609786423614</x:v>
      </x:c>
      <x:c r="R1143" s="0"/>
      <x:c r="S1143" s="0"/>
      <x:c r="T1143" s="0"/>
      <x:c r="U1143" s="0"/>
      <x:c r="V1143" s="0"/>
      <x:c r="W1143" s="0"/>
      <x:c r="X1143" t="str" s="2">
        <x:v>2134519823</x:v>
      </x:c>
      <x:c r="Y1143" t="str" s="2">
        <x:v>romerojules69@gmail.com</x:v>
      </x:c>
      <x:c r="Z1143" s="6">
        <x:v>46273.75386693287</x:v>
      </x:c>
      <x:c r="AA1143" t="str" s="2">
        <x:v>Alejandra Calderon</x:v>
      </x:c>
      <x:c r="AB1143" s="6">
        <x:v>46270.60961597222</x:v>
      </x:c>
      <x:c r="AC1143" t="n" s="2">
        <x:v>39703</x:v>
      </x:c>
      <x:c r="AD1143" s="0"/>
      <x:c r="AE1143" s="0"/>
      <x:c r="AF1143" s="0"/>
      <x:c r="AG1143" s="0"/>
      <x:c r="AH1143" s="0"/>
      <x:c r="AI1143" s="0"/>
      <x:c r="AJ1143" s="0"/>
      <x:c r="AK1143" s="0"/>
    </x:row>
    <x:row r="1144">
      <x:c r="A1144" t="str" s="2">
        <x:f>=HYPERLINK("https://rsms.futurehomex.com/lead/39704", "Chris Michael")</x:f>
      </x:c>
      <x:c r="B1144" t="n" s="2">
        <x:v>38</x:v>
      </x:c>
      <x:c r="C1144" t="str" s="2">
        <x:v>0/1</x:v>
      </x:c>
      <x:c r="D1144" t="str" s="2">
        <x:f>=""</x:f>
      </x:c>
      <x:c r="E1144" s="0"/>
      <x:c r="F1144" t="str" s="2">
        <x:v>Facebook Messenger</x:v>
      </x:c>
      <x:c r="G1144" t="str" s="2">
        <x:v>Heritage Housing of Oklahoma City</x:v>
      </x:c>
      <x:c r="H1144" t="str" s="2">
        <x:v>Eva Misheva</x:v>
      </x:c>
      <x:c r="I1144" s="0"/>
      <x:c r="J1144" s="0"/>
      <x:c r="K1144" t="n" s="2">
        <x:v>5</x:v>
      </x:c>
      <x:c r="L1144" t="str" s="2">
        <x:v>1.1</x:v>
      </x:c>
      <x:c r="M1144" t="str" s="2">
        <x:v>Dead</x:v>
      </x:c>
      <x:c r="N1144" t="str" s="2">
        <x:v>Prospect</x:v>
      </x:c>
      <x:c r="O1144" s="0"/>
      <x:c r="P1144" s="6">
        <x:v>46270</x:v>
      </x:c>
      <x:c r="Q1144" s="6">
        <x:v>46270.627768136575</x:v>
      </x:c>
      <x:c r="R1144" s="0"/>
      <x:c r="S1144" s="6">
        <x:v>46270</x:v>
      </x:c>
      <x:c r="T1144" s="0"/>
      <x:c r="U1144" s="0"/>
      <x:c r="V1144" s="0"/>
      <x:c r="W1144" s="0"/>
      <x:c r="X1144" t="str" s="2">
        <x:v>4054054056</x:v>
      </x:c>
      <x:c r="Y1144" t="str" s="2">
        <x:v>4054054056</x:v>
      </x:c>
      <x:c r="Z1144" s="6">
        <x:v>46285.890598530095</x:v>
      </x:c>
      <x:c r="AA1144" t="str" s="2">
        <x:v>Eva Misheva</x:v>
      </x:c>
      <x:c r="AB1144" s="6">
        <x:v>46270.62777002315</x:v>
      </x:c>
      <x:c r="AC1144" t="n" s="2">
        <x:v>39704</x:v>
      </x:c>
      <x:c r="AD1144" s="0"/>
      <x:c r="AE1144" s="0"/>
      <x:c r="AF1144" s="0"/>
      <x:c r="AG1144" s="0"/>
      <x:c r="AH1144" s="0"/>
      <x:c r="AI1144" s="0"/>
      <x:c r="AJ1144" s="0"/>
      <x:c r="AK1144" s="0"/>
    </x:row>
    <x:row r="1145">
      <x:c r="A1145" t="str" s="2">
        <x:f>=HYPERLINK("https://rsms.futurehomex.com/lead/39705", "Patrick Corn Sr")</x:f>
      </x:c>
      <x:c r="B1145" t="n" s="2">
        <x:v>38</x:v>
      </x:c>
      <x:c r="C1145" t="str" s="2">
        <x:v/>
      </x:c>
      <x:c r="D1145" t="str" s="2">
        <x:f>=""</x:f>
      </x:c>
      <x:c r="E1145" s="0"/>
      <x:c r="F1145" t="str" s="2">
        <x:v>Meta Ads - Forms</x:v>
      </x:c>
      <x:c r="G1145" t="str" s="2">
        <x:v>Heritage Housing of Oklahoma City</x:v>
      </x:c>
      <x:c r="H1145" t="str" s="2">
        <x:v>Steve Castell</x:v>
      </x:c>
      <x:c r="I1145" s="0"/>
      <x:c r="J1145" t="str" s="2">
        <x:v>Steve Castell</x:v>
      </x:c>
      <x:c r="K1145" t="n" s="2">
        <x:v>5</x:v>
      </x:c>
      <x:c r="L1145" t="str" s="2">
        <x:v>1.1</x:v>
      </x:c>
      <x:c r="M1145" t="str" s="2">
        <x:v>Inactive</x:v>
      </x:c>
      <x:c r="N1145" t="str" s="2">
        <x:v>Deal Created</x:v>
      </x:c>
      <x:c r="O1145" s="0"/>
      <x:c r="P1145" s="6">
        <x:v>46270</x:v>
      </x:c>
      <x:c r="Q1145" s="6">
        <x:v>46270.63803109954</x:v>
      </x:c>
      <x:c r="R1145" s="0"/>
      <x:c r="S1145" s="0"/>
      <x:c r="T1145" s="0"/>
      <x:c r="U1145" s="0"/>
      <x:c r="V1145" s="0"/>
      <x:c r="W1145" s="0"/>
      <x:c r="X1145" t="str" s="2">
        <x:v>9405952173</x:v>
      </x:c>
      <x:c r="Y1145" t="str" s="2">
        <x:v>pcorn5081@gmail.com</x:v>
      </x:c>
      <x:c r="Z1145" s="6">
        <x:v>46270.63847010417</x:v>
      </x:c>
      <x:c r="AA1145" t="str" s="2">
        <x:v>Steve Castell</x:v>
      </x:c>
      <x:c r="AB1145" s="6">
        <x:v>46270.63803159722</x:v>
      </x:c>
      <x:c r="AC1145" t="n" s="2">
        <x:v>39705</x:v>
      </x:c>
      <x:c r="AD1145" s="0"/>
      <x:c r="AE1145" s="0"/>
      <x:c r="AF1145" s="0"/>
      <x:c r="AG1145" s="0"/>
      <x:c r="AH1145" s="0"/>
      <x:c r="AI1145" s="0"/>
      <x:c r="AJ1145" s="0"/>
      <x:c r="AK1145" s="0"/>
    </x:row>
    <x:row r="1146">
      <x:c r="A1146" t="str" s="2">
        <x:f>=HYPERLINK("https://rsms.futurehomex.com/lead/39706", "Marty Wise")</x:f>
      </x:c>
      <x:c r="B1146" t="n" s="2">
        <x:v>38</x:v>
      </x:c>
      <x:c r="C1146" t="str" s="2">
        <x:v/>
      </x:c>
      <x:c r="D1146" t="str" s="2">
        <x:f>=""</x:f>
      </x:c>
      <x:c r="E1146" s="0"/>
      <x:c r="F1146" t="str" s="2">
        <x:v>Meta Ads - Forms</x:v>
      </x:c>
      <x:c r="G1146" t="str" s="2">
        <x:v>Heritage Housing of Athens</x:v>
      </x:c>
      <x:c r="H1146" t="str" s="2">
        <x:v>Nathan Bishop</x:v>
      </x:c>
      <x:c r="I1146" s="0"/>
      <x:c r="J1146" s="0"/>
      <x:c r="K1146" t="n" s="2">
        <x:v>5</x:v>
      </x:c>
      <x:c r="L1146" t="str" s="2">
        <x:v>1.1</x:v>
      </x:c>
      <x:c r="M1146" t="str" s="2">
        <x:v>Tentative</x:v>
      </x:c>
      <x:c r="N1146" t="str" s="2">
        <x:v>Prospect</x:v>
      </x:c>
      <x:c r="O1146" s="0"/>
      <x:c r="P1146" s="6">
        <x:v>46270</x:v>
      </x:c>
      <x:c r="Q1146" s="6">
        <x:v>46270.63826516204</x:v>
      </x:c>
      <x:c r="R1146" s="0"/>
      <x:c r="S1146" s="0"/>
      <x:c r="T1146" s="0"/>
      <x:c r="U1146" s="0"/>
      <x:c r="V1146" s="0"/>
      <x:c r="W1146" s="0"/>
      <x:c r="X1146" t="str" s="2">
        <x:v>7064107709</x:v>
      </x:c>
      <x:c r="Y1146" t="str" s="2">
        <x:v>martyrice1956@gmail.com</x:v>
      </x:c>
      <x:c r="Z1146" s="0"/>
      <x:c r="AA1146" s="0"/>
      <x:c r="AB1146" s="6">
        <x:v>46270.63826612268</x:v>
      </x:c>
      <x:c r="AC1146" t="n" s="2">
        <x:v>39706</x:v>
      </x:c>
      <x:c r="AD1146" s="0"/>
      <x:c r="AE1146" s="0"/>
      <x:c r="AF1146" s="0"/>
      <x:c r="AG1146" s="0"/>
      <x:c r="AH1146" s="0"/>
      <x:c r="AI1146" s="0"/>
      <x:c r="AJ1146" s="0"/>
      <x:c r="AK1146" s="0"/>
    </x:row>
    <x:row r="1147">
      <x:c r="A1147" t="str" s="2">
        <x:f>=HYPERLINK("https://rsms.futurehomex.com/lead/39707", "Tim Pham")</x:f>
      </x:c>
      <x:c r="B1147" t="n" s="2">
        <x:v>38</x:v>
      </x:c>
      <x:c r="C1147" t="str" s="2">
        <x:v/>
      </x:c>
      <x:c r="D1147" t="str" s="2">
        <x:f>=""</x:f>
      </x:c>
      <x:c r="E1147" s="0"/>
      <x:c r="F1147" t="str" s="2">
        <x:v>Walk-in</x:v>
      </x:c>
      <x:c r="G1147" t="str" s="2">
        <x:v>Heritage Housing of Oklahoma City</x:v>
      </x:c>
      <x:c r="H1147" t="str" s="2">
        <x:v>Steve Castell</x:v>
      </x:c>
      <x:c r="I1147" s="0"/>
      <x:c r="J1147" t="str" s="2">
        <x:v>Steve Castell</x:v>
      </x:c>
      <x:c r="K1147" t="n" s="2">
        <x:v>5</x:v>
      </x:c>
      <x:c r="L1147" t="str" s="2">
        <x:v>1.1</x:v>
      </x:c>
      <x:c r="M1147" t="str" s="2">
        <x:v>Inactive</x:v>
      </x:c>
      <x:c r="N1147" t="str" s="2">
        <x:v>Deal Created</x:v>
      </x:c>
      <x:c r="O1147" s="0"/>
      <x:c r="P1147" s="6">
        <x:v>46270</x:v>
      </x:c>
      <x:c r="Q1147" s="6">
        <x:v>46270.639023842596</x:v>
      </x:c>
      <x:c r="R1147" s="0"/>
      <x:c r="S1147" s="0"/>
      <x:c r="T1147" s="0"/>
      <x:c r="U1147" s="0"/>
      <x:c r="V1147" s="0"/>
      <x:c r="W1147" s="0"/>
      <x:c r="X1147" t="str" s="2">
        <x:v>4059785455</x:v>
      </x:c>
      <x:c r="Y1147" t="str" s="2">
        <x:v>jackiedao@hotmail.com</x:v>
      </x:c>
      <x:c r="Z1147" s="6">
        <x:v>46270.6394528125</x:v>
      </x:c>
      <x:c r="AA1147" t="str" s="2">
        <x:v>Steve Castell</x:v>
      </x:c>
      <x:c r="AB1147" s="6">
        <x:v>46270.63902430556</x:v>
      </x:c>
      <x:c r="AC1147" t="n" s="2">
        <x:v>39707</x:v>
      </x:c>
      <x:c r="AD1147" s="0"/>
      <x:c r="AE1147" s="0"/>
      <x:c r="AF1147" s="0"/>
      <x:c r="AG1147" s="0"/>
      <x:c r="AH1147" s="0"/>
      <x:c r="AI1147" s="0"/>
      <x:c r="AJ1147" s="0"/>
      <x:c r="AK1147" s="0"/>
    </x:row>
    <x:row r="1148">
      <x:c r="A1148" t="str" s="2">
        <x:f>=HYPERLINK("https://rsms.futurehomex.com/lead/39708", "Andrew Jacobsen")</x:f>
      </x:c>
      <x:c r="B1148" t="n" s="2">
        <x:v>38</x:v>
      </x:c>
      <x:c r="C1148" t="str" s="2">
        <x:v/>
      </x:c>
      <x:c r="D1148" t="str" s="2">
        <x:f>=""</x:f>
      </x:c>
      <x:c r="E1148" s="0"/>
      <x:c r="F1148" t="str" s="2">
        <x:v>Landing_BPM</x:v>
      </x:c>
      <x:c r="G1148" t="str" s="2">
        <x:v>Heritage Housing of Oklahoma City</x:v>
      </x:c>
      <x:c r="H1148" t="str" s="2">
        <x:v>Steve Castell</x:v>
      </x:c>
      <x:c r="I1148" s="0"/>
      <x:c r="J1148" t="str" s="2">
        <x:v>Steve Castell</x:v>
      </x:c>
      <x:c r="K1148" t="n" s="2">
        <x:v>5</x:v>
      </x:c>
      <x:c r="L1148" t="str" s="2">
        <x:v>1.1</x:v>
      </x:c>
      <x:c r="M1148" t="str" s="2">
        <x:v>Inactive</x:v>
      </x:c>
      <x:c r="N1148" t="str" s="2">
        <x:v>Deal Created</x:v>
      </x:c>
      <x:c r="O1148" s="0"/>
      <x:c r="P1148" s="6">
        <x:v>46270</x:v>
      </x:c>
      <x:c r="Q1148" s="6">
        <x:v>46270.64224112269</x:v>
      </x:c>
      <x:c r="R1148" s="0"/>
      <x:c r="S1148" s="0"/>
      <x:c r="T1148" s="0"/>
      <x:c r="U1148" s="0"/>
      <x:c r="V1148" s="0"/>
      <x:c r="W1148" s="0"/>
      <x:c r="X1148" t="str" s="2">
        <x:v>4054931628</x:v>
      </x:c>
      <x:c r="Y1148" t="str" s="2">
        <x:v>rytting66@gmail.con</x:v>
      </x:c>
      <x:c r="Z1148" s="6">
        <x:v>46270.64291288194</x:v>
      </x:c>
      <x:c r="AA1148" t="str" s="2">
        <x:v>Steve Castell</x:v>
      </x:c>
      <x:c r="AB1148" s="6">
        <x:v>46270.64224158565</x:v>
      </x:c>
      <x:c r="AC1148" t="n" s="2">
        <x:v>39708</x:v>
      </x:c>
      <x:c r="AD1148" s="0"/>
      <x:c r="AE1148" s="0"/>
      <x:c r="AF1148" s="0"/>
      <x:c r="AG1148" s="0"/>
      <x:c r="AH1148" s="0"/>
      <x:c r="AI1148" s="0"/>
      <x:c r="AJ1148" s="0"/>
      <x:c r="AK1148" s="0"/>
    </x:row>
    <x:row r="1149">
      <x:c r="A1149" t="str" s="2">
        <x:f>=HYPERLINK("https://rsms.futurehomex.com/lead/39709", "Myeashia Mitchner")</x:f>
      </x:c>
      <x:c r="B1149" t="n" s="2">
        <x:v>38</x:v>
      </x:c>
      <x:c r="C1149" t="str" s="2">
        <x:v>0/1</x:v>
      </x:c>
      <x:c r="D1149" t="str" s="2">
        <x:f>=""</x:f>
      </x:c>
      <x:c r="E1149" s="0"/>
      <x:c r="F1149" t="str" s="2">
        <x:v>Landing_BPM</x:v>
      </x:c>
      <x:c r="G1149" t="str" s="2">
        <x:v>Heritage Housing of Oklahoma City</x:v>
      </x:c>
      <x:c r="H1149" t="str" s="2">
        <x:v>Steve Castell</x:v>
      </x:c>
      <x:c r="I1149" s="0"/>
      <x:c r="J1149" t="str" s="2">
        <x:v>Steve Castell</x:v>
      </x:c>
      <x:c r="K1149" t="n" s="2">
        <x:v>5</x:v>
      </x:c>
      <x:c r="L1149" t="str" s="2">
        <x:v>1.1</x:v>
      </x:c>
      <x:c r="M1149" t="str" s="2">
        <x:v>Inactive</x:v>
      </x:c>
      <x:c r="N1149" t="str" s="2">
        <x:v>Deal Created</x:v>
      </x:c>
      <x:c r="O1149" s="0"/>
      <x:c r="P1149" s="6">
        <x:v>46270</x:v>
      </x:c>
      <x:c r="Q1149" s="6">
        <x:v>46270.64350324074</x:v>
      </x:c>
      <x:c r="R1149" s="0"/>
      <x:c r="S1149" s="0"/>
      <x:c r="T1149" s="0"/>
      <x:c r="U1149" s="0"/>
      <x:c r="V1149" s="0"/>
      <x:c r="W1149" s="0"/>
      <x:c r="X1149" t="str" s="2">
        <x:v>4056179049</x:v>
      </x:c>
      <x:c r="Y1149" t="str" s="2">
        <x:v>ciochon50@gmail.com</x:v>
      </x:c>
      <x:c r="Z1149" s="6">
        <x:v>46282.89499760417</x:v>
      </x:c>
      <x:c r="AA1149" t="str" s="2">
        <x:v>Steve Castell</x:v>
      </x:c>
      <x:c r="AB1149" s="6">
        <x:v>46270.6435037037</x:v>
      </x:c>
      <x:c r="AC1149" t="n" s="2">
        <x:v>39709</x:v>
      </x:c>
      <x:c r="AD1149" s="0"/>
      <x:c r="AE1149" s="0"/>
      <x:c r="AF1149" s="0"/>
      <x:c r="AG1149" s="0"/>
      <x:c r="AH1149" s="0"/>
      <x:c r="AI1149" s="0"/>
      <x:c r="AJ1149" s="0"/>
      <x:c r="AK1149" s="0"/>
    </x:row>
    <x:row r="1150">
      <x:c r="A1150" t="str" s="2">
        <x:f>=HYPERLINK("https://rsms.futurehomex.com/lead/39710", "Shawn Hauser")</x:f>
      </x:c>
      <x:c r="B1150" t="n" s="2">
        <x:v>38</x:v>
      </x:c>
      <x:c r="C1150" t="str" s="2">
        <x:v/>
      </x:c>
      <x:c r="D1150" t="str" s="2">
        <x:f>=""</x:f>
      </x:c>
      <x:c r="E1150" s="0"/>
      <x:c r="F1150" t="str" s="2">
        <x:v>Walk-in</x:v>
      </x:c>
      <x:c r="G1150" t="str" s="2">
        <x:v>Heritage Housing of Asheboro</x:v>
      </x:c>
      <x:c r="H1150" t="str" s="2">
        <x:v>Maria Lopez</x:v>
      </x:c>
      <x:c r="I1150" s="0"/>
      <x:c r="J1150" s="0"/>
      <x:c r="K1150" t="n" s="2">
        <x:v>21</x:v>
      </x:c>
      <x:c r="L1150" t="str" s="2">
        <x:v>2.1</x:v>
      </x:c>
      <x:c r="M1150" t="str" s="2">
        <x:v>Tentative</x:v>
      </x:c>
      <x:c r="N1150" t="str" s="2">
        <x:v>Qualified</x:v>
      </x:c>
      <x:c r="O1150" s="0"/>
      <x:c r="P1150" s="6">
        <x:v>46270</x:v>
      </x:c>
      <x:c r="Q1150" s="6">
        <x:v>46282.74451778935</x:v>
      </x:c>
      <x:c r="R1150" s="0"/>
      <x:c r="S1150" s="0"/>
      <x:c r="T1150" s="0"/>
      <x:c r="U1150" s="0"/>
      <x:c r="V1150" s="0"/>
      <x:c r="W1150" s="0"/>
      <x:c r="X1150" t="str" s="2">
        <x:v>3363921109</x:v>
      </x:c>
      <x:c r="Y1150" t="str" s="2">
        <x:v>darthsephy@gmail.com</x:v>
      </x:c>
      <x:c r="Z1150" s="6">
        <x:v>46282.744505092596</x:v>
      </x:c>
      <x:c r="AA1150" t="str" s="2">
        <x:v>Jeremy Jacques</x:v>
      </x:c>
      <x:c r="AB1150" s="6">
        <x:v>46270.648755092596</x:v>
      </x:c>
      <x:c r="AC1150" t="n" s="2">
        <x:v>39710</x:v>
      </x:c>
      <x:c r="AD1150" s="0"/>
      <x:c r="AE1150" s="0"/>
      <x:c r="AF1150" s="0"/>
      <x:c r="AG1150" s="0"/>
      <x:c r="AH1150" s="0"/>
      <x:c r="AI1150" s="0"/>
      <x:c r="AJ1150" s="0"/>
      <x:c r="AK1150" s="0"/>
    </x:row>
    <x:row r="1151">
      <x:c r="A1151" t="str" s="2">
        <x:f>=HYPERLINK("https://rsms.futurehomex.com/lead/39711", "Shawn Thomas")</x:f>
      </x:c>
      <x:c r="B1151" t="n" s="2">
        <x:v>38</x:v>
      </x:c>
      <x:c r="C1151" t="str" s="2">
        <x:v>0/2</x:v>
      </x:c>
      <x:c r="D1151" t="str" s="2">
        <x:f>=""</x:f>
      </x:c>
      <x:c r="E1151" s="0"/>
      <x:c r="F1151" t="str" s="2">
        <x:v>Landing_BPM</x:v>
      </x:c>
      <x:c r="G1151" t="str" s="2">
        <x:v>Heritage Housing of Jennings</x:v>
      </x:c>
      <x:c r="H1151" t="str" s="2">
        <x:v>Mervin Leslie Smith</x:v>
      </x:c>
      <x:c r="I1151" s="0"/>
      <x:c r="J1151" t="str" s="2">
        <x:v>Mervin Leslie Smith</x:v>
      </x:c>
      <x:c r="K1151" t="n" s="2">
        <x:v>5</x:v>
      </x:c>
      <x:c r="L1151" t="str" s="2">
        <x:v>1.1</x:v>
      </x:c>
      <x:c r="M1151" t="str" s="2">
        <x:v>Inactive</x:v>
      </x:c>
      <x:c r="N1151" t="str" s="2">
        <x:v>Deal Created</x:v>
      </x:c>
      <x:c r="O1151" s="0"/>
      <x:c r="P1151" s="6">
        <x:v>46270</x:v>
      </x:c>
      <x:c r="Q1151" s="6">
        <x:v>46270.650444328705</x:v>
      </x:c>
      <x:c r="R1151" s="0"/>
      <x:c r="S1151" s="0"/>
      <x:c r="T1151" s="0"/>
      <x:c r="U1151" s="0"/>
      <x:c r="V1151" s="0"/>
      <x:c r="W1151" s="0"/>
      <x:c r="X1151" t="str" s="2">
        <x:v>9854144217</x:v>
      </x:c>
      <x:c r="Y1151" t="str" s="2">
        <x:v>shawnthomas33.st@gmail.com</x:v>
      </x:c>
      <x:c r="Z1151" s="6">
        <x:v>46282.94318530092</x:v>
      </x:c>
      <x:c r="AA1151" t="str" s="2">
        <x:v>Mervin Leslie Smith</x:v>
      </x:c>
      <x:c r="AB1151" s="6">
        <x:v>46270.650444756946</x:v>
      </x:c>
      <x:c r="AC1151" t="n" s="2">
        <x:v>39711</x:v>
      </x:c>
      <x:c r="AD1151" s="0"/>
      <x:c r="AE1151" s="0"/>
      <x:c r="AF1151" s="0"/>
      <x:c r="AG1151" s="0"/>
      <x:c r="AH1151" s="0"/>
      <x:c r="AI1151" s="0"/>
      <x:c r="AJ1151" s="0"/>
      <x:c r="AK1151" s="0"/>
    </x:row>
    <x:row r="1152">
      <x:c r="A1152" t="str" s="2">
        <x:f>=HYPERLINK("https://rsms.futurehomex.com/lead/39712", "Tiffany Smith")</x:f>
      </x:c>
      <x:c r="B1152" t="n" s="2">
        <x:v>38</x:v>
      </x:c>
      <x:c r="C1152" t="str" s="2">
        <x:v/>
      </x:c>
      <x:c r="D1152" t="str" s="2">
        <x:f>=""</x:f>
      </x:c>
      <x:c r="E1152" s="0"/>
      <x:c r="F1152" t="str" s="2">
        <x:v>Referrals</x:v>
      </x:c>
      <x:c r="G1152" t="str" s="2">
        <x:v>Legacy Housing Corp. DBA Americasa</x:v>
      </x:c>
      <x:c r="H1152" t="str" s="2">
        <x:v>Jose Parada</x:v>
      </x:c>
      <x:c r="I1152" t="str" s="2">
        <x:v>Karol Romero</x:v>
      </x:c>
      <x:c r="J1152" t="str" s="2">
        <x:v>Jose Parada</x:v>
      </x:c>
      <x:c r="K1152" t="n" s="2">
        <x:v>5</x:v>
      </x:c>
      <x:c r="L1152" t="str" s="2">
        <x:v>1.1</x:v>
      </x:c>
      <x:c r="M1152" t="str" s="2">
        <x:v>Tentative</x:v>
      </x:c>
      <x:c r="N1152" t="str" s="2">
        <x:v>Deal Created</x:v>
      </x:c>
      <x:c r="O1152" s="0"/>
      <x:c r="P1152" s="6">
        <x:v>46270</x:v>
      </x:c>
      <x:c r="Q1152" s="6">
        <x:v>46270.66310798611</x:v>
      </x:c>
      <x:c r="R1152" s="0"/>
      <x:c r="S1152" s="0"/>
      <x:c r="T1152" s="0"/>
      <x:c r="U1152" s="0"/>
      <x:c r="V1152" s="0"/>
      <x:c r="W1152" s="0"/>
      <x:c r="X1152" t="str" s="2">
        <x:v>8324848383</x:v>
      </x:c>
      <x:c r="Y1152" t="str" s="2">
        <x:v>tiffanyshanaye@gmail.com</x:v>
      </x:c>
      <x:c r="Z1152" s="0"/>
      <x:c r="AA1152" s="0"/>
      <x:c r="AB1152" s="6">
        <x:v>46270.66311026621</x:v>
      </x:c>
      <x:c r="AC1152" t="n" s="2">
        <x:v>39712</x:v>
      </x:c>
      <x:c r="AD1152" s="0"/>
      <x:c r="AE1152" s="0"/>
      <x:c r="AF1152" s="0"/>
      <x:c r="AG1152" s="0"/>
      <x:c r="AH1152" s="0"/>
      <x:c r="AI1152" s="0"/>
      <x:c r="AJ1152" s="0"/>
      <x:c r="AK1152" s="0"/>
    </x:row>
    <x:row r="1153">
      <x:c r="A1153" t="str" s="2">
        <x:f>=HYPERLINK("https://rsms.futurehomex.com/lead/39713", "Justin &amp; Makaya Brooks")</x:f>
      </x:c>
      <x:c r="B1153" t="n" s="2">
        <x:v>38</x:v>
      </x:c>
      <x:c r="C1153" t="str" s="2">
        <x:v>0/2</x:v>
      </x:c>
      <x:c r="D1153" t="str" s="2">
        <x:f>=""</x:f>
      </x:c>
      <x:c r="E1153" s="0"/>
      <x:c r="F1153" t="str" s="2">
        <x:v>Facebook Messenger</x:v>
      </x:c>
      <x:c r="G1153" t="str" s="2">
        <x:v>Heritage Housing of Oklahoma City</x:v>
      </x:c>
      <x:c r="H1153" t="str" s="2">
        <x:v>Steve Castell</x:v>
      </x:c>
      <x:c r="I1153" s="0"/>
      <x:c r="J1153" t="str" s="2">
        <x:v>Steve Castell</x:v>
      </x:c>
      <x:c r="K1153" t="n" s="2">
        <x:v>5</x:v>
      </x:c>
      <x:c r="L1153" t="str" s="2">
        <x:v>1.1</x:v>
      </x:c>
      <x:c r="M1153" t="str" s="2">
        <x:v>Inactive</x:v>
      </x:c>
      <x:c r="N1153" t="str" s="2">
        <x:v>Deal Created</x:v>
      </x:c>
      <x:c r="O1153" s="0"/>
      <x:c r="P1153" s="6">
        <x:v>46270</x:v>
      </x:c>
      <x:c r="Q1153" s="6">
        <x:v>46270.66588703704</x:v>
      </x:c>
      <x:c r="R1153" s="0"/>
      <x:c r="S1153" s="0"/>
      <x:c r="T1153" s="0"/>
      <x:c r="U1153" s="0"/>
      <x:c r="V1153" s="0"/>
      <x:c r="W1153" s="0"/>
      <x:c r="X1153" t="str" s="2">
        <x:v>4052741609</x:v>
      </x:c>
      <x:c r="Y1153" t="str" s="2">
        <x:v>4052741609</x:v>
      </x:c>
      <x:c r="Z1153" s="6">
        <x:v>46290.0744128125</x:v>
      </x:c>
      <x:c r="AA1153" t="str" s="2">
        <x:v>Steve Castell</x:v>
      </x:c>
      <x:c r="AB1153" s="6">
        <x:v>46270.66588753472</x:v>
      </x:c>
      <x:c r="AC1153" t="n" s="2">
        <x:v>39713</x:v>
      </x:c>
      <x:c r="AD1153" s="0"/>
      <x:c r="AE1153" s="0"/>
      <x:c r="AF1153" s="0"/>
      <x:c r="AG1153" s="0"/>
      <x:c r="AH1153" s="0"/>
      <x:c r="AI1153" s="0"/>
      <x:c r="AJ1153" s="0"/>
      <x:c r="AK1153" s="0"/>
    </x:row>
    <x:row r="1154">
      <x:c r="A1154" t="str" s="2">
        <x:f>=HYPERLINK("https://rsms.futurehomex.com/lead/39714", "Marilyn Peoples")</x:f>
      </x:c>
      <x:c r="B1154" t="n" s="2">
        <x:v>38</x:v>
      </x:c>
      <x:c r="C1154" t="str" s="2">
        <x:v/>
      </x:c>
      <x:c r="D1154" t="str" s="2">
        <x:f>=""</x:f>
      </x:c>
      <x:c r="E1154" s="0"/>
      <x:c r="F1154" t="str" s="2">
        <x:v>Walk-in</x:v>
      </x:c>
      <x:c r="G1154" t="str" s="2">
        <x:v>Heritage Housing of Augusta</x:v>
      </x:c>
      <x:c r="H1154" t="str" s="2">
        <x:v>Faye Lively</x:v>
      </x:c>
      <x:c r="I1154" s="0"/>
      <x:c r="J1154" s="0"/>
      <x:c r="K1154" t="n" s="2">
        <x:v>5</x:v>
      </x:c>
      <x:c r="L1154" t="str" s="2">
        <x:v>1.1</x:v>
      </x:c>
      <x:c r="M1154" t="str" s="2">
        <x:v>Tentative</x:v>
      </x:c>
      <x:c r="N1154" t="str" s="2">
        <x:v>Prospect</x:v>
      </x:c>
      <x:c r="O1154" s="0"/>
      <x:c r="P1154" s="6">
        <x:v>46270</x:v>
      </x:c>
      <x:c r="Q1154" s="6">
        <x:v>46280.59032650463</x:v>
      </x:c>
      <x:c r="R1154" s="0"/>
      <x:c r="S1154" s="0"/>
      <x:c r="T1154" s="0"/>
      <x:c r="U1154" s="0"/>
      <x:c r="V1154" s="0"/>
      <x:c r="W1154" s="0"/>
      <x:c r="X1154" t="str" s="2">
        <x:v>7622803190</x:v>
      </x:c>
      <x:c r="Y1154" t="str" s="2">
        <x:v>mpeoples78@gmail..com</x:v>
      </x:c>
      <x:c r="Z1154" s="6">
        <x:v>46280.58778475694</x:v>
      </x:c>
      <x:c r="AA1154" t="str" s="2">
        <x:v>Faye Lively</x:v>
      </x:c>
      <x:c r="AB1154" s="6">
        <x:v>46270.66625239584</x:v>
      </x:c>
      <x:c r="AC1154" t="n" s="2">
        <x:v>39714</x:v>
      </x:c>
      <x:c r="AD1154" s="0"/>
      <x:c r="AE1154" s="0"/>
      <x:c r="AF1154" s="0"/>
      <x:c r="AG1154" s="0"/>
      <x:c r="AH1154" s="0"/>
      <x:c r="AI1154" s="0"/>
      <x:c r="AJ1154" s="0"/>
      <x:c r="AK1154" s="0"/>
    </x:row>
    <x:row r="1155">
      <x:c r="A1155" t="str" s="2">
        <x:f>=HYPERLINK("https://rsms.futurehomex.com/lead/39716", "Dwight Eastman")</x:f>
      </x:c>
      <x:c r="B1155" t="n" s="2">
        <x:v>38</x:v>
      </x:c>
      <x:c r="C1155" t="str" s="2">
        <x:v>0/5</x:v>
      </x:c>
      <x:c r="D1155" t="str" s="2">
        <x:f>=""</x:f>
      </x:c>
      <x:c r="E1155" s="0"/>
      <x:c r="F1155" t="str" s="2">
        <x:v>Youtube</x:v>
      </x:c>
      <x:c r="G1155" t="str" s="2">
        <x:v>Heritage Housing of Oklahoma City</x:v>
      </x:c>
      <x:c r="H1155" t="str" s="2">
        <x:v>Steve Castell</x:v>
      </x:c>
      <x:c r="I1155" s="0"/>
      <x:c r="J1155" t="str" s="2">
        <x:v>Steve Castell</x:v>
      </x:c>
      <x:c r="K1155" t="n" s="2">
        <x:v>5</x:v>
      </x:c>
      <x:c r="L1155" t="str" s="2">
        <x:v>1.1</x:v>
      </x:c>
      <x:c r="M1155" t="str" s="2">
        <x:v>Inactive</x:v>
      </x:c>
      <x:c r="N1155" t="str" s="2">
        <x:v>Deal Created</x:v>
      </x:c>
      <x:c r="O1155" s="0"/>
      <x:c r="P1155" s="6">
        <x:v>46270</x:v>
      </x:c>
      <x:c r="Q1155" s="6">
        <x:v>46270.67764675926</x:v>
      </x:c>
      <x:c r="R1155" s="0"/>
      <x:c r="S1155" s="0"/>
      <x:c r="T1155" s="0"/>
      <x:c r="U1155" s="0"/>
      <x:c r="V1155" s="0"/>
      <x:c r="W1155" s="0"/>
      <x:c r="X1155" t="str" s="2">
        <x:v>4052190453</x:v>
      </x:c>
      <x:c r="Y1155" t="str" s="2">
        <x:v>dwighteastman55@gmail.com</x:v>
      </x:c>
      <x:c r="Z1155" s="6">
        <x:v>46301.00354085648</x:v>
      </x:c>
      <x:c r="AA1155" t="str" s="2">
        <x:v>Steve Castell</x:v>
      </x:c>
      <x:c r="AB1155" s="6">
        <x:v>46270.6776471875</x:v>
      </x:c>
      <x:c r="AC1155" t="n" s="2">
        <x:v>39716</x:v>
      </x:c>
      <x:c r="AD1155" s="0"/>
      <x:c r="AE1155" s="0"/>
      <x:c r="AF1155" s="0"/>
      <x:c r="AG1155" s="0"/>
      <x:c r="AH1155" s="0"/>
      <x:c r="AI1155" s="0"/>
      <x:c r="AJ1155" s="0"/>
      <x:c r="AK1155" s="0"/>
    </x:row>
    <x:row r="1156">
      <x:c r="A1156" t="str" s="2">
        <x:f>=HYPERLINK("https://rsms.futurehomex.com/lead/39717", "Kevin Guzman")</x:f>
      </x:c>
      <x:c r="B1156" t="n" s="2">
        <x:v>38</x:v>
      </x:c>
      <x:c r="C1156" t="str" s="2">
        <x:v>1/1</x:v>
      </x:c>
      <x:c r="D1156" t="str" s="2">
        <x:f>=""</x:f>
      </x:c>
      <x:c r="E1156" s="0"/>
      <x:c r="F1156" t="str" s="2">
        <x:v>Google Ads</x:v>
      </x:c>
      <x:c r="G1156" t="str" s="2">
        <x:v>Heritage Housing of Oklahoma City</x:v>
      </x:c>
      <x:c r="H1156" t="str" s="2">
        <x:v>Eva Misheva</x:v>
      </x:c>
      <x:c r="I1156" s="0"/>
      <x:c r="J1156" s="0"/>
      <x:c r="K1156" t="n" s="2">
        <x:v>5</x:v>
      </x:c>
      <x:c r="L1156" t="str" s="2">
        <x:v>1.1</x:v>
      </x:c>
      <x:c r="M1156" t="str" s="2">
        <x:v>Tentative</x:v>
      </x:c>
      <x:c r="N1156" t="str" s="2">
        <x:v>Prospect</x:v>
      </x:c>
      <x:c r="O1156" s="0"/>
      <x:c r="P1156" s="6">
        <x:v>46270</x:v>
      </x:c>
      <x:c r="Q1156" s="6">
        <x:v>46270.67894359954</x:v>
      </x:c>
      <x:c r="R1156" s="0"/>
      <x:c r="S1156" s="6">
        <x:v>46270</x:v>
      </x:c>
      <x:c r="T1156" s="0"/>
      <x:c r="U1156" s="0"/>
      <x:c r="V1156" s="0"/>
      <x:c r="W1156" s="0"/>
      <x:c r="X1156" t="str" s="2">
        <x:v>7793028904</x:v>
      </x:c>
      <x:c r="Y1156" t="str" s="2">
        <x:v>k.guzman03154@gmail.com</x:v>
      </x:c>
      <x:c r="Z1156" s="6">
        <x:v>46285.89869598379</x:v>
      </x:c>
      <x:c r="AA1156" t="str" s="2">
        <x:v>Eva Misheva</x:v>
      </x:c>
      <x:c r="AB1156" s="6">
        <x:v>46270.67894482639</x:v>
      </x:c>
      <x:c r="AC1156" t="n" s="2">
        <x:v>39717</x:v>
      </x:c>
      <x:c r="AD1156" s="0"/>
      <x:c r="AE1156" s="0"/>
      <x:c r="AF1156" s="0"/>
      <x:c r="AG1156" s="0"/>
      <x:c r="AH1156" s="0"/>
      <x:c r="AI1156" s="0"/>
      <x:c r="AJ1156" s="0"/>
      <x:c r="AK1156" s="0"/>
    </x:row>
    <x:row r="1157">
      <x:c r="A1157" t="str" s="2">
        <x:f>=HYPERLINK("https://rsms.futurehomex.com/lead/39718", "Jeff Dunn")</x:f>
      </x:c>
      <x:c r="B1157" t="n" s="2">
        <x:v>38</x:v>
      </x:c>
      <x:c r="C1157" t="str" s="2">
        <x:v/>
      </x:c>
      <x:c r="D1157" t="str" s="2">
        <x:f>=""</x:f>
      </x:c>
      <x:c r="E1157" s="0"/>
      <x:c r="F1157" t="str" s="2">
        <x:v>Walk-in</x:v>
      </x:c>
      <x:c r="G1157" t="str" s="2">
        <x:v>Heritage Housing of Augusta</x:v>
      </x:c>
      <x:c r="H1157" t="str" s="2">
        <x:v>Jennifer Johnson</x:v>
      </x:c>
      <x:c r="I1157" s="0"/>
      <x:c r="J1157" t="str" s="2">
        <x:v>Jennifer Johnson</x:v>
      </x:c>
      <x:c r="K1157" t="n" s="2">
        <x:v>5</x:v>
      </x:c>
      <x:c r="L1157" t="str" s="2">
        <x:v>1.1</x:v>
      </x:c>
      <x:c r="M1157" t="str" s="2">
        <x:v>Tentative</x:v>
      </x:c>
      <x:c r="N1157" t="str" s="2">
        <x:v>Prospect</x:v>
      </x:c>
      <x:c r="O1157" s="0"/>
      <x:c r="P1157" s="6">
        <x:v>46270</x:v>
      </x:c>
      <x:c r="Q1157" s="6">
        <x:v>46270.67974267361</x:v>
      </x:c>
      <x:c r="R1157" t="str" s="2">
        <x:v>Jennifer Johnson</x:v>
      </x:c>
      <x:c r="S1157" s="0"/>
      <x:c r="T1157" s="0"/>
      <x:c r="U1157" s="0"/>
      <x:c r="V1157" s="0"/>
      <x:c r="W1157" s="0"/>
      <x:c r="X1157" t="str" s="2">
        <x:v>7068302147</x:v>
      </x:c>
      <x:c r="Y1157" t="str" s="2">
        <x:v>jsdunn33@yahoo.com</x:v>
      </x:c>
      <x:c r="Z1157" s="0"/>
      <x:c r="AA1157" s="0"/>
      <x:c r="AB1157" s="6">
        <x:v>46270.67974332176</x:v>
      </x:c>
      <x:c r="AC1157" t="n" s="2">
        <x:v>39718</x:v>
      </x:c>
      <x:c r="AD1157" s="0"/>
      <x:c r="AE1157" s="0"/>
      <x:c r="AF1157" s="0"/>
      <x:c r="AG1157" s="0"/>
      <x:c r="AH1157" s="0"/>
      <x:c r="AI1157" s="0"/>
      <x:c r="AJ1157" s="0"/>
      <x:c r="AK1157" s="0"/>
    </x:row>
    <x:row r="1158">
      <x:c r="A1158" t="str" s="2">
        <x:f>=HYPERLINK("https://rsms.futurehomex.com/lead/39719", "JASON BROUSSARD")</x:f>
      </x:c>
      <x:c r="B1158" t="n" s="2">
        <x:v>38</x:v>
      </x:c>
      <x:c r="C1158" t="str" s="2">
        <x:v/>
      </x:c>
      <x:c r="D1158" t="str" s="2">
        <x:f>=""</x:f>
      </x:c>
      <x:c r="E1158" s="0"/>
      <x:c r="F1158" t="str" s="2">
        <x:v>Landing_BPM</x:v>
      </x:c>
      <x:c r="G1158" t="str" s="2">
        <x:v>Heritage Housing of Jennings</x:v>
      </x:c>
      <x:c r="H1158" t="str" s="2">
        <x:v>Mervin Leslie Smith</x:v>
      </x:c>
      <x:c r="I1158" s="0"/>
      <x:c r="J1158" t="str" s="2">
        <x:v>Mervin Leslie Smith</x:v>
      </x:c>
      <x:c r="K1158" t="n" s="2">
        <x:v>5</x:v>
      </x:c>
      <x:c r="L1158" t="str" s="2">
        <x:v>1.1</x:v>
      </x:c>
      <x:c r="M1158" t="str" s="2">
        <x:v>Dead</x:v>
      </x:c>
      <x:c r="N1158" t="str" s="2">
        <x:v>Deal Created</x:v>
      </x:c>
      <x:c r="O1158" s="0"/>
      <x:c r="P1158" s="6">
        <x:v>46270</x:v>
      </x:c>
      <x:c r="Q1158" s="6">
        <x:v>46270.695612881944</x:v>
      </x:c>
      <x:c r="R1158" s="0"/>
      <x:c r="S1158" s="0"/>
      <x:c r="T1158" s="0"/>
      <x:c r="U1158" s="0"/>
      <x:c r="V1158" s="0"/>
      <x:c r="W1158" s="0"/>
      <x:c r="X1158" t="str" s="2">
        <x:v>7608050999</x:v>
      </x:c>
      <x:c r="Y1158" t="str" s="2">
        <x:v>jason.p.broussard85@gmail.com</x:v>
      </x:c>
      <x:c r="Z1158" s="6">
        <x:v>46276.78522866898</x:v>
      </x:c>
      <x:c r="AA1158" t="str" s="2">
        <x:v>Mervin Leslie Smith</x:v>
      </x:c>
      <x:c r="AB1158" s="6">
        <x:v>46270.69561342592</x:v>
      </x:c>
      <x:c r="AC1158" t="n" s="2">
        <x:v>39719</x:v>
      </x:c>
      <x:c r="AD1158" s="0"/>
      <x:c r="AE1158" s="0"/>
      <x:c r="AF1158" s="0"/>
      <x:c r="AG1158" s="0"/>
      <x:c r="AH1158" s="0"/>
      <x:c r="AI1158" s="0"/>
      <x:c r="AJ1158" s="0"/>
      <x:c r="AK1158" s="0"/>
    </x:row>
    <x:row r="1159">
      <x:c r="A1159" t="str" s="2">
        <x:f>=HYPERLINK("https://rsms.futurehomex.com/lead/39720", "Aubrielle Thompson")</x:f>
      </x:c>
      <x:c r="B1159" t="n" s="2">
        <x:v>38</x:v>
      </x:c>
      <x:c r="C1159" t="str" s="2">
        <x:v/>
      </x:c>
      <x:c r="D1159" t="str" s="2">
        <x:f>=""</x:f>
      </x:c>
      <x:c r="E1159" s="0"/>
      <x:c r="F1159" t="str" s="2">
        <x:v>Financing Form</x:v>
      </x:c>
      <x:c r="G1159" t="str" s="2">
        <x:v>Heritage Housing of Athens</x:v>
      </x:c>
      <x:c r="H1159" t="str" s="2">
        <x:v>Nathan Bishop</x:v>
      </x:c>
      <x:c r="I1159" s="0"/>
      <x:c r="J1159" t="str" s="2">
        <x:v>Nathan Bishop</x:v>
      </x:c>
      <x:c r="K1159" t="n" s="2">
        <x:v>5</x:v>
      </x:c>
      <x:c r="L1159" t="str" s="2">
        <x:v>1.1</x:v>
      </x:c>
      <x:c r="M1159" t="str" s="2">
        <x:v>Tentative</x:v>
      </x:c>
      <x:c r="N1159" t="str" s="2">
        <x:v>Prospect</x:v>
      </x:c>
      <x:c r="O1159" s="0"/>
      <x:c r="P1159" s="6">
        <x:v>46270</x:v>
      </x:c>
      <x:c r="Q1159" s="6">
        <x:v>46270.70895914352</x:v>
      </x:c>
      <x:c r="R1159" s="0"/>
      <x:c r="S1159" s="0"/>
      <x:c r="T1159" s="0"/>
      <x:c r="U1159" s="0"/>
      <x:c r="V1159" s="0"/>
      <x:c r="W1159" s="0"/>
      <x:c r="X1159" t="str" s="2">
        <x:v>6782835140</x:v>
      </x:c>
      <x:c r="Y1159" t="str" s="2">
        <x:v>aubriellethompson@outlook.com</x:v>
      </x:c>
      <x:c r="Z1159" s="6">
        <x:v>46270.71271836806</x:v>
      </x:c>
      <x:c r="AA1159" t="str" s="2">
        <x:v>Timothy Postlethwait</x:v>
      </x:c>
      <x:c r="AB1159" s="6">
        <x:v>46270.70895957176</x:v>
      </x:c>
      <x:c r="AC1159" t="n" s="2">
        <x:v>39720</x:v>
      </x:c>
      <x:c r="AD1159" s="0"/>
      <x:c r="AE1159" s="0"/>
      <x:c r="AF1159" s="0"/>
      <x:c r="AG1159" s="0"/>
      <x:c r="AH1159" s="0"/>
      <x:c r="AI1159" s="0"/>
      <x:c r="AJ1159" s="0"/>
      <x:c r="AK1159" s="0"/>
    </x:row>
    <x:row r="1160">
      <x:c r="A1160" t="str" s="2">
        <x:f>=HYPERLINK("https://rsms.futurehomex.com/lead/39721", "Jacob Leavenworth")</x:f>
      </x:c>
      <x:c r="B1160" t="n" s="2">
        <x:v>38</x:v>
      </x:c>
      <x:c r="C1160" t="str" s="2">
        <x:v/>
      </x:c>
      <x:c r="D1160" t="str" s="2">
        <x:f>=""</x:f>
      </x:c>
      <x:c r="E1160" s="0"/>
      <x:c r="F1160" t="str" s="2">
        <x:v>Landing_BPM</x:v>
      </x:c>
      <x:c r="G1160" t="str" s="2">
        <x:v>Heritage Housing of Athens</x:v>
      </x:c>
      <x:c r="H1160" t="str" s="2">
        <x:v>Nathan Bishop</x:v>
      </x:c>
      <x:c r="I1160" s="0"/>
      <x:c r="J1160" t="str" s="2">
        <x:v>Nathan Bishop</x:v>
      </x:c>
      <x:c r="K1160" t="n" s="2">
        <x:v>5</x:v>
      </x:c>
      <x:c r="L1160" t="str" s="2">
        <x:v>1.1</x:v>
      </x:c>
      <x:c r="M1160" t="str" s="2">
        <x:v>Tentative</x:v>
      </x:c>
      <x:c r="N1160" t="str" s="2">
        <x:v>Prospect</x:v>
      </x:c>
      <x:c r="O1160" s="0"/>
      <x:c r="P1160" s="6">
        <x:v>46270</x:v>
      </x:c>
      <x:c r="Q1160" s="6">
        <x:v>46270.738141898146</x:v>
      </x:c>
      <x:c r="R1160" s="0"/>
      <x:c r="S1160" s="0"/>
      <x:c r="T1160" s="0"/>
      <x:c r="U1160" s="0"/>
      <x:c r="V1160" s="0"/>
      <x:c r="W1160" s="0"/>
      <x:c r="X1160" t="str" s="2">
        <x:v>8647945029</x:v>
      </x:c>
      <x:c r="Y1160" t="str" s="2">
        <x:v>jacobleavenworth817@gmail.com</x:v>
      </x:c>
      <x:c r="Z1160" s="6">
        <x:v>46270.74034394676</x:v>
      </x:c>
      <x:c r="AA1160" t="str" s="2">
        <x:v>Timothy Postlethwait</x:v>
      </x:c>
      <x:c r="AB1160" s="6">
        <x:v>46273.52987607639</x:v>
      </x:c>
      <x:c r="AC1160" t="n" s="2">
        <x:v>39721</x:v>
      </x:c>
      <x:c r="AD1160" s="0"/>
      <x:c r="AE1160" s="0"/>
      <x:c r="AF1160" s="0"/>
      <x:c r="AG1160" s="0"/>
      <x:c r="AH1160" s="0"/>
      <x:c r="AI1160" s="0"/>
      <x:c r="AJ1160" s="0"/>
      <x:c r="AK1160" s="0"/>
    </x:row>
    <x:row r="1161">
      <x:c r="A1161" t="str" s="2">
        <x:f>=HYPERLINK("https://rsms.futurehomex.com/lead/39722", "Israel Garcia")</x:f>
      </x:c>
      <x:c r="B1161" t="n" s="2">
        <x:v>38</x:v>
      </x:c>
      <x:c r="C1161" t="str" s="2">
        <x:v/>
      </x:c>
      <x:c r="D1161" t="str" s="2">
        <x:f>=""</x:f>
      </x:c>
      <x:c r="E1161" s="0"/>
      <x:c r="F1161" t="str" s="2">
        <x:v>Walk-in</x:v>
      </x:c>
      <x:c r="G1161" t="str" s="2">
        <x:v>Heritage Housing of Asheboro</x:v>
      </x:c>
      <x:c r="H1161" t="str" s="2">
        <x:v>Kate Gutierrez</x:v>
      </x:c>
      <x:c r="I1161" s="0"/>
      <x:c r="J1161" s="0"/>
      <x:c r="K1161" t="n" s="2">
        <x:v>21</x:v>
      </x:c>
      <x:c r="L1161" t="str" s="2">
        <x:v>2.1</x:v>
      </x:c>
      <x:c r="M1161" t="str" s="2">
        <x:v>Tentative</x:v>
      </x:c>
      <x:c r="N1161" t="str" s="2">
        <x:v>Qualified</x:v>
      </x:c>
      <x:c r="O1161" s="0"/>
      <x:c r="P1161" s="6">
        <x:v>46270</x:v>
      </x:c>
      <x:c r="Q1161" s="6">
        <x:v>46282.74489818287</x:v>
      </x:c>
      <x:c r="R1161" s="0"/>
      <x:c r="S1161" s="0"/>
      <x:c r="T1161" s="0"/>
      <x:c r="U1161" s="0"/>
      <x:c r="V1161" s="0"/>
      <x:c r="W1161" s="0"/>
      <x:c r="X1161" t="str" s="2">
        <x:v>9195798574</x:v>
      </x:c>
      <x:c r="Y1161" t="str" s="2">
        <x:v>isragar200@gmail.com</x:v>
      </x:c>
      <x:c r="Z1161" s="6">
        <x:v>46282.74488568287</x:v>
      </x:c>
      <x:c r="AA1161" t="str" s="2">
        <x:v>Jeremy Jacques</x:v>
      </x:c>
      <x:c r="AB1161" s="6">
        <x:v>46270.74169112268</x:v>
      </x:c>
      <x:c r="AC1161" t="n" s="2">
        <x:v>39722</x:v>
      </x:c>
      <x:c r="AD1161" s="0"/>
      <x:c r="AE1161" s="0"/>
      <x:c r="AF1161" s="0"/>
      <x:c r="AG1161" s="0"/>
      <x:c r="AH1161" s="0"/>
      <x:c r="AI1161" s="0"/>
      <x:c r="AJ1161" s="0"/>
      <x:c r="AK1161" s="0"/>
    </x:row>
    <x:row r="1162">
      <x:c r="A1162" t="str" s="2">
        <x:f>=HYPERLINK("https://rsms.futurehomex.com/lead/39723", "Kasey Decker")</x:f>
      </x:c>
      <x:c r="B1162" t="n" s="2">
        <x:v>38</x:v>
      </x:c>
      <x:c r="C1162" t="str" s="2">
        <x:v>1/3</x:v>
      </x:c>
      <x:c r="D1162" t="str" s="2">
        <x:f>=""</x:f>
      </x:c>
      <x:c r="E1162" s="0"/>
      <x:c r="F1162" t="str" s="2">
        <x:v>Walk-in</x:v>
      </x:c>
      <x:c r="G1162" t="str" s="2">
        <x:v>Heritage Housing of Oklahoma City</x:v>
      </x:c>
      <x:c r="H1162" t="str" s="2">
        <x:v>Steve Castell</x:v>
      </x:c>
      <x:c r="I1162" s="0"/>
      <x:c r="J1162" t="str" s="2">
        <x:v>Steve Castell</x:v>
      </x:c>
      <x:c r="K1162" t="n" s="2">
        <x:v>5</x:v>
      </x:c>
      <x:c r="L1162" t="str" s="2">
        <x:v>1.1</x:v>
      </x:c>
      <x:c r="M1162" t="str" s="2">
        <x:v>Tentative</x:v>
      </x:c>
      <x:c r="N1162" t="str" s="2">
        <x:v>Deal Created</x:v>
      </x:c>
      <x:c r="O1162" s="0"/>
      <x:c r="P1162" s="6">
        <x:v>46270</x:v>
      </x:c>
      <x:c r="Q1162" s="6">
        <x:v>46270.74575555555</x:v>
      </x:c>
      <x:c r="R1162" s="0"/>
      <x:c r="S1162" s="0"/>
      <x:c r="T1162" s="0"/>
      <x:c r="U1162" s="0"/>
      <x:c r="V1162" s="0"/>
      <x:c r="W1162" s="0"/>
      <x:c r="X1162" t="str" s="2">
        <x:v>4052501808</x:v>
      </x:c>
      <x:c r="Y1162" t="str" s="2">
        <x:v>kaseydecker2001@gmail.com</x:v>
      </x:c>
      <x:c r="Z1162" s="6">
        <x:v>46287.98055771991</x:v>
      </x:c>
      <x:c r="AA1162" t="str" s="2">
        <x:v>Steve Castell</x:v>
      </x:c>
      <x:c r="AB1162" s="6">
        <x:v>46270.74564857639</x:v>
      </x:c>
      <x:c r="AC1162" t="n" s="2">
        <x:v>39723</x:v>
      </x:c>
      <x:c r="AD1162" s="0"/>
      <x:c r="AE1162" s="0"/>
      <x:c r="AF1162" s="0"/>
      <x:c r="AG1162" s="0"/>
      <x:c r="AH1162" s="0"/>
      <x:c r="AI1162" s="0"/>
      <x:c r="AJ1162" s="0"/>
      <x:c r="AK1162" s="0"/>
    </x:row>
    <x:row r="1163">
      <x:c r="A1163" t="str" s="2">
        <x:f>=HYPERLINK("https://rsms.futurehomex.com/lead/39724", "Jonathon McClansey")</x:f>
      </x:c>
      <x:c r="B1163" t="n" s="2">
        <x:v>38</x:v>
      </x:c>
      <x:c r="C1163" t="str" s="2">
        <x:v>0/1</x:v>
      </x:c>
      <x:c r="D1163" t="str" s="2">
        <x:f>=""</x:f>
      </x:c>
      <x:c r="E1163" s="0"/>
      <x:c r="F1163" t="str" s="2">
        <x:v>Walk-in</x:v>
      </x:c>
      <x:c r="G1163" t="str" s="2">
        <x:v>Heritage Housing of Minden</x:v>
      </x:c>
      <x:c r="H1163" t="str" s="2">
        <x:v>Patrick Schuchart</x:v>
      </x:c>
      <x:c r="I1163" t="str" s="2">
        <x:v>Karol Romero</x:v>
      </x:c>
      <x:c r="J1163" t="str" s="2">
        <x:v>Patrick Schuchart</x:v>
      </x:c>
      <x:c r="K1163" t="n" s="2">
        <x:v>5</x:v>
      </x:c>
      <x:c r="L1163" t="str" s="2">
        <x:v>1.1</x:v>
      </x:c>
      <x:c r="M1163" t="str" s="2">
        <x:v>Tentative</x:v>
      </x:c>
      <x:c r="N1163" t="str" s="2">
        <x:v>Deal Created</x:v>
      </x:c>
      <x:c r="O1163" s="0"/>
      <x:c r="P1163" s="6">
        <x:v>46270</x:v>
      </x:c>
      <x:c r="Q1163" s="6">
        <x:v>46270.75162708334</x:v>
      </x:c>
      <x:c r="R1163" t="str" s="2">
        <x:v>Patrick Schuchart</x:v>
      </x:c>
      <x:c r="S1163" s="0"/>
      <x:c r="T1163" s="0"/>
      <x:c r="U1163" s="0"/>
      <x:c r="V1163" s="0"/>
      <x:c r="W1163" s="0"/>
      <x:c r="X1163" t="str" s="2">
        <x:v>8177761738</x:v>
      </x:c>
      <x:c r="Y1163" t="str" s="2">
        <x:v>8177761738</x:v>
      </x:c>
      <x:c r="Z1163" s="6">
        <x:v>46295.842562847225</x:v>
      </x:c>
      <x:c r="AA1163" t="str" s="2">
        <x:v>Kyla Brown</x:v>
      </x:c>
      <x:c r="AB1163" s="6">
        <x:v>46270.75162855324</x:v>
      </x:c>
      <x:c r="AC1163" t="n" s="2">
        <x:v>39724</x:v>
      </x:c>
      <x:c r="AD1163" s="0"/>
      <x:c r="AE1163" s="0"/>
      <x:c r="AF1163" s="0"/>
      <x:c r="AG1163" s="0"/>
      <x:c r="AH1163" s="0"/>
      <x:c r="AI1163" s="0"/>
      <x:c r="AJ1163" s="0"/>
      <x:c r="AK1163" s="0"/>
    </x:row>
    <x:row r="1164">
      <x:c r="A1164" t="str" s="2">
        <x:f>=HYPERLINK("https://rsms.futurehomex.com/lead/39725", "Tommy Reichert")</x:f>
      </x:c>
      <x:c r="B1164" t="n" s="2">
        <x:v>38</x:v>
      </x:c>
      <x:c r="C1164" t="str" s="2">
        <x:v>0/1</x:v>
      </x:c>
      <x:c r="D1164" t="str" s="2">
        <x:f>=""</x:f>
      </x:c>
      <x:c r="E1164" s="0"/>
      <x:c r="F1164" t="str" s="2">
        <x:v>Walk-in</x:v>
      </x:c>
      <x:c r="G1164" t="str" s="2">
        <x:v>Heritage Housing of Minden</x:v>
      </x:c>
      <x:c r="H1164" t="str" s="2">
        <x:v>Patrick Schuchart</x:v>
      </x:c>
      <x:c r="I1164" t="str" s="2">
        <x:v>Karol Romero</x:v>
      </x:c>
      <x:c r="J1164" t="str" s="2">
        <x:v>Patrick Schuchart</x:v>
      </x:c>
      <x:c r="K1164" t="n" s="2">
        <x:v>5</x:v>
      </x:c>
      <x:c r="L1164" t="str" s="2">
        <x:v>1.1</x:v>
      </x:c>
      <x:c r="M1164" t="str" s="2">
        <x:v>Tentative</x:v>
      </x:c>
      <x:c r="N1164" t="str" s="2">
        <x:v>Deal Created</x:v>
      </x:c>
      <x:c r="O1164" s="0"/>
      <x:c r="P1164" s="6">
        <x:v>46270</x:v>
      </x:c>
      <x:c r="Q1164" s="6">
        <x:v>46270.75364070602</x:v>
      </x:c>
      <x:c r="R1164" t="str" s="2">
        <x:v>Patrick Schuchart</x:v>
      </x:c>
      <x:c r="S1164" s="0"/>
      <x:c r="T1164" s="0"/>
      <x:c r="U1164" s="0"/>
      <x:c r="V1164" s="0"/>
      <x:c r="W1164" s="0"/>
      <x:c r="X1164" t="str" s="2">
        <x:v>3182438747</x:v>
      </x:c>
      <x:c r="Y1164" t="str" s="2">
        <x:v>3182438747</x:v>
      </x:c>
      <x:c r="Z1164" s="6">
        <x:v>46295.84263572917</x:v>
      </x:c>
      <x:c r="AA1164" t="str" s="2">
        <x:v>Kyla Brown</x:v>
      </x:c>
      <x:c r="AB1164" s="6">
        <x:v>46270.75364224537</x:v>
      </x:c>
      <x:c r="AC1164" t="n" s="2">
        <x:v>39725</x:v>
      </x:c>
      <x:c r="AD1164" s="0"/>
      <x:c r="AE1164" s="0"/>
      <x:c r="AF1164" s="0"/>
      <x:c r="AG1164" s="0"/>
      <x:c r="AH1164" s="0"/>
      <x:c r="AI1164" s="0"/>
      <x:c r="AJ1164" s="0"/>
      <x:c r="AK1164" s="0"/>
    </x:row>
    <x:row r="1165">
      <x:c r="A1165" t="str" s="2">
        <x:f>=HYPERLINK("https://rsms.futurehomex.com/lead/39726", "Connor Beeson")</x:f>
      </x:c>
      <x:c r="B1165" t="n" s="2">
        <x:v>38</x:v>
      </x:c>
      <x:c r="C1165" t="str" s="2">
        <x:v>1/1</x:v>
      </x:c>
      <x:c r="D1165" t="str" s="2">
        <x:f>=""</x:f>
      </x:c>
      <x:c r="E1165" s="0"/>
      <x:c r="F1165" t="str" s="2">
        <x:v>Walk-in</x:v>
      </x:c>
      <x:c r="G1165" t="str" s="2">
        <x:v>Heritage Housing of Oklahoma City</x:v>
      </x:c>
      <x:c r="H1165" t="str" s="2">
        <x:v>Trey Rixleben</x:v>
      </x:c>
      <x:c r="I1165" t="str" s="2">
        <x:v>Karol Romero</x:v>
      </x:c>
      <x:c r="J1165" t="str" s="2">
        <x:v>Trey Rixleben</x:v>
      </x:c>
      <x:c r="K1165" t="n" s="2">
        <x:v>5</x:v>
      </x:c>
      <x:c r="L1165" t="str" s="2">
        <x:v>1.1</x:v>
      </x:c>
      <x:c r="M1165" t="str" s="2">
        <x:v>Tentative</x:v>
      </x:c>
      <x:c r="N1165" t="str" s="2">
        <x:v>Deal Created</x:v>
      </x:c>
      <x:c r="O1165" s="0"/>
      <x:c r="P1165" s="6">
        <x:v>46270</x:v>
      </x:c>
      <x:c r="Q1165" s="6">
        <x:v>46296.8160505787</x:v>
      </x:c>
      <x:c r="R1165" s="0"/>
      <x:c r="S1165" s="0"/>
      <x:c r="T1165" s="0"/>
      <x:c r="U1165" s="0"/>
      <x:c r="V1165" s="0"/>
      <x:c r="W1165" s="0"/>
      <x:c r="X1165" t="str" s="2">
        <x:v>9182197544</x:v>
      </x:c>
      <x:c r="Y1165" t="str" s="2">
        <x:v>connorbson@gmail.com</x:v>
      </x:c>
      <x:c r="Z1165" s="6">
        <x:v>46270.765845752314</x:v>
      </x:c>
      <x:c r="AA1165" t="str" s="2">
        <x:v>Trey Rixleben</x:v>
      </x:c>
      <x:c r="AB1165" s="6">
        <x:v>46270.75644707176</x:v>
      </x:c>
      <x:c r="AC1165" t="n" s="2">
        <x:v>39726</x:v>
      </x:c>
      <x:c r="AD1165" s="0"/>
      <x:c r="AE1165" s="0"/>
      <x:c r="AF1165" s="0"/>
      <x:c r="AG1165" s="0"/>
      <x:c r="AH1165" s="0"/>
      <x:c r="AI1165" s="0"/>
      <x:c r="AJ1165" s="0"/>
      <x:c r="AK1165" s="0"/>
    </x:row>
    <x:row r="1166">
      <x:c r="A1166" t="str" s="2">
        <x:f>=HYPERLINK("https://rsms.futurehomex.com/lead/39727", "Thomas Pitts")</x:f>
      </x:c>
      <x:c r="B1166" t="n" s="2">
        <x:v>38</x:v>
      </x:c>
      <x:c r="C1166" t="str" s="2">
        <x:v>0/3</x:v>
      </x:c>
      <x:c r="D1166" t="str" s="2">
        <x:f>=""</x:f>
      </x:c>
      <x:c r="E1166" t="str" s="2">
        <x:v>Jessica Pickett</x:v>
      </x:c>
      <x:c r="F1166" t="str" s="2">
        <x:v>Walk-in</x:v>
      </x:c>
      <x:c r="G1166" t="str" s="2">
        <x:v>Heritage Housing of Minden</x:v>
      </x:c>
      <x:c r="H1166" t="str" s="2">
        <x:v>Patrick Schuchart</x:v>
      </x:c>
      <x:c r="I1166" t="str" s="2">
        <x:v>Karol Romero</x:v>
      </x:c>
      <x:c r="J1166" t="str" s="2">
        <x:v>Patrick Schuchart</x:v>
      </x:c>
      <x:c r="K1166" t="n" s="2">
        <x:v>40</x:v>
      </x:c>
      <x:c r="L1166" t="str" s="2">
        <x:v>3.3</x:v>
      </x:c>
      <x:c r="M1166" t="str" s="2">
        <x:v>Denied</x:v>
      </x:c>
      <x:c r="N1166" t="str" s="2">
        <x:v>Application</x:v>
      </x:c>
      <x:c r="O1166" s="0"/>
      <x:c r="P1166" s="6">
        <x:v>46270</x:v>
      </x:c>
      <x:c r="Q1166" s="6">
        <x:v>46295.81029070602</x:v>
      </x:c>
      <x:c r="R1166" s="0"/>
      <x:c r="S1166" s="6">
        <x:v>46287</x:v>
      </x:c>
      <x:c r="T1166" s="6">
        <x:v>46287</x:v>
      </x:c>
      <x:c r="U1166" s="0"/>
      <x:c r="V1166" s="6">
        <x:v>46296</x:v>
      </x:c>
      <x:c r="W1166" s="0"/>
      <x:c r="X1166" t="str" s="2">
        <x:v>3188014245</x:v>
      </x:c>
      <x:c r="Y1166" t="str" s="2">
        <x:v>tomllpitts@yahoo.com</x:v>
      </x:c>
      <x:c r="Z1166" s="6">
        <x:v>46296.68937670139</x:v>
      </x:c>
      <x:c r="AA1166" t="str" s="2">
        <x:v>Patrick Schuchart</x:v>
      </x:c>
      <x:c r="AB1166" s="6">
        <x:v>46270.757922488425</x:v>
      </x:c>
      <x:c r="AC1166" t="n" s="2">
        <x:v>39727</x:v>
      </x:c>
      <x:c r="AD1166" t="str" s="2">
        <x:v>Singlewide</x:v>
      </x:c>
      <x:c r="AE1166" t="str" s="2">
        <x:v>Legacy Housing Corporation</x:v>
      </x:c>
      <x:c r="AF1166" s="7">
        <x:v>7500</x:v>
      </x:c>
      <x:c r="AG1166" s="7">
        <x:v>7500</x:v>
      </x:c>
      <x:c r="AH1166" s="0"/>
      <x:c r="AI1166" t="str" s="2">
        <x:v>655</x:v>
      </x:c>
      <x:c r="AJ1166" s="0"/>
      <x:c r="AK1166" s="0"/>
    </x:row>
    <x:row r="1167">
      <x:c r="A1167" t="str" s="2">
        <x:f>=HYPERLINK("https://rsms.futurehomex.com/lead/39728", "Kierra Wright")</x:f>
      </x:c>
      <x:c r="B1167" t="n" s="2">
        <x:v>38</x:v>
      </x:c>
      <x:c r="C1167" t="str" s="2">
        <x:v/>
      </x:c>
      <x:c r="D1167" t="str" s="2">
        <x:f>=""</x:f>
      </x:c>
      <x:c r="E1167" s="0"/>
      <x:c r="F1167" t="str" s="2">
        <x:v>Walk-in</x:v>
      </x:c>
      <x:c r="G1167" t="str" s="2">
        <x:v>Heritage Housing of Asheboro</x:v>
      </x:c>
      <x:c r="H1167" t="str" s="2">
        <x:v>Maria Lopez</x:v>
      </x:c>
      <x:c r="I1167" s="0"/>
      <x:c r="J1167" s="0"/>
      <x:c r="K1167" t="n" s="2">
        <x:v>21</x:v>
      </x:c>
      <x:c r="L1167" t="str" s="2">
        <x:v>2.1</x:v>
      </x:c>
      <x:c r="M1167" t="str" s="2">
        <x:v>Tentative</x:v>
      </x:c>
      <x:c r="N1167" t="str" s="2">
        <x:v>Qualified</x:v>
      </x:c>
      <x:c r="O1167" s="0"/>
      <x:c r="P1167" s="6">
        <x:v>46270</x:v>
      </x:c>
      <x:c r="Q1167" s="6">
        <x:v>46282.745177164354</x:v>
      </x:c>
      <x:c r="R1167" s="0"/>
      <x:c r="S1167" s="0"/>
      <x:c r="T1167" s="0"/>
      <x:c r="U1167" s="0"/>
      <x:c r="V1167" s="0"/>
      <x:c r="W1167" s="0"/>
      <x:c r="X1167" t="str" s="2">
        <x:v>7043002805</x:v>
      </x:c>
      <x:c r="Y1167" t="str" s="2">
        <x:v>mylashon27@yahoo.com</x:v>
      </x:c>
      <x:c r="Z1167" s="6">
        <x:v>46282.7451628125</x:v>
      </x:c>
      <x:c r="AA1167" t="str" s="2">
        <x:v>Jeremy Jacques</x:v>
      </x:c>
      <x:c r="AB1167" s="6">
        <x:v>46270.76140721065</x:v>
      </x:c>
      <x:c r="AC1167" t="n" s="2">
        <x:v>39728</x:v>
      </x:c>
      <x:c r="AD1167" s="0"/>
      <x:c r="AE1167" s="0"/>
      <x:c r="AF1167" s="0"/>
      <x:c r="AG1167" s="0"/>
      <x:c r="AH1167" s="0"/>
      <x:c r="AI1167" s="0"/>
      <x:c r="AJ1167" s="0"/>
      <x:c r="AK1167" s="0"/>
    </x:row>
    <x:row r="1168">
      <x:c r="A1168" t="str" s="2">
        <x:f>=HYPERLINK("https://rsms.futurehomex.com/lead/39729", "Sheila Feist")</x:f>
      </x:c>
      <x:c r="B1168" t="n" s="2">
        <x:v>38</x:v>
      </x:c>
      <x:c r="C1168" t="str" s="2">
        <x:v>1/6</x:v>
      </x:c>
      <x:c r="D1168" t="str" s="2">
        <x:f>=""</x:f>
      </x:c>
      <x:c r="E1168" s="0"/>
      <x:c r="F1168" t="str" s="2">
        <x:v>TikTok</x:v>
      </x:c>
      <x:c r="G1168" t="str" s="2">
        <x:v>Legacy Housing Corp. DBA Americasa</x:v>
      </x:c>
      <x:c r="H1168" t="str" s="2">
        <x:v>Angelica Mendoza </x:v>
      </x:c>
      <x:c r="I1168" t="str" s="2">
        <x:v>Karol Romero</x:v>
      </x:c>
      <x:c r="J1168" s="0"/>
      <x:c r="K1168" t="n" s="2">
        <x:v>59</x:v>
      </x:c>
      <x:c r="L1168" t="str" s="2">
        <x:v>4.3</x:v>
      </x:c>
      <x:c r="M1168" t="str" s="2">
        <x:v>Active</x:v>
      </x:c>
      <x:c r="N1168" t="str" s="2">
        <x:v>Loan Approved</x:v>
      </x:c>
      <x:c r="O1168" s="6">
        <x:v>46326</x:v>
      </x:c>
      <x:c r="P1168" s="6">
        <x:v>46270</x:v>
      </x:c>
      <x:c r="Q1168" s="6">
        <x:v>46274.88535917824</x:v>
      </x:c>
      <x:c r="R1168" s="0"/>
      <x:c r="S1168" s="6">
        <x:v>46270</x:v>
      </x:c>
      <x:c r="T1168" s="6">
        <x:v>46272</x:v>
      </x:c>
      <x:c r="U1168" s="6">
        <x:v>46273</x:v>
      </x:c>
      <x:c r="V1168" s="6">
        <x:v>46274</x:v>
      </x:c>
      <x:c r="W1168" s="0"/>
      <x:c r="X1168" t="str" s="2">
        <x:v>9366612725</x:v>
      </x:c>
      <x:c r="Y1168" t="str" s="2">
        <x:v>shefeist@yahoo.com</x:v>
      </x:c>
      <x:c r="Z1168" s="6">
        <x:v>46295.7464596412</x:v>
      </x:c>
      <x:c r="AA1168" t="str" s="2">
        <x:v>Angelica Mendoza </x:v>
      </x:c>
      <x:c r="AB1168" s="6">
        <x:v>46270.76575332176</x:v>
      </x:c>
      <x:c r="AC1168" t="n" s="2">
        <x:v>39729</x:v>
      </x:c>
      <x:c r="AD1168" t="str" s="2">
        <x:v>Doublewide</x:v>
      </x:c>
      <x:c r="AE1168" t="str" s="2">
        <x:v>Legacy Housing Corporation</x:v>
      </x:c>
      <x:c r="AF1168" s="7">
        <x:v>31413</x:v>
      </x:c>
      <x:c r="AG1168" s="7">
        <x:v>7500</x:v>
      </x:c>
      <x:c r="AH1168" s="0"/>
      <x:c r="AI1168" t="str" s="2">
        <x:v>610</x:v>
      </x:c>
      <x:c r="AJ1168" s="0"/>
      <x:c r="AK1168" s="0"/>
    </x:row>
    <x:row r="1169">
      <x:c r="A1169" t="str" s="2">
        <x:f>=HYPERLINK("https://rsms.futurehomex.com/lead/39730", "Drew McFerren")</x:f>
      </x:c>
      <x:c r="B1169" t="n" s="2">
        <x:v>38</x:v>
      </x:c>
      <x:c r="C1169" t="str" s="2">
        <x:v>0/3</x:v>
      </x:c>
      <x:c r="D1169" t="str" s="2">
        <x:f>=""</x:f>
      </x:c>
      <x:c r="E1169" s="0"/>
      <x:c r="F1169" t="str" s="2">
        <x:v>Landing_BPM</x:v>
      </x:c>
      <x:c r="G1169" t="str" s="2">
        <x:v>Heritage Housing of Oklahoma City</x:v>
      </x:c>
      <x:c r="H1169" t="str" s="2">
        <x:v>Steve Castell</x:v>
      </x:c>
      <x:c r="I1169" s="0"/>
      <x:c r="J1169" t="str" s="2">
        <x:v>Steve Castell</x:v>
      </x:c>
      <x:c r="K1169" t="n" s="2">
        <x:v>5</x:v>
      </x:c>
      <x:c r="L1169" t="str" s="2">
        <x:v>1.1</x:v>
      </x:c>
      <x:c r="M1169" t="str" s="2">
        <x:v>Tentative</x:v>
      </x:c>
      <x:c r="N1169" t="str" s="2">
        <x:v>Deal Created</x:v>
      </x:c>
      <x:c r="O1169" s="0"/>
      <x:c r="P1169" s="6">
        <x:v>46270</x:v>
      </x:c>
      <x:c r="Q1169" s="6">
        <x:v>46270.77779274306</x:v>
      </x:c>
      <x:c r="R1169" s="0"/>
      <x:c r="S1169" s="0"/>
      <x:c r="T1169" s="0"/>
      <x:c r="U1169" s="0"/>
      <x:c r="V1169" s="0"/>
      <x:c r="W1169" s="0"/>
      <x:c r="X1169" t="str" s="2">
        <x:v>9258224331</x:v>
      </x:c>
      <x:c r="Y1169" t="str" s="2">
        <x:v>drewmcferren@ymail.com</x:v>
      </x:c>
      <x:c r="Z1169" s="6">
        <x:v>46300.99607997685</x:v>
      </x:c>
      <x:c r="AA1169" t="str" s="2">
        <x:v>Steve Castell</x:v>
      </x:c>
      <x:c r="AB1169" s="6">
        <x:v>46270.7777931713</x:v>
      </x:c>
      <x:c r="AC1169" t="n" s="2">
        <x:v>39730</x:v>
      </x:c>
      <x:c r="AD1169" s="0"/>
      <x:c r="AE1169" s="0"/>
      <x:c r="AF1169" s="0"/>
      <x:c r="AG1169" s="0"/>
      <x:c r="AH1169" s="0"/>
      <x:c r="AI1169" s="0"/>
      <x:c r="AJ1169" s="0"/>
      <x:c r="AK1169" s="0"/>
    </x:row>
    <x:row r="1170">
      <x:c r="A1170" t="str" s="2">
        <x:f>=HYPERLINK("https://rsms.futurehomex.com/lead/39731", "Vickie Sivils")</x:f>
      </x:c>
      <x:c r="B1170" t="n" s="2">
        <x:v>38</x:v>
      </x:c>
      <x:c r="C1170" t="str" s="2">
        <x:v>0/1</x:v>
      </x:c>
      <x:c r="D1170" t="str" s="2">
        <x:f>=""</x:f>
      </x:c>
      <x:c r="E1170" s="0"/>
      <x:c r="F1170" t="str" s="2">
        <x:v>Walk-in</x:v>
      </x:c>
      <x:c r="G1170" t="str" s="2">
        <x:v>Heritage Housing of Oklahoma City</x:v>
      </x:c>
      <x:c r="H1170" t="str" s="2">
        <x:v>Alejandra Calderon</x:v>
      </x:c>
      <x:c r="I1170" t="str" s="2">
        <x:v>Karol Romero</x:v>
      </x:c>
      <x:c r="J1170" t="str" s="2">
        <x:v>Alejandra Calderon</x:v>
      </x:c>
      <x:c r="K1170" t="n" s="2">
        <x:v>5</x:v>
      </x:c>
      <x:c r="L1170" t="str" s="2">
        <x:v>1.1</x:v>
      </x:c>
      <x:c r="M1170" t="str" s="2">
        <x:v>Dead</x:v>
      </x:c>
      <x:c r="N1170" t="str" s="2">
        <x:v>Deal Created</x:v>
      </x:c>
      <x:c r="O1170" s="0"/>
      <x:c r="P1170" s="6">
        <x:v>46270</x:v>
      </x:c>
      <x:c r="Q1170" s="6">
        <x:v>46270.79679545139</x:v>
      </x:c>
      <x:c r="R1170" s="0"/>
      <x:c r="S1170" s="6">
        <x:v>46270</x:v>
      </x:c>
      <x:c r="T1170" s="0"/>
      <x:c r="U1170" s="0"/>
      <x:c r="V1170" s="0"/>
      <x:c r="W1170" s="0"/>
      <x:c r="X1170" t="str" s="2">
        <x:v>4054458404</x:v>
      </x:c>
      <x:c r="Y1170" t="str" s="2">
        <x:v>vsrc1961@yahoo.com</x:v>
      </x:c>
      <x:c r="Z1170" s="6">
        <x:v>46274.845658067126</x:v>
      </x:c>
      <x:c r="AA1170" t="str" s="2">
        <x:v>Alejandra Calderon</x:v>
      </x:c>
      <x:c r="AB1170" s="6">
        <x:v>46270.77904837963</x:v>
      </x:c>
      <x:c r="AC1170" t="n" s="2">
        <x:v>39731</x:v>
      </x:c>
      <x:c r="AD1170" s="0"/>
      <x:c r="AE1170" s="0"/>
      <x:c r="AF1170" s="0"/>
      <x:c r="AG1170" s="0"/>
      <x:c r="AH1170" s="0"/>
      <x:c r="AI1170" s="0"/>
      <x:c r="AJ1170" s="0"/>
      <x:c r="AK1170" s="0"/>
    </x:row>
    <x:row r="1171">
      <x:c r="A1171" t="str" s="2">
        <x:f>=HYPERLINK("https://rsms.futurehomex.com/lead/39732", "Jose Manzanarez")</x:f>
      </x:c>
      <x:c r="B1171" t="n" s="2">
        <x:v>38</x:v>
      </x:c>
      <x:c r="C1171" t="str" s="2">
        <x:v/>
      </x:c>
      <x:c r="D1171" t="str" s="2">
        <x:f>=""</x:f>
      </x:c>
      <x:c r="E1171" s="0"/>
      <x:c r="F1171" t="str" s="2">
        <x:v>Referrals</x:v>
      </x:c>
      <x:c r="G1171" t="str" s="2">
        <x:v>Legacy Housing Corp. DBA Americasa</x:v>
      </x:c>
      <x:c r="H1171" t="str" s="2">
        <x:v>Joey Marquez</x:v>
      </x:c>
      <x:c r="I1171" s="0"/>
      <x:c r="J1171" t="str" s="2">
        <x:v>Rodrigo Ramirez</x:v>
      </x:c>
      <x:c r="K1171" t="n" s="2">
        <x:v>5</x:v>
      </x:c>
      <x:c r="L1171" t="str" s="2">
        <x:v>1.1</x:v>
      </x:c>
      <x:c r="M1171" t="str" s="2">
        <x:v>Tentative</x:v>
      </x:c>
      <x:c r="N1171" t="str" s="2">
        <x:v>Deal Created</x:v>
      </x:c>
      <x:c r="O1171" s="0"/>
      <x:c r="P1171" s="6">
        <x:v>46270</x:v>
      </x:c>
      <x:c r="Q1171" s="6">
        <x:v>46270.7848459838</x:v>
      </x:c>
      <x:c r="R1171" s="0"/>
      <x:c r="S1171" s="0"/>
      <x:c r="T1171" s="0"/>
      <x:c r="U1171" s="0"/>
      <x:c r="V1171" s="0"/>
      <x:c r="W1171" s="0"/>
      <x:c r="X1171" t="str" s="2">
        <x:v>3468727811</x:v>
      </x:c>
      <x:c r="Y1171" t="str" s="2" xml:space="preserve">
        <x:v>josemanzanarez@gmail.com </x:v>
      </x:c>
      <x:c r="Z1171" s="6">
        <x:v>46270.78602118055</x:v>
      </x:c>
      <x:c r="AA1171" t="str" s="2">
        <x:v>Victoria Sanchez</x:v>
      </x:c>
      <x:c r="AB1171" s="6">
        <x:v>46270.78484652778</x:v>
      </x:c>
      <x:c r="AC1171" t="n" s="2">
        <x:v>39732</x:v>
      </x:c>
      <x:c r="AD1171" s="0"/>
      <x:c r="AE1171" s="0"/>
      <x:c r="AF1171" s="0"/>
      <x:c r="AG1171" s="0"/>
      <x:c r="AH1171" s="0"/>
      <x:c r="AI1171" s="0"/>
      <x:c r="AJ1171" s="0"/>
      <x:c r="AK1171" s="0"/>
    </x:row>
    <x:row r="1172">
      <x:c r="A1172" t="str" s="2">
        <x:f>=HYPERLINK("https://rsms.futurehomex.com/lead/39733", "Herminia Gil")</x:f>
      </x:c>
      <x:c r="B1172" t="n" s="2">
        <x:v>38</x:v>
      </x:c>
      <x:c r="C1172" t="str" s="2">
        <x:v/>
      </x:c>
      <x:c r="D1172" t="str" s="2">
        <x:f>=""</x:f>
      </x:c>
      <x:c r="E1172" s="0"/>
      <x:c r="F1172" t="str" s="2">
        <x:v>Walk-in</x:v>
      </x:c>
      <x:c r="G1172" t="str" s="2">
        <x:v>Heritage Housing of Asheboro</x:v>
      </x:c>
      <x:c r="H1172" t="str" s="2">
        <x:v>Kate Gutierrez</x:v>
      </x:c>
      <x:c r="I1172" s="0"/>
      <x:c r="J1172" s="0"/>
      <x:c r="K1172" t="n" s="2">
        <x:v>21</x:v>
      </x:c>
      <x:c r="L1172" t="str" s="2">
        <x:v>2.1</x:v>
      </x:c>
      <x:c r="M1172" t="str" s="2">
        <x:v>Tentative</x:v>
      </x:c>
      <x:c r="N1172" t="str" s="2">
        <x:v>Qualified</x:v>
      </x:c>
      <x:c r="O1172" s="0"/>
      <x:c r="P1172" s="6">
        <x:v>46270</x:v>
      </x:c>
      <x:c r="Q1172" s="6">
        <x:v>46282.74545578704</x:v>
      </x:c>
      <x:c r="R1172" s="0"/>
      <x:c r="S1172" s="0"/>
      <x:c r="T1172" s="0"/>
      <x:c r="U1172" s="0"/>
      <x:c r="V1172" s="0"/>
      <x:c r="W1172" s="0"/>
      <x:c r="X1172" t="str" s="2">
        <x:v>9199097118</x:v>
      </x:c>
      <x:c r="Y1172" t="str" s="2">
        <x:v>minagil44@gmail.com</x:v>
      </x:c>
      <x:c r="Z1172" s="6">
        <x:v>46282.74544236111</x:v>
      </x:c>
      <x:c r="AA1172" t="str" s="2">
        <x:v>Jeremy Jacques</x:v>
      </x:c>
      <x:c r="AB1172" s="6">
        <x:v>46270.788528819445</x:v>
      </x:c>
      <x:c r="AC1172" t="n" s="2">
        <x:v>39733</x:v>
      </x:c>
      <x:c r="AD1172" s="0"/>
      <x:c r="AE1172" s="0"/>
      <x:c r="AF1172" s="0"/>
      <x:c r="AG1172" s="0"/>
      <x:c r="AH1172" s="0"/>
      <x:c r="AI1172" s="0"/>
      <x:c r="AJ1172" s="0"/>
      <x:c r="AK1172" s="0"/>
    </x:row>
    <x:row r="1173">
      <x:c r="A1173" t="str" s="2">
        <x:f>=HYPERLINK("https://rsms.futurehomex.com/lead/39734", "Jennifer Zetterberg")</x:f>
      </x:c>
      <x:c r="B1173" t="n" s="2">
        <x:v>38</x:v>
      </x:c>
      <x:c r="C1173" t="str" s="2">
        <x:v>1/6</x:v>
      </x:c>
      <x:c r="D1173" t="str" s="2">
        <x:f>=""</x:f>
      </x:c>
      <x:c r="E1173" s="0"/>
      <x:c r="F1173" t="str" s="2">
        <x:v>Walk-in</x:v>
      </x:c>
      <x:c r="G1173" t="str" s="2">
        <x:v>Heritage Housing of Oklahoma City</x:v>
      </x:c>
      <x:c r="H1173" t="str" s="2">
        <x:v>Trey Rixleben</x:v>
      </x:c>
      <x:c r="I1173" s="0"/>
      <x:c r="J1173" t="str" s="2">
        <x:v>Trey Rixleben</x:v>
      </x:c>
      <x:c r="K1173" t="n" s="2">
        <x:v>5</x:v>
      </x:c>
      <x:c r="L1173" t="str" s="2">
        <x:v>1.1</x:v>
      </x:c>
      <x:c r="M1173" t="str" s="2">
        <x:v>Tentative</x:v>
      </x:c>
      <x:c r="N1173" t="str" s="2">
        <x:v>Deal Created</x:v>
      </x:c>
      <x:c r="O1173" s="0"/>
      <x:c r="P1173" s="6">
        <x:v>46270</x:v>
      </x:c>
      <x:c r="Q1173" s="6">
        <x:v>46270.79009915509</x:v>
      </x:c>
      <x:c r="R1173" s="0"/>
      <x:c r="S1173" s="0"/>
      <x:c r="T1173" s="0"/>
      <x:c r="U1173" s="0"/>
      <x:c r="V1173" s="0"/>
      <x:c r="W1173" s="0"/>
      <x:c r="X1173" t="str" s="2">
        <x:v>4053321928</x:v>
      </x:c>
      <x:c r="Y1173" t="str" s="2">
        <x:v>jennz1633@gmail.com</x:v>
      </x:c>
      <x:c r="Z1173" s="6">
        <x:v>46302.07233445602</x:v>
      </x:c>
      <x:c r="AA1173" t="str" s="2">
        <x:v>Steve Castell</x:v>
      </x:c>
      <x:c r="AB1173" s="6">
        <x:v>46270.79010054398</x:v>
      </x:c>
      <x:c r="AC1173" t="n" s="2">
        <x:v>39734</x:v>
      </x:c>
      <x:c r="AD1173" s="0"/>
      <x:c r="AE1173" s="0"/>
      <x:c r="AF1173" s="0"/>
      <x:c r="AG1173" s="0"/>
      <x:c r="AH1173" s="0"/>
      <x:c r="AI1173" s="0"/>
      <x:c r="AJ1173" s="0"/>
      <x:c r="AK1173" s="0"/>
    </x:row>
    <x:row r="1174">
      <x:c r="A1174" t="str" s="2">
        <x:f>=HYPERLINK("https://rsms.futurehomex.com/lead/39735", "Luis Eduardo Aguilar Perez")</x:f>
      </x:c>
      <x:c r="B1174" t="n" s="2">
        <x:v>38</x:v>
      </x:c>
      <x:c r="C1174" t="str" s="2">
        <x:v>1/3</x:v>
      </x:c>
      <x:c r="D1174" t="str" s="2">
        <x:f>=""</x:f>
      </x:c>
      <x:c r="E1174" s="0"/>
      <x:c r="F1174" t="str" s="2">
        <x:v>Referrals</x:v>
      </x:c>
      <x:c r="G1174" t="str" s="2">
        <x:v>Legacy Housing Corp. DBA Americasa</x:v>
      </x:c>
      <x:c r="H1174" t="str" s="2">
        <x:v>Joey Marquez</x:v>
      </x:c>
      <x:c r="I1174" t="str" s="2">
        <x:v>Karol Romero</x:v>
      </x:c>
      <x:c r="J1174" t="str" s="2">
        <x:v>Rodrigo Ramirez</x:v>
      </x:c>
      <x:c r="K1174" t="n" s="2">
        <x:v>5</x:v>
      </x:c>
      <x:c r="L1174" t="str" s="2">
        <x:v>1.1</x:v>
      </x:c>
      <x:c r="M1174" t="str" s="2">
        <x:v>Inactive</x:v>
      </x:c>
      <x:c r="N1174" t="str" s="2">
        <x:v>Deal Created</x:v>
      </x:c>
      <x:c r="O1174" s="0"/>
      <x:c r="P1174" s="6">
        <x:v>46270</x:v>
      </x:c>
      <x:c r="Q1174" s="6">
        <x:v>46270.79855748842</x:v>
      </x:c>
      <x:c r="R1174" s="0"/>
      <x:c r="S1174" s="6">
        <x:v>46270</x:v>
      </x:c>
      <x:c r="T1174" s="0"/>
      <x:c r="U1174" s="0"/>
      <x:c r="V1174" s="0"/>
      <x:c r="W1174" s="0"/>
      <x:c r="X1174" t="str" s="2">
        <x:v>3463943923</x:v>
      </x:c>
      <x:c r="Y1174" t="str" s="2">
        <x:v>3463943923</x:v>
      </x:c>
      <x:c r="Z1174" s="6">
        <x:v>46303.698207141206</x:v>
      </x:c>
      <x:c r="AA1174" t="str" s="2">
        <x:v>Joey Marquez</x:v>
      </x:c>
      <x:c r="AB1174" s="6">
        <x:v>46270.798559375</x:v>
      </x:c>
      <x:c r="AC1174" t="n" s="2">
        <x:v>39735</x:v>
      </x:c>
      <x:c r="AD1174" s="0"/>
      <x:c r="AE1174" s="0"/>
      <x:c r="AF1174" s="0"/>
      <x:c r="AG1174" s="0"/>
      <x:c r="AH1174" s="0"/>
      <x:c r="AI1174" s="0"/>
      <x:c r="AJ1174" s="0"/>
      <x:c r="AK1174" s="0"/>
    </x:row>
    <x:row r="1175">
      <x:c r="A1175" t="str" s="2">
        <x:f>=HYPERLINK("https://rsms.futurehomex.com/lead/39736", "Doug &amp; Yolanda Tyner")</x:f>
      </x:c>
      <x:c r="B1175" t="n" s="2">
        <x:v>38</x:v>
      </x:c>
      <x:c r="C1175" t="str" s="2">
        <x:v>0/2</x:v>
      </x:c>
      <x:c r="D1175" t="str" s="2">
        <x:f>=""</x:f>
      </x:c>
      <x:c r="E1175" s="0"/>
      <x:c r="F1175" t="str" s="2">
        <x:v>Walk-in</x:v>
      </x:c>
      <x:c r="G1175" t="str" s="2">
        <x:v>Heritage Housing of Oklahoma City</x:v>
      </x:c>
      <x:c r="H1175" t="str" s="2">
        <x:v>Steve Castell</x:v>
      </x:c>
      <x:c r="I1175" s="0"/>
      <x:c r="J1175" t="str" s="2">
        <x:v>Steve Castell</x:v>
      </x:c>
      <x:c r="K1175" t="n" s="2">
        <x:v>5</x:v>
      </x:c>
      <x:c r="L1175" t="str" s="2">
        <x:v>1.1</x:v>
      </x:c>
      <x:c r="M1175" t="str" s="2">
        <x:v>Inactive</x:v>
      </x:c>
      <x:c r="N1175" t="str" s="2">
        <x:v>Deal Created</x:v>
      </x:c>
      <x:c r="O1175" s="0"/>
      <x:c r="P1175" s="6">
        <x:v>46270</x:v>
      </x:c>
      <x:c r="Q1175" s="6">
        <x:v>46270.806883530095</x:v>
      </x:c>
      <x:c r="R1175" s="0"/>
      <x:c r="S1175" s="6">
        <x:v>46270</x:v>
      </x:c>
      <x:c r="T1175" s="0"/>
      <x:c r="U1175" s="0"/>
      <x:c r="V1175" s="0"/>
      <x:c r="W1175" s="0"/>
      <x:c r="X1175" t="str" s="2">
        <x:v>5807054696</x:v>
      </x:c>
      <x:c r="Y1175" t="str" s="2">
        <x:v>yolanda.tyner@yahoo.com</x:v>
      </x:c>
      <x:c r="Z1175" s="6">
        <x:v>46296.700700960646</x:v>
      </x:c>
      <x:c r="AA1175" t="str" s="2">
        <x:v>Steve Castell</x:v>
      </x:c>
      <x:c r="AB1175" s="6">
        <x:v>46270.80520929398</x:v>
      </x:c>
      <x:c r="AC1175" t="n" s="2">
        <x:v>39736</x:v>
      </x:c>
      <x:c r="AD1175" s="0"/>
      <x:c r="AE1175" s="0"/>
      <x:c r="AF1175" s="0"/>
      <x:c r="AG1175" s="0"/>
      <x:c r="AH1175" s="0"/>
      <x:c r="AI1175" s="0"/>
      <x:c r="AJ1175" s="0"/>
      <x:c r="AK1175" s="0"/>
    </x:row>
    <x:row r="1176">
      <x:c r="A1176" t="str" s="2">
        <x:f>=HYPERLINK("https://rsms.futurehomex.com/lead/39737", "James Powell")</x:f>
      </x:c>
      <x:c r="B1176" t="n" s="2">
        <x:v>38</x:v>
      </x:c>
      <x:c r="C1176" t="str" s="2">
        <x:v/>
      </x:c>
      <x:c r="D1176" t="str" s="2">
        <x:f>=""</x:f>
      </x:c>
      <x:c r="E1176" s="0"/>
      <x:c r="F1176" t="str" s="2">
        <x:v>Youtube</x:v>
      </x:c>
      <x:c r="G1176" t="str" s="2">
        <x:v>Heritage Housing of Tulsa</x:v>
      </x:c>
      <x:c r="H1176" t="str" s="2">
        <x:v>Derek Searcy</x:v>
      </x:c>
      <x:c r="I1176" s="0"/>
      <x:c r="J1176" t="str" s="2">
        <x:v>Derek Searcy</x:v>
      </x:c>
      <x:c r="K1176" t="n" s="2">
        <x:v>5</x:v>
      </x:c>
      <x:c r="L1176" t="str" s="2">
        <x:v>1.1</x:v>
      </x:c>
      <x:c r="M1176" t="str" s="2">
        <x:v>Tentative</x:v>
      </x:c>
      <x:c r="N1176" t="str" s="2">
        <x:v>Prospect</x:v>
      </x:c>
      <x:c r="O1176" s="0"/>
      <x:c r="P1176" s="6">
        <x:v>46270</x:v>
      </x:c>
      <x:c r="Q1176" s="6">
        <x:v>46273.6734931713</x:v>
      </x:c>
      <x:c r="R1176" s="0"/>
      <x:c r="S1176" s="0"/>
      <x:c r="T1176" s="0"/>
      <x:c r="U1176" s="0"/>
      <x:c r="V1176" s="0"/>
      <x:c r="W1176" s="0"/>
      <x:c r="X1176" t="str" s="2">
        <x:v>5392182567</x:v>
      </x:c>
      <x:c r="Y1176" t="str" s="2">
        <x:v>jamescpowell65@gmail.com</x:v>
      </x:c>
      <x:c r="Z1176" s="6">
        <x:v>46270.81002596065</x:v>
      </x:c>
      <x:c r="AA1176" t="str" s="2">
        <x:v>Derek Searcy</x:v>
      </x:c>
      <x:c r="AB1176" s="6">
        <x:v>46270.80983402778</x:v>
      </x:c>
      <x:c r="AC1176" t="n" s="2">
        <x:v>39737</x:v>
      </x:c>
      <x:c r="AD1176" s="0"/>
      <x:c r="AE1176" s="0"/>
      <x:c r="AF1176" s="0"/>
      <x:c r="AG1176" s="0"/>
      <x:c r="AH1176" s="0"/>
      <x:c r="AI1176" t="str" s="2">
        <x:v>578</x:v>
      </x:c>
      <x:c r="AJ1176" s="0"/>
      <x:c r="AK1176" s="0"/>
    </x:row>
    <x:row r="1177">
      <x:c r="A1177" t="str" s="2">
        <x:f>=HYPERLINK("https://rsms.futurehomex.com/lead/39738", "Destanie Campbell")</x:f>
      </x:c>
      <x:c r="B1177" t="n" s="2">
        <x:v>38</x:v>
      </x:c>
      <x:c r="C1177" t="str" s="2">
        <x:v>0/1</x:v>
      </x:c>
      <x:c r="D1177" t="str" s="2">
        <x:f>=""</x:f>
      </x:c>
      <x:c r="E1177" s="0"/>
      <x:c r="F1177" t="str" s="2">
        <x:v>Landing_BPM</x:v>
      </x:c>
      <x:c r="G1177" t="str" s="2">
        <x:v>Heritage Housing of Oklahoma City</x:v>
      </x:c>
      <x:c r="H1177" t="str" s="2">
        <x:v>Gianna Cervantes</x:v>
      </x:c>
      <x:c r="I1177" s="0"/>
      <x:c r="J1177" t="str" s="2">
        <x:v>Gianna Cervantes</x:v>
      </x:c>
      <x:c r="K1177" t="n" s="2">
        <x:v>5</x:v>
      </x:c>
      <x:c r="L1177" t="str" s="2">
        <x:v>1.1</x:v>
      </x:c>
      <x:c r="M1177" t="str" s="2">
        <x:v>Dead</x:v>
      </x:c>
      <x:c r="N1177" t="str" s="2">
        <x:v>Deal Created</x:v>
      </x:c>
      <x:c r="O1177" s="0"/>
      <x:c r="P1177" s="6">
        <x:v>46270</x:v>
      </x:c>
      <x:c r="Q1177" s="6">
        <x:v>46270.852335497686</x:v>
      </x:c>
      <x:c r="R1177" s="0"/>
      <x:c r="S1177" s="0"/>
      <x:c r="T1177" s="0"/>
      <x:c r="U1177" s="0"/>
      <x:c r="V1177" s="0"/>
      <x:c r="W1177" s="0"/>
      <x:c r="X1177" t="str" s="2">
        <x:v>4057388815</x:v>
      </x:c>
      <x:c r="Y1177" t="str" s="2">
        <x:v>Destanie013@gmail.com</x:v>
      </x:c>
      <x:c r="Z1177" s="6">
        <x:v>46279.71247982639</x:v>
      </x:c>
      <x:c r="AA1177" t="str" s="2">
        <x:v>Gianna Cervantes</x:v>
      </x:c>
      <x:c r="AB1177" s="6">
        <x:v>46270.85233599537</x:v>
      </x:c>
      <x:c r="AC1177" t="n" s="2">
        <x:v>39738</x:v>
      </x:c>
      <x:c r="AD1177" s="0"/>
      <x:c r="AE1177" s="0"/>
      <x:c r="AF1177" s="0"/>
      <x:c r="AG1177" s="0"/>
      <x:c r="AH1177" s="0"/>
      <x:c r="AI1177" s="0"/>
      <x:c r="AJ1177" s="0"/>
      <x:c r="AK1177" s="0"/>
    </x:row>
    <x:row r="1178">
      <x:c r="A1178" t="str" s="2">
        <x:f>=HYPERLINK("https://rsms.futurehomex.com/lead/39740", "Jenifer Lai")</x:f>
      </x:c>
      <x:c r="B1178" t="n" s="2">
        <x:v>38</x:v>
      </x:c>
      <x:c r="C1178" t="str" s="2">
        <x:v/>
      </x:c>
      <x:c r="D1178" t="str" s="2">
        <x:f>=""</x:f>
      </x:c>
      <x:c r="E1178" s="0"/>
      <x:c r="F1178" t="str" s="2">
        <x:v>Walk-in</x:v>
      </x:c>
      <x:c r="G1178" t="str" s="2">
        <x:v>Heritage Housing of Oklahoma City</x:v>
      </x:c>
      <x:c r="H1178" t="str" s="2">
        <x:v>Alejandra Calderon</x:v>
      </x:c>
      <x:c r="I1178" t="str" s="2">
        <x:v>Karol Romero</x:v>
      </x:c>
      <x:c r="J1178" t="str" s="2">
        <x:v>Alejandra Calderon</x:v>
      </x:c>
      <x:c r="K1178" t="n" s="2">
        <x:v>5</x:v>
      </x:c>
      <x:c r="L1178" t="str" s="2">
        <x:v>1.1</x:v>
      </x:c>
      <x:c r="M1178" t="str" s="2">
        <x:v>Dead</x:v>
      </x:c>
      <x:c r="N1178" t="str" s="2">
        <x:v>Deal Created</x:v>
      </x:c>
      <x:c r="O1178" s="0"/>
      <x:c r="P1178" s="6">
        <x:v>46270</x:v>
      </x:c>
      <x:c r="Q1178" s="6">
        <x:v>46270.867311458336</x:v>
      </x:c>
      <x:c r="R1178" s="0"/>
      <x:c r="S1178" s="0"/>
      <x:c r="T1178" s="0"/>
      <x:c r="U1178" s="0"/>
      <x:c r="V1178" s="0"/>
      <x:c r="W1178" s="0"/>
      <x:c r="X1178" t="str" s="2">
        <x:v>7865590677</x:v>
      </x:c>
      <x:c r="Y1178" t="str" s="2">
        <x:v>7865590677</x:v>
      </x:c>
      <x:c r="Z1178" s="6">
        <x:v>46274.8441883912</x:v>
      </x:c>
      <x:c r="AA1178" t="str" s="2">
        <x:v>Alejandra Calderon</x:v>
      </x:c>
      <x:c r="AB1178" s="6">
        <x:v>46270.867313159724</x:v>
      </x:c>
      <x:c r="AC1178" t="n" s="2">
        <x:v>39740</x:v>
      </x:c>
      <x:c r="AD1178" s="0"/>
      <x:c r="AE1178" s="0"/>
      <x:c r="AF1178" s="0"/>
      <x:c r="AG1178" s="0"/>
      <x:c r="AH1178" s="0"/>
      <x:c r="AI1178" s="0"/>
      <x:c r="AJ1178" s="0"/>
      <x:c r="AK1178" s="0"/>
    </x:row>
    <x:row r="1179">
      <x:c r="A1179" t="str" s="2">
        <x:f>=HYPERLINK("https://rsms.futurehomex.com/lead/39741", "Orlando Hill")</x:f>
      </x:c>
      <x:c r="B1179" t="n" s="2">
        <x:v>38</x:v>
      </x:c>
      <x:c r="C1179" t="str" s="2">
        <x:v>1/6</x:v>
      </x:c>
      <x:c r="D1179" t="str" s="2">
        <x:f>=""</x:f>
      </x:c>
      <x:c r="E1179" s="0"/>
      <x:c r="F1179" t="str" s="2">
        <x:v>Landing_BPM</x:v>
      </x:c>
      <x:c r="G1179" t="str" s="2">
        <x:v>Heritage Housing of Oklahoma City</x:v>
      </x:c>
      <x:c r="H1179" t="str" s="2">
        <x:v>Alejandra Calderon</x:v>
      </x:c>
      <x:c r="I1179" s="0"/>
      <x:c r="J1179" t="str" s="2">
        <x:v>Gianna Cervantes</x:v>
      </x:c>
      <x:c r="K1179" t="n" s="2">
        <x:v>5</x:v>
      </x:c>
      <x:c r="L1179" t="str" s="2">
        <x:v>1.1</x:v>
      </x:c>
      <x:c r="M1179" t="str" s="2">
        <x:v>Tentative</x:v>
      </x:c>
      <x:c r="N1179" t="str" s="2">
        <x:v>Deal Created</x:v>
      </x:c>
      <x:c r="O1179" s="0"/>
      <x:c r="P1179" s="6">
        <x:v>46270</x:v>
      </x:c>
      <x:c r="Q1179" s="6">
        <x:v>46270.88717434028</x:v>
      </x:c>
      <x:c r="R1179" s="0"/>
      <x:c r="S1179" s="0"/>
      <x:c r="T1179" s="0"/>
      <x:c r="U1179" s="0"/>
      <x:c r="V1179" s="0"/>
      <x:c r="W1179" s="0"/>
      <x:c r="X1179" t="str" s="2">
        <x:v>4054399132</x:v>
      </x:c>
      <x:c r="Y1179" t="str" s="2">
        <x:v>grinddaily34@gmail.com</x:v>
      </x:c>
      <x:c r="Z1179" s="6">
        <x:v>46294.997313391206</x:v>
      </x:c>
      <x:c r="AA1179" t="str" s="2">
        <x:v>Alejandra Calderon</x:v>
      </x:c>
      <x:c r="AB1179" s="6">
        <x:v>46279.71215755787</x:v>
      </x:c>
      <x:c r="AC1179" t="n" s="2">
        <x:v>39741</x:v>
      </x:c>
      <x:c r="AD1179" s="0"/>
      <x:c r="AE1179" s="0"/>
      <x:c r="AF1179" s="0"/>
      <x:c r="AG1179" s="0"/>
      <x:c r="AH1179" s="0"/>
      <x:c r="AI1179" s="0"/>
      <x:c r="AJ1179" s="0"/>
      <x:c r="AK1179" s="0"/>
    </x:row>
    <x:row r="1180">
      <x:c r="A1180" t="str" s="2">
        <x:f>=HYPERLINK("https://rsms.futurehomex.com/lead/39743", "Shirley Pennington")</x:f>
      </x:c>
      <x:c r="B1180" t="n" s="2">
        <x:v>38</x:v>
      </x:c>
      <x:c r="C1180" t="str" s="2">
        <x:v>0/3</x:v>
      </x:c>
      <x:c r="D1180" t="str" s="2">
        <x:f>=""</x:f>
      </x:c>
      <x:c r="E1180" s="0"/>
      <x:c r="F1180" t="str" s="2">
        <x:v>Landing_BPM</x:v>
      </x:c>
      <x:c r="G1180" t="str" s="2">
        <x:v>Heritage Housing of Oklahoma City</x:v>
      </x:c>
      <x:c r="H1180" t="str" s="2">
        <x:v>Trey Rixleben</x:v>
      </x:c>
      <x:c r="I1180" s="0"/>
      <x:c r="J1180" t="str" s="2">
        <x:v>Gianna Cervantes</x:v>
      </x:c>
      <x:c r="K1180" t="n" s="2">
        <x:v>5</x:v>
      </x:c>
      <x:c r="L1180" t="str" s="2">
        <x:v>1.1</x:v>
      </x:c>
      <x:c r="M1180" t="str" s="2">
        <x:v>Dead</x:v>
      </x:c>
      <x:c r="N1180" t="str" s="2">
        <x:v>Deal Created</x:v>
      </x:c>
      <x:c r="O1180" s="0"/>
      <x:c r="P1180" s="6">
        <x:v>46270</x:v>
      </x:c>
      <x:c r="Q1180" s="6">
        <x:v>46279.99422523148</x:v>
      </x:c>
      <x:c r="R1180" s="0"/>
      <x:c r="S1180" s="0"/>
      <x:c r="T1180" s="0"/>
      <x:c r="U1180" s="0"/>
      <x:c r="V1180" s="0"/>
      <x:c r="W1180" s="0"/>
      <x:c r="X1180" t="str" s="2">
        <x:v>5805074933</x:v>
      </x:c>
      <x:c r="Y1180" t="str" s="2">
        <x:v>shirlannpengton@gmail.com</x:v>
      </x:c>
      <x:c r="Z1180" s="6">
        <x:v>46282.845991863425</x:v>
      </x:c>
      <x:c r="AA1180" t="str" s="2">
        <x:v>Richard Bell</x:v>
      </x:c>
      <x:c r="AB1180" s="6">
        <x:v>46279.71338244213</x:v>
      </x:c>
      <x:c r="AC1180" t="n" s="2">
        <x:v>39743</x:v>
      </x:c>
      <x:c r="AD1180" s="0"/>
      <x:c r="AE1180" s="0"/>
      <x:c r="AF1180" s="0"/>
      <x:c r="AG1180" s="0"/>
      <x:c r="AH1180" s="0"/>
      <x:c r="AI1180" s="0"/>
      <x:c r="AJ1180" s="0"/>
      <x:c r="AK1180" s="0"/>
    </x:row>
    <x:row r="1181">
      <x:c r="A1181" t="str" s="2">
        <x:f>=HYPERLINK("https://rsms.futurehomex.com/lead/39745", "Ruby Burgin")</x:f>
      </x:c>
      <x:c r="B1181" t="n" s="2">
        <x:v>38</x:v>
      </x:c>
      <x:c r="C1181" t="str" s="2">
        <x:v>0/6</x:v>
      </x:c>
      <x:c r="D1181" t="str" s="2">
        <x:f>=""</x:f>
      </x:c>
      <x:c r="E1181" s="0"/>
      <x:c r="F1181" t="str" s="2">
        <x:v>Landing_BPM</x:v>
      </x:c>
      <x:c r="G1181" t="str" s="2">
        <x:v>Heritage Housing of Oklahoma City</x:v>
      </x:c>
      <x:c r="H1181" t="str" s="2">
        <x:v>Alejandra Calderon</x:v>
      </x:c>
      <x:c r="I1181" s="0"/>
      <x:c r="J1181" t="str" s="2">
        <x:v>Gianna Cervantes</x:v>
      </x:c>
      <x:c r="K1181" t="n" s="2">
        <x:v>5</x:v>
      </x:c>
      <x:c r="L1181" t="str" s="2">
        <x:v>1.1</x:v>
      </x:c>
      <x:c r="M1181" t="str" s="2">
        <x:v>Dead</x:v>
      </x:c>
      <x:c r="N1181" t="str" s="2">
        <x:v>Deal Created</x:v>
      </x:c>
      <x:c r="O1181" s="0"/>
      <x:c r="P1181" s="6">
        <x:v>46270</x:v>
      </x:c>
      <x:c r="Q1181" s="6">
        <x:v>46270.91268587963</x:v>
      </x:c>
      <x:c r="R1181" s="0"/>
      <x:c r="S1181" s="0"/>
      <x:c r="T1181" s="0"/>
      <x:c r="U1181" s="0"/>
      <x:c r="V1181" s="0"/>
      <x:c r="W1181" s="0"/>
      <x:c r="X1181" t="str" s="2">
        <x:v>4057548706</x:v>
      </x:c>
      <x:c r="Y1181" t="str" s="2">
        <x:v>rsueburgin@gmail.com</x:v>
      </x:c>
      <x:c r="Z1181" s="6">
        <x:v>46297.92201577546</x:v>
      </x:c>
      <x:c r="AA1181" t="str" s="2">
        <x:v>Alejandra Calderon</x:v>
      </x:c>
      <x:c r="AB1181" s="6">
        <x:v>46277.756046180555</x:v>
      </x:c>
      <x:c r="AC1181" t="n" s="2">
        <x:v>39745</x:v>
      </x:c>
      <x:c r="AD1181" s="0"/>
      <x:c r="AE1181" s="0"/>
      <x:c r="AF1181" s="0"/>
      <x:c r="AG1181" s="0"/>
      <x:c r="AH1181" s="0"/>
      <x:c r="AI1181" s="0"/>
      <x:c r="AJ1181" s="0"/>
      <x:c r="AK1181" s="0"/>
    </x:row>
    <x:row r="1182">
      <x:c r="A1182" t="str" s="2">
        <x:f>=HYPERLINK("https://rsms.futurehomex.com/lead/39746", "Craig Amiott")</x:f>
      </x:c>
      <x:c r="B1182" t="n" s="2">
        <x:v>37</x:v>
      </x:c>
      <x:c r="C1182" t="str" s="2">
        <x:v>0/1</x:v>
      </x:c>
      <x:c r="D1182" t="str" s="2">
        <x:f>=""</x:f>
      </x:c>
      <x:c r="E1182" s="0"/>
      <x:c r="F1182" t="str" s="2">
        <x:v>Landing_BPM</x:v>
      </x:c>
      <x:c r="G1182" t="str" s="2">
        <x:v>Heritage Housing of Oklahoma City</x:v>
      </x:c>
      <x:c r="H1182" t="str" s="2">
        <x:v>Steve Castell</x:v>
      </x:c>
      <x:c r="I1182" s="0"/>
      <x:c r="J1182" t="str" s="2">
        <x:v>Steve Castell</x:v>
      </x:c>
      <x:c r="K1182" t="n" s="2">
        <x:v>5</x:v>
      </x:c>
      <x:c r="L1182" t="str" s="2">
        <x:v>1.1</x:v>
      </x:c>
      <x:c r="M1182" t="str" s="2">
        <x:v>Dead</x:v>
      </x:c>
      <x:c r="N1182" t="str" s="2">
        <x:v>Deal Created</x:v>
      </x:c>
      <x:c r="O1182" s="0"/>
      <x:c r="P1182" s="6">
        <x:v>46271</x:v>
      </x:c>
      <x:c r="Q1182" s="6">
        <x:v>46271.06349424768</x:v>
      </x:c>
      <x:c r="R1182" s="0"/>
      <x:c r="S1182" s="0"/>
      <x:c r="T1182" s="0"/>
      <x:c r="U1182" s="0"/>
      <x:c r="V1182" s="0"/>
      <x:c r="W1182" s="0"/>
      <x:c r="X1182" t="str" s="2">
        <x:v>4054480627</x:v>
      </x:c>
      <x:c r="Y1182" t="str" s="2">
        <x:v>amiottcraig@gmail.com</x:v>
      </x:c>
      <x:c r="Z1182" s="6">
        <x:v>46274.60869424768</x:v>
      </x:c>
      <x:c r="AA1182" t="str" s="2">
        <x:v>Steve Castell</x:v>
      </x:c>
      <x:c r="AB1182" s="6">
        <x:v>46271.063494710645</x:v>
      </x:c>
      <x:c r="AC1182" t="n" s="2">
        <x:v>39746</x:v>
      </x:c>
      <x:c r="AD1182" s="0"/>
      <x:c r="AE1182" s="0"/>
      <x:c r="AF1182" s="0"/>
      <x:c r="AG1182" s="0"/>
      <x:c r="AH1182" s="0"/>
      <x:c r="AI1182" s="0"/>
      <x:c r="AJ1182" s="0"/>
      <x:c r="AK1182" s="0"/>
    </x:row>
    <x:row r="1183">
      <x:c r="A1183" t="str" s="2">
        <x:f>=HYPERLINK("https://rsms.futurehomex.com/lead/39747", "Angelyce Arian")</x:f>
      </x:c>
      <x:c r="B1183" t="n" s="2">
        <x:v>37</x:v>
      </x:c>
      <x:c r="C1183" t="str" s="2">
        <x:v>1/3</x:v>
      </x:c>
      <x:c r="D1183" t="str" s="2">
        <x:f>=""</x:f>
      </x:c>
      <x:c r="E1183" s="0"/>
      <x:c r="F1183" t="str" s="2">
        <x:v>Facebook Messenger</x:v>
      </x:c>
      <x:c r="G1183" t="str" s="2">
        <x:v>Heritage Housing of Oklahoma City</x:v>
      </x:c>
      <x:c r="H1183" t="str" s="2">
        <x:v>Eva Misheva</x:v>
      </x:c>
      <x:c r="I1183" s="0"/>
      <x:c r="J1183" s="0"/>
      <x:c r="K1183" t="n" s="2">
        <x:v>5</x:v>
      </x:c>
      <x:c r="L1183" t="str" s="2">
        <x:v>1.1</x:v>
      </x:c>
      <x:c r="M1183" t="str" s="2">
        <x:v>Tentative</x:v>
      </x:c>
      <x:c r="N1183" t="str" s="2">
        <x:v>Prospect</x:v>
      </x:c>
      <x:c r="O1183" s="0"/>
      <x:c r="P1183" s="6">
        <x:v>46271</x:v>
      </x:c>
      <x:c r="Q1183" s="6">
        <x:v>46271.80650802083</x:v>
      </x:c>
      <x:c r="R1183" s="0"/>
      <x:c r="S1183" s="6">
        <x:v>46271</x:v>
      </x:c>
      <x:c r="T1183" s="0"/>
      <x:c r="U1183" s="0"/>
      <x:c r="V1183" s="0"/>
      <x:c r="W1183" s="0"/>
      <x:c r="X1183" t="str" s="2">
        <x:v>4054046504</x:v>
      </x:c>
      <x:c r="Y1183" t="str" s="2">
        <x:v>angelycemiller@gmail.com</x:v>
      </x:c>
      <x:c r="Z1183" s="6">
        <x:v>46303.973472488426</x:v>
      </x:c>
      <x:c r="AA1183" t="str" s="2">
        <x:v>Steve Castell</x:v>
      </x:c>
      <x:c r="AB1183" s="6">
        <x:v>46271.80651261574</x:v>
      </x:c>
      <x:c r="AC1183" t="n" s="2">
        <x:v>39747</x:v>
      </x:c>
      <x:c r="AD1183" s="0"/>
      <x:c r="AE1183" s="0"/>
      <x:c r="AF1183" s="0"/>
      <x:c r="AG1183" s="0"/>
      <x:c r="AH1183" s="0"/>
      <x:c r="AI1183" s="0"/>
      <x:c r="AJ1183" s="0"/>
      <x:c r="AK1183" s="0"/>
    </x:row>
    <x:row r="1184">
      <x:c r="A1184" t="str" s="2">
        <x:f>=HYPERLINK("https://rsms.futurehomex.com/lead/39748", "Ramona Tall Bear")</x:f>
      </x:c>
      <x:c r="B1184" t="n" s="2">
        <x:v>37</x:v>
      </x:c>
      <x:c r="C1184" t="str" s="2">
        <x:v>1/2</x:v>
      </x:c>
      <x:c r="D1184" t="str" s="2">
        <x:f>=""</x:f>
      </x:c>
      <x:c r="E1184" s="0"/>
      <x:c r="F1184" t="str" s="2">
        <x:v>Facebook Messenger</x:v>
      </x:c>
      <x:c r="G1184" t="str" s="2">
        <x:v>Heritage Housing of Oklahoma City</x:v>
      </x:c>
      <x:c r="H1184" t="str" s="2">
        <x:v>Eva Misheva</x:v>
      </x:c>
      <x:c r="I1184" s="0"/>
      <x:c r="J1184" s="0"/>
      <x:c r="K1184" t="n" s="2">
        <x:v>5</x:v>
      </x:c>
      <x:c r="L1184" t="str" s="2">
        <x:v>1.1</x:v>
      </x:c>
      <x:c r="M1184" t="str" s="2">
        <x:v>Tentative</x:v>
      </x:c>
      <x:c r="N1184" t="str" s="2">
        <x:v>Prospect</x:v>
      </x:c>
      <x:c r="O1184" s="0"/>
      <x:c r="P1184" s="6">
        <x:v>46271</x:v>
      </x:c>
      <x:c r="Q1184" s="6">
        <x:v>46273.68694146991</x:v>
      </x:c>
      <x:c r="R1184" s="0"/>
      <x:c r="S1184" s="6">
        <x:v>46271</x:v>
      </x:c>
      <x:c r="T1184" s="0"/>
      <x:c r="U1184" s="0"/>
      <x:c r="V1184" s="0"/>
      <x:c r="W1184" s="0"/>
      <x:c r="X1184" t="str" s="2">
        <x:v>4057952802</x:v>
      </x:c>
      <x:c r="Y1184" t="str" s="2">
        <x:v>rtallbear@cheyenneandarapaho-nsn.gov</x:v>
      </x:c>
      <x:c r="Z1184" s="6">
        <x:v>46285.854029710645</x:v>
      </x:c>
      <x:c r="AA1184" t="str" s="2">
        <x:v>Eva Misheva</x:v>
      </x:c>
      <x:c r="AB1184" s="6">
        <x:v>46271.88684050926</x:v>
      </x:c>
      <x:c r="AC1184" t="n" s="2">
        <x:v>39748</x:v>
      </x:c>
      <x:c r="AD1184" s="0"/>
      <x:c r="AE1184" s="0"/>
      <x:c r="AF1184" s="0"/>
      <x:c r="AG1184" s="0"/>
      <x:c r="AH1184" s="0"/>
      <x:c r="AI1184" t="str" s="2">
        <x:v>720</x:v>
      </x:c>
      <x:c r="AJ1184" s="0"/>
      <x:c r="AK1184" s="0"/>
    </x:row>
    <x:row r="1185">
      <x:c r="A1185" t="str" s="2">
        <x:f>=HYPERLINK("https://rsms.futurehomex.com/lead/39751", "Michael Walles")</x:f>
      </x:c>
      <x:c r="B1185" t="n" s="2">
        <x:v>36</x:v>
      </x:c>
      <x:c r="C1185" t="str" s="2">
        <x:v>0/1</x:v>
      </x:c>
      <x:c r="D1185" t="str" s="2">
        <x:f>=""</x:f>
      </x:c>
      <x:c r="E1185" s="0"/>
      <x:c r="F1185" t="str" s="2">
        <x:v>Other</x:v>
      </x:c>
      <x:c r="G1185" t="str" s="2">
        <x:v>Heritage Housing of Augusta</x:v>
      </x:c>
      <x:c r="H1185" t="str" s="2">
        <x:v>Faye Lively</x:v>
      </x:c>
      <x:c r="I1185" t="str" s="2">
        <x:v>Karol Romero</x:v>
      </x:c>
      <x:c r="J1185" t="str" s="2">
        <x:v>Faye Lively</x:v>
      </x:c>
      <x:c r="K1185" t="n" s="2">
        <x:v>5</x:v>
      </x:c>
      <x:c r="L1185" t="str" s="2">
        <x:v>1.1</x:v>
      </x:c>
      <x:c r="M1185" t="str" s="2">
        <x:v>Tentative</x:v>
      </x:c>
      <x:c r="N1185" t="str" s="2">
        <x:v>Deal Created</x:v>
      </x:c>
      <x:c r="O1185" s="0"/>
      <x:c r="P1185" s="6">
        <x:v>46272</x:v>
      </x:c>
      <x:c r="Q1185" s="6">
        <x:v>46280.72419684028</x:v>
      </x:c>
      <x:c r="R1185" s="0"/>
      <x:c r="S1185" s="0"/>
      <x:c r="T1185" s="0"/>
      <x:c r="U1185" s="0"/>
      <x:c r="V1185" s="0"/>
      <x:c r="W1185" s="0"/>
      <x:c r="X1185" t="str" s="2">
        <x:v>7065245361</x:v>
      </x:c>
      <x:c r="Y1185" t="str" s="2">
        <x:v>michaelwalles1990@gmail.com</x:v>
      </x:c>
      <x:c r="Z1185" s="6">
        <x:v>46280.58985408565</x:v>
      </x:c>
      <x:c r="AA1185" t="str" s="2">
        <x:v>Faye Lively</x:v>
      </x:c>
      <x:c r="AB1185" s="6">
        <x:v>46272.76599733796</x:v>
      </x:c>
      <x:c r="AC1185" t="n" s="2">
        <x:v>39751</x:v>
      </x:c>
      <x:c r="AD1185" s="0"/>
      <x:c r="AE1185" s="0"/>
      <x:c r="AF1185" s="0"/>
      <x:c r="AG1185" s="0"/>
      <x:c r="AH1185" s="0"/>
      <x:c r="AI1185" s="0"/>
      <x:c r="AJ1185" s="0"/>
      <x:c r="AK1185" s="0"/>
    </x:row>
    <x:row r="1186">
      <x:c r="A1186" t="str" s="2">
        <x:f>=HYPERLINK("https://rsms.futurehomex.com/lead/39752", "Marcos Hernandez")</x:f>
      </x:c>
      <x:c r="B1186" t="n" s="2">
        <x:v>36</x:v>
      </x:c>
      <x:c r="C1186" t="str" s="2">
        <x:v>0/1</x:v>
      </x:c>
      <x:c r="D1186" t="str" s="2">
        <x:f>=""</x:f>
      </x:c>
      <x:c r="E1186" s="0"/>
      <x:c r="F1186" t="str" s="2">
        <x:v>TikTok</x:v>
      </x:c>
      <x:c r="G1186" t="str" s="2">
        <x:v>Legacy Housing Corp. DBA Americasa</x:v>
      </x:c>
      <x:c r="H1186" t="str" s="2">
        <x:v>Jose Parada</x:v>
      </x:c>
      <x:c r="I1186" t="str" s="2">
        <x:v>Karol Romero</x:v>
      </x:c>
      <x:c r="J1186" s="0"/>
      <x:c r="K1186" t="n" s="2">
        <x:v>5</x:v>
      </x:c>
      <x:c r="L1186" t="str" s="2">
        <x:v>1.1</x:v>
      </x:c>
      <x:c r="M1186" t="str" s="2">
        <x:v>Tentative</x:v>
      </x:c>
      <x:c r="N1186" t="str" s="2">
        <x:v>Prospect</x:v>
      </x:c>
      <x:c r="O1186" s="0"/>
      <x:c r="P1186" s="6">
        <x:v>46272</x:v>
      </x:c>
      <x:c r="Q1186" s="6">
        <x:v>46272.868496180556</x:v>
      </x:c>
      <x:c r="R1186" s="0"/>
      <x:c r="S1186" s="0"/>
      <x:c r="T1186" s="0"/>
      <x:c r="U1186" s="0"/>
      <x:c r="V1186" s="0"/>
      <x:c r="W1186" s="0"/>
      <x:c r="X1186" t="str" s="2">
        <x:v>7134982324</x:v>
      </x:c>
      <x:c r="Y1186" t="str" s="2">
        <x:v>7134982324</x:v>
      </x:c>
      <x:c r="Z1186" s="6">
        <x:v>46293.598470983794</x:v>
      </x:c>
      <x:c r="AA1186" t="str" s="2">
        <x:v>Jose Parada</x:v>
      </x:c>
      <x:c r="AB1186" s="6">
        <x:v>46272.868498958334</x:v>
      </x:c>
      <x:c r="AC1186" t="n" s="2">
        <x:v>39752</x:v>
      </x:c>
      <x:c r="AD1186" s="0"/>
      <x:c r="AE1186" s="0"/>
      <x:c r="AF1186" s="0"/>
      <x:c r="AG1186" s="0"/>
      <x:c r="AH1186" s="0"/>
      <x:c r="AI1186" s="0"/>
      <x:c r="AJ1186" s="0"/>
      <x:c r="AK1186" s="0"/>
    </x:row>
    <x:row r="1187">
      <x:c r="A1187" t="str" s="2">
        <x:f>=HYPERLINK("https://rsms.futurehomex.com/lead/39753", "Nuria Velasquez")</x:f>
      </x:c>
      <x:c r="B1187" t="n" s="2">
        <x:v>36</x:v>
      </x:c>
      <x:c r="C1187" t="str" s="2">
        <x:v>1/2</x:v>
      </x:c>
      <x:c r="D1187" t="str" s="2">
        <x:f>=""</x:f>
      </x:c>
      <x:c r="E1187" s="0"/>
      <x:c r="F1187" t="str" s="2">
        <x:v>Financing Form</x:v>
      </x:c>
      <x:c r="G1187" t="str" s="2">
        <x:v>Legacy Housing Corp. DBA Americasa</x:v>
      </x:c>
      <x:c r="H1187" t="str" s="2">
        <x:v>Joey Marquez</x:v>
      </x:c>
      <x:c r="I1187" t="str" s="2">
        <x:v>Karol Romero</x:v>
      </x:c>
      <x:c r="J1187" s="0"/>
      <x:c r="K1187" t="n" s="2">
        <x:v>5</x:v>
      </x:c>
      <x:c r="L1187" t="str" s="2">
        <x:v>1.1</x:v>
      </x:c>
      <x:c r="M1187" t="str" s="2">
        <x:v>Tentative</x:v>
      </x:c>
      <x:c r="N1187" t="str" s="2">
        <x:v>Prospect</x:v>
      </x:c>
      <x:c r="O1187" s="0"/>
      <x:c r="P1187" s="6">
        <x:v>46272</x:v>
      </x:c>
      <x:c r="Q1187" s="6">
        <x:v>46272.86959771991</x:v>
      </x:c>
      <x:c r="R1187" s="0"/>
      <x:c r="S1187" s="0"/>
      <x:c r="T1187" s="0"/>
      <x:c r="U1187" s="0"/>
      <x:c r="V1187" s="0"/>
      <x:c r="W1187" s="0"/>
      <x:c r="X1187" t="str" s="2">
        <x:v>8326401001</x:v>
      </x:c>
      <x:c r="Y1187" t="str" s="2">
        <x:v>8326401001</x:v>
      </x:c>
      <x:c r="Z1187" s="6">
        <x:v>46273.76012893519</x:v>
      </x:c>
      <x:c r="AA1187" t="str" s="2">
        <x:v>Victoria Sanchez</x:v>
      </x:c>
      <x:c r="AB1187" s="6">
        <x:v>46272.86959903935</x:v>
      </x:c>
      <x:c r="AC1187" t="n" s="2">
        <x:v>39753</x:v>
      </x:c>
      <x:c r="AD1187" s="0"/>
      <x:c r="AE1187" s="0"/>
      <x:c r="AF1187" s="0"/>
      <x:c r="AG1187" s="0"/>
      <x:c r="AH1187" s="0"/>
      <x:c r="AI1187" s="0"/>
      <x:c r="AJ1187" s="0"/>
      <x:c r="AK1187" s="0"/>
    </x:row>
    <x:row r="1188">
      <x:c r="A1188" t="str" s="2">
        <x:f>=HYPERLINK("https://rsms.futurehomex.com/lead/39754", "Maria Adriana Martinez Rodriguez")</x:f>
      </x:c>
      <x:c r="B1188" t="n" s="2">
        <x:v>36</x:v>
      </x:c>
      <x:c r="C1188" t="str" s="2">
        <x:v>0/2</x:v>
      </x:c>
      <x:c r="D1188" t="str" s="2">
        <x:f>=""</x:f>
      </x:c>
      <x:c r="E1188" s="0"/>
      <x:c r="F1188" t="str" s="2">
        <x:v>Walk-in</x:v>
      </x:c>
      <x:c r="G1188" t="str" s="2">
        <x:v>Legacy Housing Corp. DBA Americasa</x:v>
      </x:c>
      <x:c r="H1188" t="str" s="2">
        <x:v>Joey Marquez</x:v>
      </x:c>
      <x:c r="I1188" t="str" s="2">
        <x:v>Karol Romero</x:v>
      </x:c>
      <x:c r="J1188" s="0"/>
      <x:c r="K1188" t="n" s="2">
        <x:v>5</x:v>
      </x:c>
      <x:c r="L1188" t="str" s="2">
        <x:v>1.1</x:v>
      </x:c>
      <x:c r="M1188" t="str" s="2">
        <x:v>Tentative</x:v>
      </x:c>
      <x:c r="N1188" t="str" s="2">
        <x:v>Prospect</x:v>
      </x:c>
      <x:c r="O1188" s="0"/>
      <x:c r="P1188" s="6">
        <x:v>46272</x:v>
      </x:c>
      <x:c r="Q1188" s="6">
        <x:v>46281.0424037037</x:v>
      </x:c>
      <x:c r="R1188" s="0"/>
      <x:c r="S1188" s="0"/>
      <x:c r="T1188" s="0"/>
      <x:c r="U1188" s="0"/>
      <x:c r="V1188" s="0"/>
      <x:c r="W1188" s="0"/>
      <x:c r="X1188" t="str" s="2">
        <x:v>3466052294</x:v>
      </x:c>
      <x:c r="Y1188" t="str" s="2">
        <x:v>mariamtz199307@gmail.com</x:v>
      </x:c>
      <x:c r="Z1188" s="6">
        <x:v>46282.867866863424</x:v>
      </x:c>
      <x:c r="AA1188" t="str" s="2">
        <x:v>Victoria Sanchez</x:v>
      </x:c>
      <x:c r="AB1188" s="6">
        <x:v>46272.87122650463</x:v>
      </x:c>
      <x:c r="AC1188" t="n" s="2">
        <x:v>39754</x:v>
      </x:c>
      <x:c r="AD1188" s="0"/>
      <x:c r="AE1188" s="0"/>
      <x:c r="AF1188" s="0"/>
      <x:c r="AG1188" s="0"/>
      <x:c r="AH1188" s="0"/>
      <x:c r="AI1188" s="0"/>
      <x:c r="AJ1188" s="0"/>
      <x:c r="AK1188" s="0"/>
    </x:row>
    <x:row r="1189">
      <x:c r="A1189" t="str" s="2">
        <x:f>=HYPERLINK("https://rsms.futurehomex.com/lead/39756", "Amenda Stewart")</x:f>
      </x:c>
      <x:c r="B1189" t="n" s="2">
        <x:v>35</x:v>
      </x:c>
      <x:c r="C1189" t="str" s="2">
        <x:v>0/4</x:v>
      </x:c>
      <x:c r="D1189" t="str" s="2">
        <x:f>=""</x:f>
      </x:c>
      <x:c r="E1189" s="0"/>
      <x:c r="F1189" t="str" s="2">
        <x:v>Youtube</x:v>
      </x:c>
      <x:c r="G1189" t="str" s="2">
        <x:v>Heritage Housing of Oklahoma City</x:v>
      </x:c>
      <x:c r="H1189" t="str" s="2">
        <x:v>Steve Castell</x:v>
      </x:c>
      <x:c r="I1189" s="0"/>
      <x:c r="J1189" t="str" s="2">
        <x:v>Steve Castell</x:v>
      </x:c>
      <x:c r="K1189" t="n" s="2">
        <x:v>5</x:v>
      </x:c>
      <x:c r="L1189" t="str" s="2">
        <x:v>1.1</x:v>
      </x:c>
      <x:c r="M1189" t="str" s="2">
        <x:v>Inactive</x:v>
      </x:c>
      <x:c r="N1189" t="str" s="2">
        <x:v>Deal Created</x:v>
      </x:c>
      <x:c r="O1189" s="0"/>
      <x:c r="P1189" s="6">
        <x:v>46273</x:v>
      </x:c>
      <x:c r="Q1189" s="6">
        <x:v>46273.10802346065</x:v>
      </x:c>
      <x:c r="R1189" s="0"/>
      <x:c r="S1189" s="0"/>
      <x:c r="T1189" s="0"/>
      <x:c r="U1189" s="0"/>
      <x:c r="V1189" s="0"/>
      <x:c r="W1189" s="0"/>
      <x:c r="X1189" t="str" s="2">
        <x:v>2138864953</x:v>
      </x:c>
      <x:c r="Y1189" t="str" s="2">
        <x:v>amendamstewart@gmail.com</x:v>
      </x:c>
      <x:c r="Z1189" s="6">
        <x:v>46296.963767789355</x:v>
      </x:c>
      <x:c r="AA1189" t="str" s="2">
        <x:v>Steve Castell</x:v>
      </x:c>
      <x:c r="AB1189" s="6">
        <x:v>46273.10802407408</x:v>
      </x:c>
      <x:c r="AC1189" t="n" s="2">
        <x:v>39756</x:v>
      </x:c>
      <x:c r="AD1189" s="0"/>
      <x:c r="AE1189" s="0"/>
      <x:c r="AF1189" s="0"/>
      <x:c r="AG1189" s="0"/>
      <x:c r="AH1189" s="0"/>
      <x:c r="AI1189" s="0"/>
      <x:c r="AJ1189" s="0"/>
      <x:c r="AK1189" s="0"/>
    </x:row>
    <x:row r="1190">
      <x:c r="A1190" t="str" s="2">
        <x:f>=HYPERLINK("https://rsms.futurehomex.com/lead/39757", "Felisa Everly")</x:f>
      </x:c>
      <x:c r="B1190" t="n" s="2">
        <x:v>35</x:v>
      </x:c>
      <x:c r="C1190" t="str" s="2">
        <x:v>0/1</x:v>
      </x:c>
      <x:c r="D1190" t="str" s="2">
        <x:f>=""</x:f>
      </x:c>
      <x:c r="E1190" s="0"/>
      <x:c r="F1190" t="str" s="2">
        <x:v>Youtube</x:v>
      </x:c>
      <x:c r="G1190" t="str" s="2">
        <x:v>Heritage Housing of Oklahoma City</x:v>
      </x:c>
      <x:c r="H1190" t="str" s="2">
        <x:v>Steve Castell</x:v>
      </x:c>
      <x:c r="I1190" s="0"/>
      <x:c r="J1190" t="str" s="2">
        <x:v>Steve Castell</x:v>
      </x:c>
      <x:c r="K1190" t="n" s="2">
        <x:v>5</x:v>
      </x:c>
      <x:c r="L1190" t="str" s="2">
        <x:v>1.1</x:v>
      </x:c>
      <x:c r="M1190" t="str" s="2">
        <x:v>Dead</x:v>
      </x:c>
      <x:c r="N1190" t="str" s="2">
        <x:v>Deal Created</x:v>
      </x:c>
      <x:c r="O1190" s="0"/>
      <x:c r="P1190" s="6">
        <x:v>46273</x:v>
      </x:c>
      <x:c r="Q1190" s="6">
        <x:v>46273.11069278935</x:v>
      </x:c>
      <x:c r="R1190" s="0"/>
      <x:c r="S1190" s="0"/>
      <x:c r="T1190" s="0"/>
      <x:c r="U1190" s="0"/>
      <x:c r="V1190" s="0"/>
      <x:c r="W1190" s="0"/>
      <x:c r="X1190" t="str" s="2">
        <x:v>9189318407</x:v>
      </x:c>
      <x:c r="Y1190" t="str" s="2">
        <x:v>kingalan568@gmail.com</x:v>
      </x:c>
      <x:c r="Z1190" s="6">
        <x:v>46275.91783885417</x:v>
      </x:c>
      <x:c r="AA1190" t="str" s="2">
        <x:v>Steve Castell</x:v>
      </x:c>
      <x:c r="AB1190" s="6">
        <x:v>46273.11037685185</x:v>
      </x:c>
      <x:c r="AC1190" t="n" s="2">
        <x:v>39757</x:v>
      </x:c>
      <x:c r="AD1190" s="0"/>
      <x:c r="AE1190" s="0"/>
      <x:c r="AF1190" s="0"/>
      <x:c r="AG1190" s="0"/>
      <x:c r="AH1190" s="0"/>
      <x:c r="AI1190" s="0"/>
      <x:c r="AJ1190" s="0"/>
      <x:c r="AK1190" s="0"/>
    </x:row>
    <x:row r="1191">
      <x:c r="A1191" t="str" s="2">
        <x:f>=HYPERLINK("https://rsms.futurehomex.com/lead/39758", "Adam Kilgore")</x:f>
      </x:c>
      <x:c r="B1191" t="n" s="2">
        <x:v>35</x:v>
      </x:c>
      <x:c r="C1191" t="str" s="2">
        <x:v>0/1</x:v>
      </x:c>
      <x:c r="D1191" t="str" s="2">
        <x:f>=""</x:f>
      </x:c>
      <x:c r="E1191" s="0"/>
      <x:c r="F1191" t="str" s="2">
        <x:v>Youtube</x:v>
      </x:c>
      <x:c r="G1191" t="str" s="2">
        <x:v>Heritage Housing of Oklahoma City</x:v>
      </x:c>
      <x:c r="H1191" t="str" s="2">
        <x:v>Steve Castell</x:v>
      </x:c>
      <x:c r="I1191" s="0"/>
      <x:c r="J1191" t="str" s="2">
        <x:v>Steve Castell</x:v>
      </x:c>
      <x:c r="K1191" t="n" s="2">
        <x:v>5</x:v>
      </x:c>
      <x:c r="L1191" t="str" s="2">
        <x:v>1.1</x:v>
      </x:c>
      <x:c r="M1191" t="str" s="2">
        <x:v>Dead</x:v>
      </x:c>
      <x:c r="N1191" t="str" s="2">
        <x:v>Deal Created</x:v>
      </x:c>
      <x:c r="O1191" s="0"/>
      <x:c r="P1191" s="6">
        <x:v>46273</x:v>
      </x:c>
      <x:c r="Q1191" s="6">
        <x:v>46273.111309988424</x:v>
      </x:c>
      <x:c r="R1191" s="0"/>
      <x:c r="S1191" s="0"/>
      <x:c r="T1191" s="0"/>
      <x:c r="U1191" s="0"/>
      <x:c r="V1191" s="0"/>
      <x:c r="W1191" s="0"/>
      <x:c r="X1191" t="str" s="2">
        <x:v>4058372384</x:v>
      </x:c>
      <x:c r="Y1191" t="str" s="2">
        <x:v>startrektechie@gmail.com</x:v>
      </x:c>
      <x:c r="Z1191" s="6">
        <x:v>46275.92367369213</x:v>
      </x:c>
      <x:c r="AA1191" t="str" s="2">
        <x:v>Steve Castell</x:v>
      </x:c>
      <x:c r="AB1191" s="6">
        <x:v>46273.11102809028</x:v>
      </x:c>
      <x:c r="AC1191" t="n" s="2">
        <x:v>39758</x:v>
      </x:c>
      <x:c r="AD1191" s="0"/>
      <x:c r="AE1191" s="0"/>
      <x:c r="AF1191" s="0"/>
      <x:c r="AG1191" s="0"/>
      <x:c r="AH1191" s="0"/>
      <x:c r="AI1191" s="0"/>
      <x:c r="AJ1191" s="0"/>
      <x:c r="AK1191" s="0"/>
    </x:row>
    <x:row r="1192">
      <x:c r="A1192" t="str" s="2">
        <x:f>=HYPERLINK("https://rsms.futurehomex.com/lead/39759", "Amanda Mendenhall")</x:f>
      </x:c>
      <x:c r="B1192" t="n" s="2">
        <x:v>35</x:v>
      </x:c>
      <x:c r="C1192" t="str" s="2">
        <x:v>1/6</x:v>
      </x:c>
      <x:c r="D1192" t="str" s="2">
        <x:f>=""</x:f>
      </x:c>
      <x:c r="E1192" s="0"/>
      <x:c r="F1192" t="str" s="2">
        <x:v>Youtube</x:v>
      </x:c>
      <x:c r="G1192" t="str" s="2">
        <x:v>Heritage Housing of Oklahoma City</x:v>
      </x:c>
      <x:c r="H1192" t="str" s="2">
        <x:v>Steve Castell</x:v>
      </x:c>
      <x:c r="I1192" s="0"/>
      <x:c r="J1192" t="str" s="2">
        <x:v>Steve Castell</x:v>
      </x:c>
      <x:c r="K1192" t="n" s="2">
        <x:v>5</x:v>
      </x:c>
      <x:c r="L1192" t="str" s="2">
        <x:v>1.1</x:v>
      </x:c>
      <x:c r="M1192" t="str" s="2">
        <x:v>Tentative</x:v>
      </x:c>
      <x:c r="N1192" t="str" s="2">
        <x:v>Deal Created</x:v>
      </x:c>
      <x:c r="O1192" s="0"/>
      <x:c r="P1192" s="6">
        <x:v>46273</x:v>
      </x:c>
      <x:c r="Q1192" s="6">
        <x:v>46273.11284861111</x:v>
      </x:c>
      <x:c r="R1192" s="0"/>
      <x:c r="S1192" s="0"/>
      <x:c r="T1192" s="0"/>
      <x:c r="U1192" s="0"/>
      <x:c r="V1192" s="0"/>
      <x:c r="W1192" s="0"/>
      <x:c r="X1192" t="str" s="2">
        <x:v>9188435049</x:v>
      </x:c>
      <x:c r="Y1192" t="str" s="2">
        <x:v>23amanda23@gmail.com</x:v>
      </x:c>
      <x:c r="Z1192" s="6">
        <x:v>46296.948769131945</x:v>
      </x:c>
      <x:c r="AA1192" t="str" s="2">
        <x:v>Steve Castell</x:v>
      </x:c>
      <x:c r="AB1192" s="6">
        <x:v>46273.11264378472</x:v>
      </x:c>
      <x:c r="AC1192" t="n" s="2">
        <x:v>39759</x:v>
      </x:c>
      <x:c r="AD1192" s="0"/>
      <x:c r="AE1192" s="0"/>
      <x:c r="AF1192" s="0"/>
      <x:c r="AG1192" s="0"/>
      <x:c r="AH1192" s="0"/>
      <x:c r="AI1192" s="0"/>
      <x:c r="AJ1192" s="0"/>
      <x:c r="AK1192" s="0"/>
    </x:row>
    <x:row r="1193">
      <x:c r="A1193" t="str" s="2">
        <x:f>=HYPERLINK("https://rsms.futurehomex.com/lead/39760", "Vickie Cleveland")</x:f>
      </x:c>
      <x:c r="B1193" t="n" s="2">
        <x:v>35</x:v>
      </x:c>
      <x:c r="C1193" t="str" s="2">
        <x:v>0/2</x:v>
      </x:c>
      <x:c r="D1193" t="str" s="2">
        <x:f>=""</x:f>
      </x:c>
      <x:c r="E1193" s="0"/>
      <x:c r="F1193" t="str" s="2">
        <x:v>Landing_BPM</x:v>
      </x:c>
      <x:c r="G1193" t="str" s="2">
        <x:v>Heritage Housing of Oklahoma City</x:v>
      </x:c>
      <x:c r="H1193" t="str" s="2">
        <x:v>Steve Castell</x:v>
      </x:c>
      <x:c r="I1193" s="0"/>
      <x:c r="J1193" t="str" s="2">
        <x:v>Steve Castell</x:v>
      </x:c>
      <x:c r="K1193" t="n" s="2">
        <x:v>5</x:v>
      </x:c>
      <x:c r="L1193" t="str" s="2">
        <x:v>1.1</x:v>
      </x:c>
      <x:c r="M1193" t="str" s="2">
        <x:v>Dead</x:v>
      </x:c>
      <x:c r="N1193" t="str" s="2">
        <x:v>Deal Created</x:v>
      </x:c>
      <x:c r="O1193" s="0"/>
      <x:c r="P1193" s="6">
        <x:v>46273</x:v>
      </x:c>
      <x:c r="Q1193" s="6">
        <x:v>46273.1142880787</x:v>
      </x:c>
      <x:c r="R1193" s="0"/>
      <x:c r="S1193" s="0"/>
      <x:c r="T1193" s="0"/>
      <x:c r="U1193" s="0"/>
      <x:c r="V1193" s="0"/>
      <x:c r="W1193" s="0"/>
      <x:c r="X1193" t="str" s="2">
        <x:v>405-404-1932</x:v>
      </x:c>
      <x:c r="Y1193" t="str" s="2">
        <x:v>friendtoheart@gmail.com</x:v>
      </x:c>
      <x:c r="Z1193" s="6">
        <x:v>46280.995908715275</x:v>
      </x:c>
      <x:c r="AA1193" t="str" s="2">
        <x:v>Steve Castell</x:v>
      </x:c>
      <x:c r="AB1193" s="6">
        <x:v>46273.113951354164</x:v>
      </x:c>
      <x:c r="AC1193" t="n" s="2">
        <x:v>39760</x:v>
      </x:c>
      <x:c r="AD1193" s="0"/>
      <x:c r="AE1193" s="0"/>
      <x:c r="AF1193" s="0"/>
      <x:c r="AG1193" s="0"/>
      <x:c r="AH1193" s="0"/>
      <x:c r="AI1193" s="0"/>
      <x:c r="AJ1193" s="0"/>
      <x:c r="AK1193" s="0"/>
    </x:row>
    <x:row r="1194">
      <x:c r="A1194" t="str" s="2">
        <x:f>=HYPERLINK("https://rsms.futurehomex.com/lead/39761", "A Thomas")</x:f>
      </x:c>
      <x:c r="B1194" t="n" s="2">
        <x:v>35</x:v>
      </x:c>
      <x:c r="C1194" t="str" s="2">
        <x:v>0/3</x:v>
      </x:c>
      <x:c r="D1194" t="str" s="2">
        <x:f>=""</x:f>
      </x:c>
      <x:c r="E1194" s="0"/>
      <x:c r="F1194" t="str" s="2">
        <x:v>Landing_BPM</x:v>
      </x:c>
      <x:c r="G1194" t="str" s="2">
        <x:v>Heritage Housing of Oklahoma City</x:v>
      </x:c>
      <x:c r="H1194" t="str" s="2">
        <x:v>Steve Castell</x:v>
      </x:c>
      <x:c r="I1194" s="0"/>
      <x:c r="J1194" t="str" s="2">
        <x:v>Steve Castell</x:v>
      </x:c>
      <x:c r="K1194" t="n" s="2">
        <x:v>5</x:v>
      </x:c>
      <x:c r="L1194" t="str" s="2">
        <x:v>1.1</x:v>
      </x:c>
      <x:c r="M1194" t="str" s="2">
        <x:v>Inactive</x:v>
      </x:c>
      <x:c r="N1194" t="str" s="2">
        <x:v>Deal Created</x:v>
      </x:c>
      <x:c r="O1194" s="0"/>
      <x:c r="P1194" s="6">
        <x:v>46273</x:v>
      </x:c>
      <x:c r="Q1194" s="6">
        <x:v>46273.11551840278</x:v>
      </x:c>
      <x:c r="R1194" s="0"/>
      <x:c r="S1194" s="0"/>
      <x:c r="T1194" s="0"/>
      <x:c r="U1194" s="0"/>
      <x:c r="V1194" s="0"/>
      <x:c r="W1194" s="0"/>
      <x:c r="X1194" t="str" s="2">
        <x:v>5806951781</x:v>
      </x:c>
      <x:c r="Y1194" t="str" s="2">
        <x:v>shaylapurvey18@gmail.com</x:v>
      </x:c>
      <x:c r="Z1194" s="6">
        <x:v>46280.9917153125</x:v>
      </x:c>
      <x:c r="AA1194" t="str" s="2">
        <x:v>Steve Castell</x:v>
      </x:c>
      <x:c r="AB1194" s="6">
        <x:v>46273.115331863424</x:v>
      </x:c>
      <x:c r="AC1194" t="n" s="2">
        <x:v>39761</x:v>
      </x:c>
      <x:c r="AD1194" s="0"/>
      <x:c r="AE1194" s="0"/>
      <x:c r="AF1194" s="0"/>
      <x:c r="AG1194" s="0"/>
      <x:c r="AH1194" s="0"/>
      <x:c r="AI1194" s="0"/>
      <x:c r="AJ1194" s="0"/>
      <x:c r="AK1194" s="0"/>
    </x:row>
    <x:row r="1195">
      <x:c r="A1195" t="str" s="2">
        <x:f>=HYPERLINK("https://rsms.futurehomex.com/lead/39763", "Kyle Fry")</x:f>
      </x:c>
      <x:c r="B1195" t="n" s="2">
        <x:v>35</x:v>
      </x:c>
      <x:c r="C1195" t="str" s="2">
        <x:v>1/2</x:v>
      </x:c>
      <x:c r="D1195" t="str" s="2">
        <x:f>=""</x:f>
      </x:c>
      <x:c r="E1195" s="0"/>
      <x:c r="F1195" t="str" s="2">
        <x:v>Financing Form</x:v>
      </x:c>
      <x:c r="G1195" t="str" s="2">
        <x:v>Heritage Housing of Oklahoma City</x:v>
      </x:c>
      <x:c r="H1195" t="str" s="2">
        <x:v>Trey Rixleben</x:v>
      </x:c>
      <x:c r="I1195" s="0"/>
      <x:c r="J1195" t="str" s="2">
        <x:v>Trey Rixleben</x:v>
      </x:c>
      <x:c r="K1195" t="n" s="2">
        <x:v>5</x:v>
      </x:c>
      <x:c r="L1195" t="str" s="2">
        <x:v>1.1</x:v>
      </x:c>
      <x:c r="M1195" t="str" s="2">
        <x:v>Tentative</x:v>
      </x:c>
      <x:c r="N1195" t="str" s="2">
        <x:v>Deal Created</x:v>
      </x:c>
      <x:c r="O1195" s="0"/>
      <x:c r="P1195" s="6">
        <x:v>46273</x:v>
      </x:c>
      <x:c r="Q1195" s="6">
        <x:v>46308.68324019676</x:v>
      </x:c>
      <x:c r="R1195" s="0"/>
      <x:c r="S1195" s="0"/>
      <x:c r="T1195" s="0"/>
      <x:c r="U1195" s="0"/>
      <x:c r="V1195" s="0"/>
      <x:c r="W1195" s="0"/>
      <x:c r="X1195" t="str" s="2">
        <x:v>4057040312</x:v>
      </x:c>
      <x:c r="Y1195" t="str" s="2">
        <x:v>kfry4854@gmail.com</x:v>
      </x:c>
      <x:c r="Z1195" s="6">
        <x:v>46308.69956883102</x:v>
      </x:c>
      <x:c r="AA1195" t="str" s="2">
        <x:v>Trey Rixleben</x:v>
      </x:c>
      <x:c r="AB1195" s="6">
        <x:v>46273.57187025463</x:v>
      </x:c>
      <x:c r="AC1195" t="n" s="2">
        <x:v>39763</x:v>
      </x:c>
      <x:c r="AD1195" s="0"/>
      <x:c r="AE1195" s="0"/>
      <x:c r="AF1195" s="0"/>
      <x:c r="AG1195" s="0"/>
      <x:c r="AH1195" s="0"/>
      <x:c r="AI1195" s="0"/>
      <x:c r="AJ1195" s="0"/>
      <x:c r="AK1195" s="0"/>
    </x:row>
    <x:row r="1196">
      <x:c r="A1196" t="str" s="2">
        <x:f>=HYPERLINK("https://rsms.futurehomex.com/lead/39764", "Ronald Brewer")</x:f>
      </x:c>
      <x:c r="B1196" t="n" s="2">
        <x:v>35</x:v>
      </x:c>
      <x:c r="C1196" t="str" s="2">
        <x:v>0/5</x:v>
      </x:c>
      <x:c r="D1196" t="str" s="2">
        <x:f>=""</x:f>
      </x:c>
      <x:c r="E1196" s="0"/>
      <x:c r="F1196" t="str" s="2">
        <x:v>LandingPage</x:v>
      </x:c>
      <x:c r="G1196" t="str" s="2">
        <x:v>Heritage Housing of Oklahoma City</x:v>
      </x:c>
      <x:c r="H1196" t="str" s="2">
        <x:v>Steve Castell</x:v>
      </x:c>
      <x:c r="I1196" s="0"/>
      <x:c r="J1196" t="str" s="2">
        <x:v>Steve Castell</x:v>
      </x:c>
      <x:c r="K1196" t="n" s="2">
        <x:v>5</x:v>
      </x:c>
      <x:c r="L1196" t="str" s="2">
        <x:v>1.1</x:v>
      </x:c>
      <x:c r="M1196" t="str" s="2">
        <x:v>Inactive</x:v>
      </x:c>
      <x:c r="N1196" t="str" s="2">
        <x:v>Deal Created</x:v>
      </x:c>
      <x:c r="O1196" s="0"/>
      <x:c r="P1196" s="6">
        <x:v>46273</x:v>
      </x:c>
      <x:c r="Q1196" s="6">
        <x:v>46273.572259803244</x:v>
      </x:c>
      <x:c r="R1196" s="0"/>
      <x:c r="S1196" s="0"/>
      <x:c r="T1196" s="0"/>
      <x:c r="U1196" s="0"/>
      <x:c r="V1196" s="0"/>
      <x:c r="W1196" s="0"/>
      <x:c r="X1196" t="str" s="2">
        <x:v>4054502482</x:v>
      </x:c>
      <x:c r="Y1196" t="str" s="2">
        <x:v>rbrewer663@icloud.com</x:v>
      </x:c>
      <x:c r="Z1196" s="6">
        <x:v>46303.9528283912</x:v>
      </x:c>
      <x:c r="AA1196" t="str" s="2">
        <x:v>Steve Castell</x:v>
      </x:c>
      <x:c r="AB1196" s="6">
        <x:v>46273.57226030093</x:v>
      </x:c>
      <x:c r="AC1196" t="n" s="2">
        <x:v>39764</x:v>
      </x:c>
      <x:c r="AD1196" s="0"/>
      <x:c r="AE1196" s="0"/>
      <x:c r="AF1196" s="0"/>
      <x:c r="AG1196" s="0"/>
      <x:c r="AH1196" s="0"/>
      <x:c r="AI1196" s="0"/>
      <x:c r="AJ1196" s="0"/>
      <x:c r="AK1196" s="0"/>
    </x:row>
    <x:row r="1197">
      <x:c r="A1197" t="str" s="2">
        <x:f>=HYPERLINK("https://rsms.futurehomex.com/lead/39765", "Cornelius Mclaurin")</x:f>
      </x:c>
      <x:c r="B1197" t="n" s="2">
        <x:v>35</x:v>
      </x:c>
      <x:c r="C1197" t="str" s="2">
        <x:v>1/5</x:v>
      </x:c>
      <x:c r="D1197" t="str" s="2">
        <x:f>=""</x:f>
      </x:c>
      <x:c r="E1197" s="0"/>
      <x:c r="F1197" t="str" s="2">
        <x:v>Landing_BPM</x:v>
      </x:c>
      <x:c r="G1197" t="str" s="2">
        <x:v>Heritage Housing of Oklahoma City</x:v>
      </x:c>
      <x:c r="H1197" t="str" s="2">
        <x:v>Steve Castell</x:v>
      </x:c>
      <x:c r="I1197" s="0"/>
      <x:c r="J1197" t="str" s="2">
        <x:v>Steve Castell</x:v>
      </x:c>
      <x:c r="K1197" t="n" s="2">
        <x:v>5</x:v>
      </x:c>
      <x:c r="L1197" t="str" s="2">
        <x:v>1.1</x:v>
      </x:c>
      <x:c r="M1197" t="str" s="2">
        <x:v>Tentative</x:v>
      </x:c>
      <x:c r="N1197" t="str" s="2">
        <x:v>Deal Created</x:v>
      </x:c>
      <x:c r="O1197" s="0"/>
      <x:c r="P1197" s="6">
        <x:v>46273</x:v>
      </x:c>
      <x:c r="Q1197" s="6">
        <x:v>46273.57310405093</x:v>
      </x:c>
      <x:c r="R1197" s="0"/>
      <x:c r="S1197" s="0"/>
      <x:c r="T1197" s="0"/>
      <x:c r="U1197" s="0"/>
      <x:c r="V1197" s="0"/>
      <x:c r="W1197" s="0"/>
      <x:c r="X1197" t="str" s="2">
        <x:v>4057470274</x:v>
      </x:c>
      <x:c r="Y1197" t="str" s="2">
        <x:v>cmcornelius6@gmail.com</x:v>
      </x:c>
      <x:c r="Z1197" s="6">
        <x:v>46294.953183680555</x:v>
      </x:c>
      <x:c r="AA1197" t="str" s="2">
        <x:v>Steve Castell</x:v>
      </x:c>
      <x:c r="AB1197" s="6">
        <x:v>46273.57310462963</x:v>
      </x:c>
      <x:c r="AC1197" t="n" s="2">
        <x:v>39765</x:v>
      </x:c>
      <x:c r="AD1197" s="0"/>
      <x:c r="AE1197" s="0"/>
      <x:c r="AF1197" s="0"/>
      <x:c r="AG1197" s="0"/>
      <x:c r="AH1197" s="0"/>
      <x:c r="AI1197" s="0"/>
      <x:c r="AJ1197" s="0"/>
      <x:c r="AK1197" s="0"/>
    </x:row>
    <x:row r="1198">
      <x:c r="A1198" t="str" s="2">
        <x:f>=HYPERLINK("https://rsms.futurehomex.com/lead/39766", "Maria Moreno")</x:f>
      </x:c>
      <x:c r="B1198" t="n" s="2">
        <x:v>35</x:v>
      </x:c>
      <x:c r="C1198" t="str" s="2">
        <x:v/>
      </x:c>
      <x:c r="D1198" t="str" s="2">
        <x:f>=""</x:f>
      </x:c>
      <x:c r="E1198" s="0"/>
      <x:c r="F1198" t="str" s="2">
        <x:v>Walk-in</x:v>
      </x:c>
      <x:c r="G1198" t="str" s="2">
        <x:v>Heritage Housing of Asheboro</x:v>
      </x:c>
      <x:c r="H1198" t="str" s="2">
        <x:v>Maria Lopez</x:v>
      </x:c>
      <x:c r="I1198" s="0"/>
      <x:c r="J1198" s="0"/>
      <x:c r="K1198" t="n" s="2">
        <x:v>21</x:v>
      </x:c>
      <x:c r="L1198" t="str" s="2">
        <x:v>2.1</x:v>
      </x:c>
      <x:c r="M1198" t="str" s="2">
        <x:v>Tentative</x:v>
      </x:c>
      <x:c r="N1198" t="str" s="2">
        <x:v>Qualified</x:v>
      </x:c>
      <x:c r="O1198" s="0"/>
      <x:c r="P1198" s="6">
        <x:v>46273</x:v>
      </x:c>
      <x:c r="Q1198" s="6">
        <x:v>46282.73990648148</x:v>
      </x:c>
      <x:c r="R1198" s="0"/>
      <x:c r="S1198" s="6">
        <x:v>46272</x:v>
      </x:c>
      <x:c r="T1198" s="0"/>
      <x:c r="U1198" s="0"/>
      <x:c r="V1198" s="0"/>
      <x:c r="W1198" s="0"/>
      <x:c r="X1198" t="str" s="2">
        <x:v>3363409375</x:v>
      </x:c>
      <x:c r="Y1198" t="str" s="2">
        <x:v>morenoconchita106@gmail.com</x:v>
      </x:c>
      <x:c r="Z1198" s="6">
        <x:v>46291.600433761574</x:v>
      </x:c>
      <x:c r="AA1198" t="str" s="2">
        <x:v>Maria Lopez</x:v>
      </x:c>
      <x:c r="AB1198" s="6">
        <x:v>46273.57687075232</x:v>
      </x:c>
      <x:c r="AC1198" t="n" s="2">
        <x:v>39766</x:v>
      </x:c>
      <x:c r="AD1198" s="0"/>
      <x:c r="AE1198" s="0"/>
      <x:c r="AF1198" s="0"/>
      <x:c r="AG1198" s="0"/>
      <x:c r="AH1198" s="0"/>
      <x:c r="AI1198" s="0"/>
      <x:c r="AJ1198" s="0"/>
      <x:c r="AK1198" s="0"/>
    </x:row>
    <x:row r="1199">
      <x:c r="A1199" t="str" s="2">
        <x:f>=HYPERLINK("https://rsms.futurehomex.com/lead/39769", "Linda Storks")</x:f>
      </x:c>
      <x:c r="B1199" t="n" s="2">
        <x:v>35</x:v>
      </x:c>
      <x:c r="C1199" t="str" s="2">
        <x:v>0/2</x:v>
      </x:c>
      <x:c r="D1199" t="str" s="2">
        <x:f>=""</x:f>
      </x:c>
      <x:c r="E1199" s="0"/>
      <x:c r="F1199" t="str" s="2">
        <x:v>Youtube</x:v>
      </x:c>
      <x:c r="G1199" t="str" s="2">
        <x:v>Heritage Housing of Oklahoma City</x:v>
      </x:c>
      <x:c r="H1199" t="str" s="2">
        <x:v>Trey Rixleben</x:v>
      </x:c>
      <x:c r="I1199" s="0"/>
      <x:c r="J1199" t="str" s="2">
        <x:v>Trey Rixleben</x:v>
      </x:c>
      <x:c r="K1199" t="n" s="2">
        <x:v>5</x:v>
      </x:c>
      <x:c r="L1199" t="str" s="2">
        <x:v>1.1</x:v>
      </x:c>
      <x:c r="M1199" t="str" s="2">
        <x:v>Tentative</x:v>
      </x:c>
      <x:c r="N1199" t="str" s="2">
        <x:v>Deal Created</x:v>
      </x:c>
      <x:c r="O1199" s="0"/>
      <x:c r="P1199" s="6">
        <x:v>46273</x:v>
      </x:c>
      <x:c r="Q1199" s="6">
        <x:v>46277.002089699075</x:v>
      </x:c>
      <x:c r="R1199" s="0"/>
      <x:c r="S1199" s="0"/>
      <x:c r="T1199" s="0"/>
      <x:c r="U1199" s="0"/>
      <x:c r="V1199" s="0"/>
      <x:c r="W1199" s="0"/>
      <x:c r="X1199" t="str" s="2">
        <x:v>4058828599</x:v>
      </x:c>
      <x:c r="Y1199" t="str" s="2">
        <x:v>denisedeselle7@gmail.com</x:v>
      </x:c>
      <x:c r="Z1199" s="6">
        <x:v>46277.006292094906</x:v>
      </x:c>
      <x:c r="AA1199" t="str" s="2">
        <x:v>Trey Rixleben</x:v>
      </x:c>
      <x:c r="AB1199" s="6">
        <x:v>46273.582721527775</x:v>
      </x:c>
      <x:c r="AC1199" t="n" s="2">
        <x:v>39769</x:v>
      </x:c>
      <x:c r="AD1199" s="0"/>
      <x:c r="AE1199" s="0"/>
      <x:c r="AF1199" s="0"/>
      <x:c r="AG1199" s="0"/>
      <x:c r="AH1199" s="0"/>
      <x:c r="AI1199" s="0"/>
      <x:c r="AJ1199" s="0"/>
      <x:c r="AK1199" s="0"/>
    </x:row>
    <x:row r="1200">
      <x:c r="A1200" t="str" s="2">
        <x:f>=HYPERLINK("https://rsms.futurehomex.com/lead/39770", "Ariel Arcega")</x:f>
      </x:c>
      <x:c r="B1200" t="n" s="2">
        <x:v>35</x:v>
      </x:c>
      <x:c r="C1200" t="str" s="2">
        <x:v>1/1</x:v>
      </x:c>
      <x:c r="D1200" t="str" s="2">
        <x:f>=""</x:f>
      </x:c>
      <x:c r="E1200" s="0"/>
      <x:c r="F1200" t="str" s="2">
        <x:v>Landing_BPM</x:v>
      </x:c>
      <x:c r="G1200" t="str" s="2">
        <x:v>Heritage Housing of Oklahoma City</x:v>
      </x:c>
      <x:c r="H1200" t="str" s="2">
        <x:v>Trey Rixleben</x:v>
      </x:c>
      <x:c r="I1200" s="0"/>
      <x:c r="J1200" t="str" s="2">
        <x:v>Trey Rixleben</x:v>
      </x:c>
      <x:c r="K1200" t="n" s="2">
        <x:v>5</x:v>
      </x:c>
      <x:c r="L1200" t="str" s="2">
        <x:v>1.1</x:v>
      </x:c>
      <x:c r="M1200" t="str" s="2">
        <x:v>Tentative</x:v>
      </x:c>
      <x:c r="N1200" t="str" s="2">
        <x:v>Deal Created</x:v>
      </x:c>
      <x:c r="O1200" s="0"/>
      <x:c r="P1200" s="6">
        <x:v>46273</x:v>
      </x:c>
      <x:c r="Q1200" s="6">
        <x:v>46290.9027133912</x:v>
      </x:c>
      <x:c r="R1200" s="0"/>
      <x:c r="S1200" s="0"/>
      <x:c r="T1200" s="0"/>
      <x:c r="U1200" s="0"/>
      <x:c r="V1200" s="0"/>
      <x:c r="W1200" s="0"/>
      <x:c r="X1200" t="str" s="2">
        <x:v>4709904889</x:v>
      </x:c>
      <x:c r="Y1200" t="str" s="2">
        <x:v>arisimone1992@icloud.com</x:v>
      </x:c>
      <x:c r="Z1200" s="6">
        <x:v>46290.90326478009</x:v>
      </x:c>
      <x:c r="AA1200" t="str" s="2">
        <x:v>Trey Rixleben</x:v>
      </x:c>
      <x:c r="AB1200" s="6">
        <x:v>46273.5852125</x:v>
      </x:c>
      <x:c r="AC1200" t="n" s="2">
        <x:v>39770</x:v>
      </x:c>
      <x:c r="AD1200" s="0"/>
      <x:c r="AE1200" s="0"/>
      <x:c r="AF1200" s="0"/>
      <x:c r="AG1200" s="0"/>
      <x:c r="AH1200" s="0"/>
      <x:c r="AI1200" s="0"/>
      <x:c r="AJ1200" s="0"/>
      <x:c r="AK1200" s="0"/>
    </x:row>
    <x:row r="1201">
      <x:c r="A1201" t="str" s="2">
        <x:f>=HYPERLINK("https://rsms.futurehomex.com/lead/39771", "Deron Todf")</x:f>
      </x:c>
      <x:c r="B1201" t="n" s="2">
        <x:v>35</x:v>
      </x:c>
      <x:c r="C1201" t="str" s="2">
        <x:v>1/1</x:v>
      </x:c>
      <x:c r="D1201" t="str" s="2">
        <x:f>=""</x:f>
      </x:c>
      <x:c r="E1201" s="0"/>
      <x:c r="F1201" t="str" s="2">
        <x:v>Landing_BPM</x:v>
      </x:c>
      <x:c r="G1201" t="str" s="2">
        <x:v>Heritage Housing of Oklahoma City</x:v>
      </x:c>
      <x:c r="H1201" t="str" s="2">
        <x:v>Trey Rixleben</x:v>
      </x:c>
      <x:c r="I1201" s="0"/>
      <x:c r="J1201" t="str" s="2">
        <x:v>Trey Rixleben</x:v>
      </x:c>
      <x:c r="K1201" t="n" s="2">
        <x:v>5</x:v>
      </x:c>
      <x:c r="L1201" t="str" s="2">
        <x:v>1.1</x:v>
      </x:c>
      <x:c r="M1201" t="str" s="2">
        <x:v>Tentative</x:v>
      </x:c>
      <x:c r="N1201" t="str" s="2">
        <x:v>Deal Created</x:v>
      </x:c>
      <x:c r="O1201" s="0"/>
      <x:c r="P1201" s="6">
        <x:v>46273</x:v>
      </x:c>
      <x:c r="Q1201" s="6">
        <x:v>46304.74363217592</x:v>
      </x:c>
      <x:c r="R1201" s="0"/>
      <x:c r="S1201" s="0"/>
      <x:c r="T1201" s="0"/>
      <x:c r="U1201" s="0"/>
      <x:c r="V1201" s="0"/>
      <x:c r="W1201" s="0"/>
      <x:c r="X1201" t="str" s="2">
        <x:v>3039057829</x:v>
      </x:c>
      <x:c r="Y1201" t="str" s="2">
        <x:v>mcduffymeisha071@icloud.com</x:v>
      </x:c>
      <x:c r="Z1201" s="6">
        <x:v>46304.744169641206</x:v>
      </x:c>
      <x:c r="AA1201" t="str" s="2">
        <x:v>Trey Rixleben</x:v>
      </x:c>
      <x:c r="AB1201" s="6">
        <x:v>46273.58767175926</x:v>
      </x:c>
      <x:c r="AC1201" t="n" s="2">
        <x:v>39771</x:v>
      </x:c>
      <x:c r="AD1201" s="0"/>
      <x:c r="AE1201" s="0"/>
      <x:c r="AF1201" s="0"/>
      <x:c r="AG1201" s="0"/>
      <x:c r="AH1201" s="0"/>
      <x:c r="AI1201" s="0"/>
      <x:c r="AJ1201" s="0"/>
      <x:c r="AK1201" s="0"/>
    </x:row>
    <x:row r="1202">
      <x:c r="A1202" t="str" s="2">
        <x:f>=HYPERLINK("https://rsms.futurehomex.com/lead/39772", "Yasmely Ayala")</x:f>
      </x:c>
      <x:c r="B1202" t="n" s="2">
        <x:v>35</x:v>
      </x:c>
      <x:c r="C1202" t="str" s="2">
        <x:v>0/2</x:v>
      </x:c>
      <x:c r="D1202" t="str" s="2">
        <x:f>=""</x:f>
      </x:c>
      <x:c r="E1202" s="0"/>
      <x:c r="F1202" t="str" s="2">
        <x:v>Bing - Search</x:v>
      </x:c>
      <x:c r="G1202" t="str" s="2">
        <x:v>Heritage Housing of Oklahoma City</x:v>
      </x:c>
      <x:c r="H1202" t="str" s="2">
        <x:v>Trey Rixleben</x:v>
      </x:c>
      <x:c r="I1202" s="0"/>
      <x:c r="J1202" t="str" s="2">
        <x:v>Trey Rixleben</x:v>
      </x:c>
      <x:c r="K1202" t="n" s="2">
        <x:v>5</x:v>
      </x:c>
      <x:c r="L1202" t="str" s="2">
        <x:v>1.1</x:v>
      </x:c>
      <x:c r="M1202" t="str" s="2">
        <x:v>Tentative</x:v>
      </x:c>
      <x:c r="N1202" t="str" s="2">
        <x:v>Deal Created</x:v>
      </x:c>
      <x:c r="O1202" s="0"/>
      <x:c r="P1202" s="6">
        <x:v>46273</x:v>
      </x:c>
      <x:c r="Q1202" s="6">
        <x:v>46275.93196165509</x:v>
      </x:c>
      <x:c r="R1202" s="0"/>
      <x:c r="S1202" s="0"/>
      <x:c r="T1202" s="0"/>
      <x:c r="U1202" s="0"/>
      <x:c r="V1202" s="0"/>
      <x:c r="W1202" s="0"/>
      <x:c r="X1202" t="str" s="2">
        <x:v>4055353897</x:v>
      </x:c>
      <x:c r="Y1202" t="str" s="2">
        <x:v>yasmelyayala83@gmail.com</x:v>
      </x:c>
      <x:c r="Z1202" s="6">
        <x:v>46277.56470072917</x:v>
      </x:c>
      <x:c r="AA1202" t="str" s="2">
        <x:v>Trey Rixleben</x:v>
      </x:c>
      <x:c r="AB1202" s="6">
        <x:v>46273.59097754629</x:v>
      </x:c>
      <x:c r="AC1202" t="n" s="2">
        <x:v>39772</x:v>
      </x:c>
      <x:c r="AD1202" s="0"/>
      <x:c r="AE1202" s="0"/>
      <x:c r="AF1202" s="0"/>
      <x:c r="AG1202" s="0"/>
      <x:c r="AH1202" s="0"/>
      <x:c r="AI1202" s="0"/>
      <x:c r="AJ1202" s="0"/>
      <x:c r="AK1202" s="0"/>
    </x:row>
    <x:row r="1203">
      <x:c r="A1203" t="str" s="2">
        <x:f>=HYPERLINK("https://rsms.futurehomex.com/lead/39773", "Chasity Maricle")</x:f>
      </x:c>
      <x:c r="B1203" t="n" s="2">
        <x:v>35</x:v>
      </x:c>
      <x:c r="C1203" t="str" s="2">
        <x:v>0/5</x:v>
      </x:c>
      <x:c r="D1203" t="str" s="2">
        <x:f>=""</x:f>
      </x:c>
      <x:c r="E1203" s="0"/>
      <x:c r="F1203" t="str" s="2">
        <x:v>Landing_BPM</x:v>
      </x:c>
      <x:c r="G1203" t="str" s="2">
        <x:v>Heritage Housing of Oklahoma City</x:v>
      </x:c>
      <x:c r="H1203" t="str" s="2">
        <x:v>Alejandra Calderon</x:v>
      </x:c>
      <x:c r="I1203" s="0"/>
      <x:c r="J1203" t="str" s="2">
        <x:v>Alejandra Calderon</x:v>
      </x:c>
      <x:c r="K1203" t="n" s="2">
        <x:v>5</x:v>
      </x:c>
      <x:c r="L1203" t="str" s="2">
        <x:v>1.1</x:v>
      </x:c>
      <x:c r="M1203" t="str" s="2">
        <x:v>Inactive</x:v>
      </x:c>
      <x:c r="N1203" t="str" s="2">
        <x:v>Deal Created</x:v>
      </x:c>
      <x:c r="O1203" s="0"/>
      <x:c r="P1203" s="6">
        <x:v>46273</x:v>
      </x:c>
      <x:c r="Q1203" s="6">
        <x:v>46289.963933136576</x:v>
      </x:c>
      <x:c r="R1203" s="0"/>
      <x:c r="S1203" s="0"/>
      <x:c r="T1203" s="0"/>
      <x:c r="U1203" s="0"/>
      <x:c r="V1203" s="0"/>
      <x:c r="W1203" s="0"/>
      <x:c r="X1203" t="str" s="2">
        <x:v>4059277279</x:v>
      </x:c>
      <x:c r="Y1203" t="str" s="2">
        <x:v>mariclemichelle02@gmail.com</x:v>
      </x:c>
      <x:c r="Z1203" s="6">
        <x:v>46294.991464004626</x:v>
      </x:c>
      <x:c r="AA1203" t="str" s="2">
        <x:v>Alejandra Calderon</x:v>
      </x:c>
      <x:c r="AB1203" s="6">
        <x:v>46273.59285100694</x:v>
      </x:c>
      <x:c r="AC1203" t="n" s="2">
        <x:v>39773</x:v>
      </x:c>
      <x:c r="AD1203" s="0"/>
      <x:c r="AE1203" s="0"/>
      <x:c r="AF1203" s="0"/>
      <x:c r="AG1203" s="0"/>
      <x:c r="AH1203" s="0"/>
      <x:c r="AI1203" s="0"/>
      <x:c r="AJ1203" s="0"/>
      <x:c r="AK1203" s="0"/>
    </x:row>
    <x:row r="1204">
      <x:c r="A1204" t="str" s="2">
        <x:f>=HYPERLINK("https://rsms.futurehomex.com/lead/39774", "Laken Voight")</x:f>
      </x:c>
      <x:c r="B1204" t="n" s="2">
        <x:v>35</x:v>
      </x:c>
      <x:c r="C1204" t="str" s="2">
        <x:v>0/2</x:v>
      </x:c>
      <x:c r="D1204" t="str" s="2">
        <x:f>=""</x:f>
      </x:c>
      <x:c r="E1204" s="0"/>
      <x:c r="F1204" t="str" s="2">
        <x:v>Youtube</x:v>
      </x:c>
      <x:c r="G1204" t="str" s="2">
        <x:v>Heritage Housing of Oklahoma City</x:v>
      </x:c>
      <x:c r="H1204" t="str" s="2">
        <x:v>Alejandra Calderon</x:v>
      </x:c>
      <x:c r="I1204" s="0"/>
      <x:c r="J1204" t="str" s="2">
        <x:v>Alejandra Calderon</x:v>
      </x:c>
      <x:c r="K1204" t="n" s="2">
        <x:v>5</x:v>
      </x:c>
      <x:c r="L1204" t="str" s="2">
        <x:v>1.1</x:v>
      </x:c>
      <x:c r="M1204" t="str" s="2">
        <x:v>Dead</x:v>
      </x:c>
      <x:c r="N1204" t="str" s="2">
        <x:v>Deal Created</x:v>
      </x:c>
      <x:c r="O1204" s="0"/>
      <x:c r="P1204" s="6">
        <x:v>46273</x:v>
      </x:c>
      <x:c r="Q1204" s="6">
        <x:v>46273.59380616898</x:v>
      </x:c>
      <x:c r="R1204" s="0"/>
      <x:c r="S1204" s="0"/>
      <x:c r="T1204" s="0"/>
      <x:c r="U1204" s="0"/>
      <x:c r="V1204" s="0"/>
      <x:c r="W1204" s="0"/>
      <x:c r="X1204" t="str" s="2">
        <x:v>9187795324</x:v>
      </x:c>
      <x:c r="Y1204" t="str" s="2">
        <x:v>n07357864@gmail.com</x:v>
      </x:c>
      <x:c r="Z1204" s="6">
        <x:v>46279.90315605324</x:v>
      </x:c>
      <x:c r="AA1204" t="str" s="2">
        <x:v>Alejandra Calderon</x:v>
      </x:c>
      <x:c r="AB1204" s="6">
        <x:v>46273.593608599534</x:v>
      </x:c>
      <x:c r="AC1204" t="n" s="2">
        <x:v>39774</x:v>
      </x:c>
      <x:c r="AD1204" s="0"/>
      <x:c r="AE1204" s="0"/>
      <x:c r="AF1204" s="0"/>
      <x:c r="AG1204" s="0"/>
      <x:c r="AH1204" s="0"/>
      <x:c r="AI1204" s="0"/>
      <x:c r="AJ1204" s="0"/>
      <x:c r="AK1204" s="0"/>
    </x:row>
    <x:row r="1205">
      <x:c r="A1205" t="str" s="2">
        <x:f>=HYPERLINK("https://rsms.futurehomex.com/lead/39775", "Travis Mayo")</x:f>
      </x:c>
      <x:c r="B1205" t="n" s="2">
        <x:v>35</x:v>
      </x:c>
      <x:c r="C1205" t="str" s="2">
        <x:v>0/1</x:v>
      </x:c>
      <x:c r="D1205" t="str" s="2">
        <x:f>=""</x:f>
      </x:c>
      <x:c r="E1205" s="0"/>
      <x:c r="F1205" t="str" s="2">
        <x:v>Landing_BPM</x:v>
      </x:c>
      <x:c r="G1205" t="str" s="2">
        <x:v>Heritage Housing of Oklahoma City</x:v>
      </x:c>
      <x:c r="H1205" t="str" s="2">
        <x:v>Trey Rixleben</x:v>
      </x:c>
      <x:c r="I1205" s="0"/>
      <x:c r="J1205" t="str" s="2">
        <x:v>Trey Rixleben</x:v>
      </x:c>
      <x:c r="K1205" t="n" s="2">
        <x:v>5</x:v>
      </x:c>
      <x:c r="L1205" t="str" s="2">
        <x:v>1.1</x:v>
      </x:c>
      <x:c r="M1205" t="str" s="2">
        <x:v>Dead</x:v>
      </x:c>
      <x:c r="N1205" t="str" s="2">
        <x:v>Deal Created</x:v>
      </x:c>
      <x:c r="O1205" s="0"/>
      <x:c r="P1205" s="6">
        <x:v>46273</x:v>
      </x:c>
      <x:c r="Q1205" s="6">
        <x:v>46279.96241478009</x:v>
      </x:c>
      <x:c r="R1205" s="0"/>
      <x:c r="S1205" s="0"/>
      <x:c r="T1205" s="0"/>
      <x:c r="U1205" s="0"/>
      <x:c r="V1205" s="0"/>
      <x:c r="W1205" s="0"/>
      <x:c r="X1205" t="str" s="2">
        <x:v>5399951361</x:v>
      </x:c>
      <x:c r="Y1205" t="str" s="2">
        <x:v>mayotravis3@gmail.com</x:v>
      </x:c>
      <x:c r="Z1205" s="6">
        <x:v>46283.01165494213</x:v>
      </x:c>
      <x:c r="AA1205" t="str" s="2">
        <x:v>Trey Rixleben</x:v>
      </x:c>
      <x:c r="AB1205" s="6">
        <x:v>46273.59391519676</x:v>
      </x:c>
      <x:c r="AC1205" t="n" s="2">
        <x:v>39775</x:v>
      </x:c>
      <x:c r="AD1205" s="0"/>
      <x:c r="AE1205" s="0"/>
      <x:c r="AF1205" s="0"/>
      <x:c r="AG1205" s="0"/>
      <x:c r="AH1205" s="0"/>
      <x:c r="AI1205" s="0"/>
      <x:c r="AJ1205" s="0"/>
      <x:c r="AK1205" s="0"/>
    </x:row>
    <x:row r="1206">
      <x:c r="A1206" t="str" s="2">
        <x:f>=HYPERLINK("https://rsms.futurehomex.com/lead/39776", "Danielle Hooker")</x:f>
      </x:c>
      <x:c r="B1206" t="n" s="2">
        <x:v>35</x:v>
      </x:c>
      <x:c r="C1206" t="str" s="2">
        <x:v>1/4</x:v>
      </x:c>
      <x:c r="D1206" t="str" s="2">
        <x:f>=""</x:f>
      </x:c>
      <x:c r="E1206" s="0"/>
      <x:c r="F1206" t="str" s="2">
        <x:v>Landing_BPM</x:v>
      </x:c>
      <x:c r="G1206" t="str" s="2">
        <x:v>Heritage Housing of Oklahoma City</x:v>
      </x:c>
      <x:c r="H1206" t="str" s="2">
        <x:v>Steve Castell</x:v>
      </x:c>
      <x:c r="I1206" s="0"/>
      <x:c r="J1206" t="str" s="2">
        <x:v>Steve Castell</x:v>
      </x:c>
      <x:c r="K1206" t="n" s="2">
        <x:v>5</x:v>
      </x:c>
      <x:c r="L1206" t="str" s="2">
        <x:v>1.1</x:v>
      </x:c>
      <x:c r="M1206" t="str" s="2">
        <x:v>Tentative</x:v>
      </x:c>
      <x:c r="N1206" t="str" s="2">
        <x:v>Deal Created</x:v>
      </x:c>
      <x:c r="O1206" s="0"/>
      <x:c r="P1206" s="6">
        <x:v>46273</x:v>
      </x:c>
      <x:c r="Q1206" s="6">
        <x:v>46273.595069016206</x:v>
      </x:c>
      <x:c r="R1206" s="0"/>
      <x:c r="S1206" s="0"/>
      <x:c r="T1206" s="0"/>
      <x:c r="U1206" s="0"/>
      <x:c r="V1206" s="0"/>
      <x:c r="W1206" s="0"/>
      <x:c r="X1206" t="str" s="2">
        <x:v>4054504302</x:v>
      </x:c>
      <x:c r="Y1206" t="str" s="2">
        <x:v>danireed19@gmail.com</x:v>
      </x:c>
      <x:c r="Z1206" s="6">
        <x:v>46303.965576041664</x:v>
      </x:c>
      <x:c r="AA1206" t="str" s="2">
        <x:v>Steve Castell</x:v>
      </x:c>
      <x:c r="AB1206" s="6">
        <x:v>46273.595069560186</x:v>
      </x:c>
      <x:c r="AC1206" t="n" s="2">
        <x:v>39776</x:v>
      </x:c>
      <x:c r="AD1206" s="0"/>
      <x:c r="AE1206" s="0"/>
      <x:c r="AF1206" s="0"/>
      <x:c r="AG1206" s="0"/>
      <x:c r="AH1206" s="0"/>
      <x:c r="AI1206" s="0"/>
      <x:c r="AJ1206" s="0"/>
      <x:c r="AK1206" s="0"/>
    </x:row>
    <x:row r="1207">
      <x:c r="A1207" t="str" s="2">
        <x:f>=HYPERLINK("https://rsms.futurehomex.com/lead/39777", "Sheri Lottt")</x:f>
      </x:c>
      <x:c r="B1207" t="n" s="2">
        <x:v>35</x:v>
      </x:c>
      <x:c r="C1207" t="str" s="2">
        <x:v>0/1</x:v>
      </x:c>
      <x:c r="D1207" t="str" s="2">
        <x:f>=""</x:f>
      </x:c>
      <x:c r="E1207" s="0"/>
      <x:c r="F1207" t="str" s="2">
        <x:v>Website</x:v>
      </x:c>
      <x:c r="G1207" t="str" s="2">
        <x:v>Heritage Housing of Oklahoma City</x:v>
      </x:c>
      <x:c r="H1207" t="str" s="2">
        <x:v>Steve Castell</x:v>
      </x:c>
      <x:c r="I1207" s="0"/>
      <x:c r="J1207" t="str" s="2">
        <x:v>Steve Castell</x:v>
      </x:c>
      <x:c r="K1207" t="n" s="2">
        <x:v>5</x:v>
      </x:c>
      <x:c r="L1207" t="str" s="2">
        <x:v>1.1</x:v>
      </x:c>
      <x:c r="M1207" t="str" s="2">
        <x:v>Dead</x:v>
      </x:c>
      <x:c r="N1207" t="str" s="2">
        <x:v>Deal Created</x:v>
      </x:c>
      <x:c r="O1207" s="0"/>
      <x:c r="P1207" s="6">
        <x:v>46273</x:v>
      </x:c>
      <x:c r="Q1207" s="6">
        <x:v>46273.598796412036</x:v>
      </x:c>
      <x:c r="R1207" s="0"/>
      <x:c r="S1207" s="0"/>
      <x:c r="T1207" s="0"/>
      <x:c r="U1207" s="0"/>
      <x:c r="V1207" s="0"/>
      <x:c r="W1207" s="0"/>
      <x:c r="X1207" t="str" s="2">
        <x:v>9182852678</x:v>
      </x:c>
      <x:c r="Y1207" t="str" s="2">
        <x:v>lottsheri2462@gmail.com</x:v>
      </x:c>
      <x:c r="Z1207" s="6">
        <x:v>46275.93581130787</x:v>
      </x:c>
      <x:c r="AA1207" t="str" s="2">
        <x:v>Steve Castell</x:v>
      </x:c>
      <x:c r="AB1207" s="6">
        <x:v>46273.598459375</x:v>
      </x:c>
      <x:c r="AC1207" t="n" s="2">
        <x:v>39777</x:v>
      </x:c>
      <x:c r="AD1207" s="0"/>
      <x:c r="AE1207" s="0"/>
      <x:c r="AF1207" s="0"/>
      <x:c r="AG1207" s="0"/>
      <x:c r="AH1207" s="0"/>
      <x:c r="AI1207" s="0"/>
      <x:c r="AJ1207" s="0"/>
      <x:c r="AK1207" s="0"/>
    </x:row>
    <x:row r="1208">
      <x:c r="A1208" t="str" s="2">
        <x:f>=HYPERLINK("https://rsms.futurehomex.com/lead/39778", "Jesse Sanford")</x:f>
      </x:c>
      <x:c r="B1208" t="n" s="2">
        <x:v>35</x:v>
      </x:c>
      <x:c r="C1208" t="str" s="2">
        <x:v>0/2</x:v>
      </x:c>
      <x:c r="D1208" t="str" s="2">
        <x:f>=""</x:f>
      </x:c>
      <x:c r="E1208" s="0"/>
      <x:c r="F1208" t="str" s="2">
        <x:v>Landing_BPM</x:v>
      </x:c>
      <x:c r="G1208" t="str" s="2">
        <x:v>Heritage Housing of Oklahoma City</x:v>
      </x:c>
      <x:c r="H1208" t="str" s="2">
        <x:v>Trey Rixleben</x:v>
      </x:c>
      <x:c r="I1208" s="0"/>
      <x:c r="J1208" t="str" s="2">
        <x:v>Gianna Cervantes</x:v>
      </x:c>
      <x:c r="K1208" t="n" s="2">
        <x:v>5</x:v>
      </x:c>
      <x:c r="L1208" t="str" s="2">
        <x:v>1.1</x:v>
      </x:c>
      <x:c r="M1208" t="str" s="2">
        <x:v>Dead</x:v>
      </x:c>
      <x:c r="N1208" t="str" s="2">
        <x:v>Deal Created</x:v>
      </x:c>
      <x:c r="O1208" s="0"/>
      <x:c r="P1208" s="6">
        <x:v>46273</x:v>
      </x:c>
      <x:c r="Q1208" s="6">
        <x:v>46274.997456516205</x:v>
      </x:c>
      <x:c r="R1208" s="0"/>
      <x:c r="S1208" s="0"/>
      <x:c r="T1208" s="0"/>
      <x:c r="U1208" s="0"/>
      <x:c r="V1208" s="0"/>
      <x:c r="W1208" s="0"/>
      <x:c r="X1208" t="str" s="2">
        <x:v>5805745745753</x:v>
      </x:c>
      <x:c r="Y1208" t="str" s="2">
        <x:v>franklinj1972@icloud.com</x:v>
      </x:c>
      <x:c r="Z1208" s="6">
        <x:v>46275.73002109954</x:v>
      </x:c>
      <x:c r="AA1208" t="str" s="2">
        <x:v>Richard Bell</x:v>
      </x:c>
      <x:c r="AB1208" s="6">
        <x:v>46274.59433796296</x:v>
      </x:c>
      <x:c r="AC1208" t="n" s="2">
        <x:v>39778</x:v>
      </x:c>
      <x:c r="AD1208" s="0"/>
      <x:c r="AE1208" s="0"/>
      <x:c r="AF1208" s="0"/>
      <x:c r="AG1208" s="0"/>
      <x:c r="AH1208" s="0"/>
      <x:c r="AI1208" s="0"/>
      <x:c r="AJ1208" s="0"/>
      <x:c r="AK1208" s="0"/>
    </x:row>
    <x:row r="1209">
      <x:c r="A1209" t="str" s="2">
        <x:f>=HYPERLINK("https://rsms.futurehomex.com/lead/39779", "Dennis Jones")</x:f>
      </x:c>
      <x:c r="B1209" t="n" s="2">
        <x:v>35</x:v>
      </x:c>
      <x:c r="C1209" t="str" s="2">
        <x:v>0/1</x:v>
      </x:c>
      <x:c r="D1209" t="str" s="2">
        <x:f>=""</x:f>
      </x:c>
      <x:c r="E1209" s="0"/>
      <x:c r="F1209" t="str" s="2">
        <x:v>Landing_BPM</x:v>
      </x:c>
      <x:c r="G1209" t="str" s="2">
        <x:v>Heritage Housing of Oklahoma City</x:v>
      </x:c>
      <x:c r="H1209" t="str" s="2">
        <x:v>Steve Castell</x:v>
      </x:c>
      <x:c r="I1209" s="0"/>
      <x:c r="J1209" t="str" s="2">
        <x:v>Steve Castell</x:v>
      </x:c>
      <x:c r="K1209" t="n" s="2">
        <x:v>5</x:v>
      </x:c>
      <x:c r="L1209" t="str" s="2">
        <x:v>1.1</x:v>
      </x:c>
      <x:c r="M1209" t="str" s="2">
        <x:v>Dead</x:v>
      </x:c>
      <x:c r="N1209" t="str" s="2">
        <x:v>Deal Created</x:v>
      </x:c>
      <x:c r="O1209" s="0"/>
      <x:c r="P1209" s="6">
        <x:v>46273</x:v>
      </x:c>
      <x:c r="Q1209" s="6">
        <x:v>46273.600247800925</x:v>
      </x:c>
      <x:c r="R1209" s="0"/>
      <x:c r="S1209" s="0"/>
      <x:c r="T1209" s="0"/>
      <x:c r="U1209" s="0"/>
      <x:c r="V1209" s="0"/>
      <x:c r="W1209" s="0"/>
      <x:c r="X1209" t="str" s="2">
        <x:v>4055102419</x:v>
      </x:c>
      <x:c r="Y1209" t="str" s="2">
        <x:v>bobmatt86.dj@gmail.com</x:v>
      </x:c>
      <x:c r="Z1209" s="6">
        <x:v>46276.94285934028</x:v>
      </x:c>
      <x:c r="AA1209" t="str" s="2">
        <x:v>Steve Castell</x:v>
      </x:c>
      <x:c r="AB1209" s="6">
        <x:v>46273.599975578705</x:v>
      </x:c>
      <x:c r="AC1209" t="n" s="2">
        <x:v>39779</x:v>
      </x:c>
      <x:c r="AD1209" s="0"/>
      <x:c r="AE1209" s="0"/>
      <x:c r="AF1209" s="0"/>
      <x:c r="AG1209" s="0"/>
      <x:c r="AH1209" s="0"/>
      <x:c r="AI1209" s="0"/>
      <x:c r="AJ1209" s="0"/>
      <x:c r="AK1209" s="0"/>
    </x:row>
    <x:row r="1210">
      <x:c r="A1210" t="str" s="2">
        <x:f>=HYPERLINK("https://rsms.futurehomex.com/lead/39780", "Jeffrey Swanson")</x:f>
      </x:c>
      <x:c r="B1210" t="n" s="2">
        <x:v>35</x:v>
      </x:c>
      <x:c r="C1210" t="str" s="2">
        <x:v>0/1</x:v>
      </x:c>
      <x:c r="D1210" t="str" s="2">
        <x:f>=""</x:f>
      </x:c>
      <x:c r="E1210" s="0"/>
      <x:c r="F1210" t="str" s="2">
        <x:v>Youtube</x:v>
      </x:c>
      <x:c r="G1210" t="str" s="2">
        <x:v>Heritage Housing of Oklahoma City</x:v>
      </x:c>
      <x:c r="H1210" t="str" s="2">
        <x:v>Steve Castell</x:v>
      </x:c>
      <x:c r="I1210" s="0"/>
      <x:c r="J1210" t="str" s="2">
        <x:v>Steve Castell</x:v>
      </x:c>
      <x:c r="K1210" t="n" s="2">
        <x:v>5</x:v>
      </x:c>
      <x:c r="L1210" t="str" s="2">
        <x:v>1.1</x:v>
      </x:c>
      <x:c r="M1210" t="str" s="2">
        <x:v>Dead</x:v>
      </x:c>
      <x:c r="N1210" t="str" s="2">
        <x:v>Deal Created</x:v>
      </x:c>
      <x:c r="O1210" s="0"/>
      <x:c r="P1210" s="6">
        <x:v>46273</x:v>
      </x:c>
      <x:c r="Q1210" s="6">
        <x:v>46273.60238773148</x:v>
      </x:c>
      <x:c r="R1210" s="0"/>
      <x:c r="S1210" s="0"/>
      <x:c r="T1210" s="0"/>
      <x:c r="U1210" s="0"/>
      <x:c r="V1210" s="0"/>
      <x:c r="W1210" s="0"/>
      <x:c r="X1210" t="str" s="2">
        <x:v>8037181215</x:v>
      </x:c>
      <x:c r="Y1210" t="str" s="2">
        <x:v>swansonjeffrey201@gmail.com</x:v>
      </x:c>
      <x:c r="Z1210" s="6">
        <x:v>46273.606789618054</x:v>
      </x:c>
      <x:c r="AA1210" t="str" s="2">
        <x:v>Steve Castell</x:v>
      </x:c>
      <x:c r="AB1210" s="6">
        <x:v>46273.60238827546</x:v>
      </x:c>
      <x:c r="AC1210" t="n" s="2">
        <x:v>39780</x:v>
      </x:c>
      <x:c r="AD1210" s="0"/>
      <x:c r="AE1210" s="0"/>
      <x:c r="AF1210" s="0"/>
      <x:c r="AG1210" s="0"/>
      <x:c r="AH1210" s="0"/>
      <x:c r="AI1210" s="0"/>
      <x:c r="AJ1210" s="0"/>
      <x:c r="AK1210" s="0"/>
    </x:row>
    <x:row r="1211">
      <x:c r="A1211" t="str" s="2">
        <x:f>=HYPERLINK("https://rsms.futurehomex.com/lead/39781", "James Spivey")</x:f>
      </x:c>
      <x:c r="B1211" t="n" s="2">
        <x:v>35</x:v>
      </x:c>
      <x:c r="C1211" t="str" s="2">
        <x:v>0/1</x:v>
      </x:c>
      <x:c r="D1211" t="str" s="2">
        <x:f>=""</x:f>
      </x:c>
      <x:c r="E1211" s="0"/>
      <x:c r="F1211" t="str" s="2">
        <x:v>Financing Form</x:v>
      </x:c>
      <x:c r="G1211" t="str" s="2">
        <x:v>Heritage Housing of Oklahoma City</x:v>
      </x:c>
      <x:c r="H1211" t="str" s="2">
        <x:v>Steve Castell</x:v>
      </x:c>
      <x:c r="I1211" s="0"/>
      <x:c r="J1211" t="str" s="2">
        <x:v>Steve Castell</x:v>
      </x:c>
      <x:c r="K1211" t="n" s="2">
        <x:v>5</x:v>
      </x:c>
      <x:c r="L1211" t="str" s="2">
        <x:v>1.1</x:v>
      </x:c>
      <x:c r="M1211" t="str" s="2">
        <x:v>Inactive</x:v>
      </x:c>
      <x:c r="N1211" t="str" s="2">
        <x:v>Deal Created</x:v>
      </x:c>
      <x:c r="O1211" s="0"/>
      <x:c r="P1211" s="6">
        <x:v>46273</x:v>
      </x:c>
      <x:c r="Q1211" s="6">
        <x:v>46273.605698576386</x:v>
      </x:c>
      <x:c r="R1211" s="0"/>
      <x:c r="S1211" s="6">
        <x:v>46275</x:v>
      </x:c>
      <x:c r="T1211" s="0"/>
      <x:c r="U1211" s="0"/>
      <x:c r="V1211" s="0"/>
      <x:c r="W1211" s="0"/>
      <x:c r="X1211" t="str" s="2">
        <x:v>5806655302</x:v>
      </x:c>
      <x:c r="Y1211" t="str" s="2">
        <x:v>Jamesspivey15.5@gmail.com</x:v>
      </x:c>
      <x:c r="Z1211" s="6">
        <x:v>46274.70625471065</x:v>
      </x:c>
      <x:c r="AA1211" t="str" s="2">
        <x:v>Steve Castell</x:v>
      </x:c>
      <x:c r="AB1211" s="6">
        <x:v>46273.60569930555</x:v>
      </x:c>
      <x:c r="AC1211" t="n" s="2">
        <x:v>39781</x:v>
      </x:c>
      <x:c r="AD1211" s="0"/>
      <x:c r="AE1211" s="0"/>
      <x:c r="AF1211" s="0"/>
      <x:c r="AG1211" s="0"/>
      <x:c r="AH1211" s="0"/>
      <x:c r="AI1211" s="0"/>
      <x:c r="AJ1211" s="0"/>
      <x:c r="AK1211" s="0"/>
    </x:row>
    <x:row r="1212">
      <x:c r="A1212" t="str" s="2">
        <x:f>=HYPERLINK("https://rsms.futurehomex.com/lead/39782", "Vanessa Mead")</x:f>
      </x:c>
      <x:c r="B1212" t="n" s="2">
        <x:v>35</x:v>
      </x:c>
      <x:c r="C1212" t="str" s="2">
        <x:v>1/1</x:v>
      </x:c>
      <x:c r="D1212" t="str" s="2">
        <x:f>=""</x:f>
      </x:c>
      <x:c r="E1212" s="0"/>
      <x:c r="F1212" t="str" s="2">
        <x:v>Landing_BPM</x:v>
      </x:c>
      <x:c r="G1212" t="str" s="2">
        <x:v>Heritage Housing of Oklahoma City</x:v>
      </x:c>
      <x:c r="H1212" t="str" s="2">
        <x:v>Trey Rixleben</x:v>
      </x:c>
      <x:c r="I1212" s="0"/>
      <x:c r="J1212" t="str" s="2">
        <x:v>Trey Rixleben</x:v>
      </x:c>
      <x:c r="K1212" t="n" s="2">
        <x:v>5</x:v>
      </x:c>
      <x:c r="L1212" t="str" s="2">
        <x:v>1.1</x:v>
      </x:c>
      <x:c r="M1212" t="str" s="2">
        <x:v>Tentative</x:v>
      </x:c>
      <x:c r="N1212" t="str" s="2">
        <x:v>Deal Created</x:v>
      </x:c>
      <x:c r="O1212" s="0"/>
      <x:c r="P1212" s="6">
        <x:v>46273</x:v>
      </x:c>
      <x:c r="Q1212" s="6">
        <x:v>46300.982879780095</x:v>
      </x:c>
      <x:c r="R1212" s="0"/>
      <x:c r="S1212" s="0"/>
      <x:c r="T1212" s="0"/>
      <x:c r="U1212" s="0"/>
      <x:c r="V1212" s="0"/>
      <x:c r="W1212" s="0"/>
      <x:c r="X1212" t="str" s="2">
        <x:v>8324333984</x:v>
      </x:c>
      <x:c r="Y1212" t="str" s="2">
        <x:v>vanessamead94@gmail.com</x:v>
      </x:c>
      <x:c r="Z1212" s="6">
        <x:v>46300.98481489583</x:v>
      </x:c>
      <x:c r="AA1212" t="str" s="2">
        <x:v>Trey Rixleben</x:v>
      </x:c>
      <x:c r="AB1212" s="6">
        <x:v>46273.60617947917</x:v>
      </x:c>
      <x:c r="AC1212" t="n" s="2">
        <x:v>39782</x:v>
      </x:c>
      <x:c r="AD1212" s="0"/>
      <x:c r="AE1212" s="0"/>
      <x:c r="AF1212" s="0"/>
      <x:c r="AG1212" s="0"/>
      <x:c r="AH1212" s="0"/>
      <x:c r="AI1212" s="0"/>
      <x:c r="AJ1212" s="0"/>
      <x:c r="AK1212" s="0"/>
    </x:row>
    <x:row r="1213">
      <x:c r="A1213" t="str" s="2">
        <x:f>=HYPERLINK("https://rsms.futurehomex.com/lead/39783", "Miguel Tiu")</x:f>
      </x:c>
      <x:c r="B1213" t="n" s="2">
        <x:v>35</x:v>
      </x:c>
      <x:c r="C1213" t="str" s="2">
        <x:v/>
      </x:c>
      <x:c r="D1213" t="str" s="2">
        <x:f>=""</x:f>
      </x:c>
      <x:c r="E1213" s="0"/>
      <x:c r="F1213" t="str" s="2">
        <x:v>Walk-in</x:v>
      </x:c>
      <x:c r="G1213" t="str" s="2">
        <x:v>Heritage Housing of Asheboro</x:v>
      </x:c>
      <x:c r="H1213" t="str" s="2">
        <x:v>Maria Lopez</x:v>
      </x:c>
      <x:c r="I1213" s="0"/>
      <x:c r="J1213" s="0"/>
      <x:c r="K1213" t="n" s="2">
        <x:v>21</x:v>
      </x:c>
      <x:c r="L1213" t="str" s="2">
        <x:v>2.1</x:v>
      </x:c>
      <x:c r="M1213" t="str" s="2">
        <x:v>Tentative</x:v>
      </x:c>
      <x:c r="N1213" t="str" s="2">
        <x:v>Qualified</x:v>
      </x:c>
      <x:c r="O1213" s="0"/>
      <x:c r="P1213" s="6">
        <x:v>46273</x:v>
      </x:c>
      <x:c r="Q1213" s="6">
        <x:v>46282.74040292824</x:v>
      </x:c>
      <x:c r="R1213" s="0"/>
      <x:c r="S1213" s="0"/>
      <x:c r="T1213" s="0"/>
      <x:c r="U1213" s="0"/>
      <x:c r="V1213" s="0"/>
      <x:c r="W1213" s="0"/>
      <x:c r="X1213" t="str" s="2">
        <x:v>5718391543</x:v>
      </x:c>
      <x:c r="Y1213" t="str" s="2">
        <x:v>Karollem94@gmail.com</x:v>
      </x:c>
      <x:c r="Z1213" s="6">
        <x:v>46282.74038989584</x:v>
      </x:c>
      <x:c r="AA1213" t="str" s="2">
        <x:v>Jeremy Jacques</x:v>
      </x:c>
      <x:c r="AB1213" s="6">
        <x:v>46273.607761921296</x:v>
      </x:c>
      <x:c r="AC1213" t="n" s="2">
        <x:v>39783</x:v>
      </x:c>
      <x:c r="AD1213" s="0"/>
      <x:c r="AE1213" s="0"/>
      <x:c r="AF1213" s="0"/>
      <x:c r="AG1213" s="0"/>
      <x:c r="AH1213" s="0"/>
      <x:c r="AI1213" s="0"/>
      <x:c r="AJ1213" s="0"/>
      <x:c r="AK1213" s="0"/>
    </x:row>
    <x:row r="1214">
      <x:c r="A1214" t="str" s="2">
        <x:f>=HYPERLINK("https://rsms.futurehomex.com/lead/39784", "Gaylene Mancinas")</x:f>
      </x:c>
      <x:c r="B1214" t="n" s="2">
        <x:v>35</x:v>
      </x:c>
      <x:c r="C1214" t="str" s="2">
        <x:v>0/3</x:v>
      </x:c>
      <x:c r="D1214" t="str" s="2">
        <x:f>=""</x:f>
      </x:c>
      <x:c r="E1214" s="0"/>
      <x:c r="F1214" t="str" s="2">
        <x:v>Landing_BPM</x:v>
      </x:c>
      <x:c r="G1214" t="str" s="2">
        <x:v>Heritage Housing of Oklahoma City</x:v>
      </x:c>
      <x:c r="H1214" t="str" s="2">
        <x:v>Trey Rixleben</x:v>
      </x:c>
      <x:c r="I1214" s="0"/>
      <x:c r="J1214" t="str" s="2">
        <x:v>Trey Rixleben</x:v>
      </x:c>
      <x:c r="K1214" t="n" s="2">
        <x:v>5</x:v>
      </x:c>
      <x:c r="L1214" t="str" s="2">
        <x:v>1.1</x:v>
      </x:c>
      <x:c r="M1214" t="str" s="2">
        <x:v>Tentative</x:v>
      </x:c>
      <x:c r="N1214" t="str" s="2">
        <x:v>Deal Created</x:v>
      </x:c>
      <x:c r="O1214" s="0"/>
      <x:c r="P1214" s="6">
        <x:v>46273</x:v>
      </x:c>
      <x:c r="Q1214" s="6">
        <x:v>46286.97464108796</x:v>
      </x:c>
      <x:c r="R1214" s="0"/>
      <x:c r="S1214" s="0"/>
      <x:c r="T1214" s="0"/>
      <x:c r="U1214" s="0"/>
      <x:c r="V1214" s="0"/>
      <x:c r="W1214" s="0"/>
      <x:c r="X1214" t="str" s="2">
        <x:v>4055065232</x:v>
      </x:c>
      <x:c r="Y1214" t="str" s="2">
        <x:v>mancinasgaylene@gmail.com</x:v>
      </x:c>
      <x:c r="Z1214" s="6">
        <x:v>46289.601941168985</x:v>
      </x:c>
      <x:c r="AA1214" t="str" s="2">
        <x:v>Trey Rixleben</x:v>
      </x:c>
      <x:c r="AB1214" s="6">
        <x:v>46273.60834467593</x:v>
      </x:c>
      <x:c r="AC1214" t="n" s="2">
        <x:v>39784</x:v>
      </x:c>
      <x:c r="AD1214" s="0"/>
      <x:c r="AE1214" s="0"/>
      <x:c r="AF1214" s="0"/>
      <x:c r="AG1214" s="0"/>
      <x:c r="AH1214" s="0"/>
      <x:c r="AI1214" s="0"/>
      <x:c r="AJ1214" s="0"/>
      <x:c r="AK1214" s="0"/>
    </x:row>
    <x:row r="1215">
      <x:c r="A1215" t="str" s="2">
        <x:f>=HYPERLINK("https://rsms.futurehomex.com/lead/39785", "Nicole Trester")</x:f>
      </x:c>
      <x:c r="B1215" t="n" s="2">
        <x:v>35</x:v>
      </x:c>
      <x:c r="C1215" t="str" s="2">
        <x:v>1/2</x:v>
      </x:c>
      <x:c r="D1215" t="str" s="2">
        <x:f>=""</x:f>
      </x:c>
      <x:c r="E1215" s="0"/>
      <x:c r="F1215" t="str" s="2">
        <x:v>Landing_BPM</x:v>
      </x:c>
      <x:c r="G1215" t="str" s="2">
        <x:v>Heritage Housing of Oklahoma City</x:v>
      </x:c>
      <x:c r="H1215" t="str" s="2">
        <x:v>Trey Rixleben</x:v>
      </x:c>
      <x:c r="I1215" s="0"/>
      <x:c r="J1215" t="str" s="2">
        <x:v>Gianna Cervantes</x:v>
      </x:c>
      <x:c r="K1215" t="n" s="2">
        <x:v>5</x:v>
      </x:c>
      <x:c r="L1215" t="str" s="2">
        <x:v>1.1</x:v>
      </x:c>
      <x:c r="M1215" t="str" s="2">
        <x:v>Tentative</x:v>
      </x:c>
      <x:c r="N1215" t="str" s="2">
        <x:v>Deal Created</x:v>
      </x:c>
      <x:c r="O1215" s="0"/>
      <x:c r="P1215" s="6">
        <x:v>46273</x:v>
      </x:c>
      <x:c r="Q1215" s="6">
        <x:v>46296.69220355324</x:v>
      </x:c>
      <x:c r="R1215" s="0"/>
      <x:c r="S1215" s="0"/>
      <x:c r="T1215" s="0"/>
      <x:c r="U1215" s="0"/>
      <x:c r="V1215" s="0"/>
      <x:c r="W1215" s="0"/>
      <x:c r="X1215" t="str" s="2">
        <x:v>6202284911</x:v>
      </x:c>
      <x:c r="Y1215" t="str" s="2">
        <x:v>Nikkiann2583@gmail.com</x:v>
      </x:c>
      <x:c r="Z1215" s="6">
        <x:v>46296.69307422454</x:v>
      </x:c>
      <x:c r="AA1215" t="str" s="2">
        <x:v>Trey Rixleben</x:v>
      </x:c>
      <x:c r="AB1215" s="6">
        <x:v>46274.59505373843</x:v>
      </x:c>
      <x:c r="AC1215" t="n" s="2">
        <x:v>39785</x:v>
      </x:c>
      <x:c r="AD1215" s="0"/>
      <x:c r="AE1215" s="0"/>
      <x:c r="AF1215" s="0"/>
      <x:c r="AG1215" s="0"/>
      <x:c r="AH1215" s="0"/>
      <x:c r="AI1215" s="0"/>
      <x:c r="AJ1215" s="0"/>
      <x:c r="AK1215" s="0"/>
    </x:row>
    <x:row r="1216">
      <x:c r="A1216" t="str" s="2">
        <x:f>=HYPERLINK("https://rsms.futurehomex.com/lead/39787", "Zachary Wise")</x:f>
      </x:c>
      <x:c r="B1216" t="n" s="2">
        <x:v>35</x:v>
      </x:c>
      <x:c r="C1216" t="str" s="2">
        <x:v>1/3</x:v>
      </x:c>
      <x:c r="D1216" t="str" s="2">
        <x:f>=""</x:f>
      </x:c>
      <x:c r="E1216" t="str" s="2">
        <x:v>Jonathan Bright</x:v>
      </x:c>
      <x:c r="F1216" t="str" s="2">
        <x:v>Walk-in</x:v>
      </x:c>
      <x:c r="G1216" t="str" s="2">
        <x:v>Heritage Housing of Albany</x:v>
      </x:c>
      <x:c r="H1216" t="str" s="2">
        <x:v>Alexander Bryant</x:v>
      </x:c>
      <x:c r="I1216" t="str" s="2">
        <x:v>Karol Romero</x:v>
      </x:c>
      <x:c r="J1216" t="str" s="2">
        <x:v>Alexander Bryant</x:v>
      </x:c>
      <x:c r="K1216" t="n" s="2">
        <x:v>5</x:v>
      </x:c>
      <x:c r="L1216" t="str" s="2">
        <x:v>1.1</x:v>
      </x:c>
      <x:c r="M1216" t="str" s="2">
        <x:v>Tentative</x:v>
      </x:c>
      <x:c r="N1216" t="str" s="2">
        <x:v>Deal Created</x:v>
      </x:c>
      <x:c r="O1216" s="0"/>
      <x:c r="P1216" s="6">
        <x:v>46273</x:v>
      </x:c>
      <x:c r="Q1216" s="6">
        <x:v>46273.63752581018</x:v>
      </x:c>
      <x:c r="R1216" s="0"/>
      <x:c r="S1216" s="6">
        <x:v>46273</x:v>
      </x:c>
      <x:c r="T1216" s="0"/>
      <x:c r="U1216" s="0"/>
      <x:c r="V1216" s="0"/>
      <x:c r="W1216" s="0"/>
      <x:c r="X1216" t="str" s="2">
        <x:v>2294299068</x:v>
      </x:c>
      <x:c r="Y1216" t="str" s="2">
        <x:v>zacherywise6@gmail.com</x:v>
      </x:c>
      <x:c r="Z1216" s="6">
        <x:v>46302.84751064815</x:v>
      </x:c>
      <x:c r="AA1216" t="str" s="2">
        <x:v>Justin Johnson</x:v>
      </x:c>
      <x:c r="AB1216" s="6">
        <x:v>46273.635923298614</x:v>
      </x:c>
      <x:c r="AC1216" t="n" s="2">
        <x:v>39787</x:v>
      </x:c>
      <x:c r="AD1216" s="0"/>
      <x:c r="AE1216" s="0"/>
      <x:c r="AF1216" s="0"/>
      <x:c r="AG1216" s="0"/>
      <x:c r="AH1216" s="0"/>
      <x:c r="AI1216" s="0"/>
      <x:c r="AJ1216" s="0"/>
      <x:c r="AK1216" s="0"/>
    </x:row>
    <x:row r="1217">
      <x:c r="A1217" t="str" s="2">
        <x:f>=HYPERLINK("https://rsms.futurehomex.com/lead/39789", "Tim Heimbach")</x:f>
      </x:c>
      <x:c r="B1217" t="n" s="2">
        <x:v>35</x:v>
      </x:c>
      <x:c r="C1217" t="str" s="2">
        <x:v/>
      </x:c>
      <x:c r="D1217" t="str" s="2">
        <x:f>=""</x:f>
      </x:c>
      <x:c r="E1217" s="0"/>
      <x:c r="F1217" t="str" s="2">
        <x:v>Walk-in</x:v>
      </x:c>
      <x:c r="G1217" t="str" s="2">
        <x:v>Heritage Housing of Tulsa</x:v>
      </x:c>
      <x:c r="H1217" t="str" s="2">
        <x:v>Jenna Fransisco</x:v>
      </x:c>
      <x:c r="I1217" s="0"/>
      <x:c r="J1217" s="0"/>
      <x:c r="K1217" t="n" s="2">
        <x:v>34</x:v>
      </x:c>
      <x:c r="L1217" t="str" s="2">
        <x:v>2.4</x:v>
      </x:c>
      <x:c r="M1217" t="str" s="2">
        <x:v>Tentative</x:v>
      </x:c>
      <x:c r="N1217" t="str" s="2">
        <x:v>Deal approval</x:v>
      </x:c>
      <x:c r="O1217" s="0"/>
      <x:c r="P1217" s="6">
        <x:v>46273</x:v>
      </x:c>
      <x:c r="Q1217" s="6">
        <x:v>46273.66147063657</x:v>
      </x:c>
      <x:c r="R1217" s="0"/>
      <x:c r="S1217" s="6">
        <x:v>46270</x:v>
      </x:c>
      <x:c r="T1217" s="0"/>
      <x:c r="U1217" s="0"/>
      <x:c r="V1217" s="0"/>
      <x:c r="W1217" s="0"/>
      <x:c r="X1217" t="str" s="2">
        <x:v>9182703824</x:v>
      </x:c>
      <x:c r="Y1217" t="str" s="2">
        <x:v>timothyheimbach@gmail.com</x:v>
      </x:c>
      <x:c r="Z1217" s="6">
        <x:v>46273.65506265046</x:v>
      </x:c>
      <x:c r="AA1217" t="str" s="2">
        <x:v>Derek Searcy</x:v>
      </x:c>
      <x:c r="AB1217" s="6">
        <x:v>46273.6532096875</x:v>
      </x:c>
      <x:c r="AC1217" t="n" s="2">
        <x:v>39789</x:v>
      </x:c>
      <x:c r="AD1217" t="str" s="2">
        <x:v>Doublewide</x:v>
      </x:c>
      <x:c r="AE1217" s="0"/>
      <x:c r="AF1217" s="0"/>
      <x:c r="AG1217" s="0"/>
      <x:c r="AH1217" s="0"/>
      <x:c r="AI1217" s="0"/>
      <x:c r="AJ1217" s="0"/>
      <x:c r="AK1217" s="0"/>
    </x:row>
    <x:row r="1218">
      <x:c r="A1218" t="str" s="2">
        <x:f>=HYPERLINK("https://rsms.futurehomex.com/lead/39790", "Jordan Hill")</x:f>
      </x:c>
      <x:c r="B1218" t="n" s="2">
        <x:v>35</x:v>
      </x:c>
      <x:c r="C1218" t="str" s="2">
        <x:v>0/1</x:v>
      </x:c>
      <x:c r="D1218" t="str" s="2">
        <x:f>=""</x:f>
      </x:c>
      <x:c r="E1218" s="0"/>
      <x:c r="F1218" t="str" s="2">
        <x:v>Facebook Messenger</x:v>
      </x:c>
      <x:c r="G1218" t="str" s="2">
        <x:v>Heritage Housing of Oklahoma City</x:v>
      </x:c>
      <x:c r="H1218" t="str" s="2">
        <x:v>Trey Rixleben</x:v>
      </x:c>
      <x:c r="I1218" s="0"/>
      <x:c r="J1218" s="0"/>
      <x:c r="K1218" t="n" s="2">
        <x:v>5</x:v>
      </x:c>
      <x:c r="L1218" t="str" s="2">
        <x:v>1.1</x:v>
      </x:c>
      <x:c r="M1218" t="str" s="2">
        <x:v>Tentative</x:v>
      </x:c>
      <x:c r="N1218" t="str" s="2">
        <x:v>Deal Created</x:v>
      </x:c>
      <x:c r="O1218" s="0"/>
      <x:c r="P1218" s="6">
        <x:v>46273</x:v>
      </x:c>
      <x:c r="Q1218" s="6">
        <x:v>46274.71691539352</x:v>
      </x:c>
      <x:c r="R1218" t="str" s="2">
        <x:v>Trey Rixleben</x:v>
      </x:c>
      <x:c r="S1218" s="6">
        <x:v>46273</x:v>
      </x:c>
      <x:c r="T1218" s="0"/>
      <x:c r="U1218" s="0"/>
      <x:c r="V1218" s="0"/>
      <x:c r="W1218" s="0"/>
      <x:c r="X1218" t="str" s="2">
        <x:v>5616050273</x:v>
      </x:c>
      <x:c r="Y1218" t="str" s="2">
        <x:v>JordanHill2010@yahoo.com</x:v>
      </x:c>
      <x:c r="Z1218" s="6">
        <x:v>46282.845447604166</x:v>
      </x:c>
      <x:c r="AA1218" t="str" s="2">
        <x:v>Richard Bell</x:v>
      </x:c>
      <x:c r="AB1218" s="6">
        <x:v>46277.75764537037</x:v>
      </x:c>
      <x:c r="AC1218" t="n" s="2">
        <x:v>39790</x:v>
      </x:c>
      <x:c r="AD1218" s="0"/>
      <x:c r="AE1218" s="0"/>
      <x:c r="AF1218" s="0"/>
      <x:c r="AG1218" s="7">
        <x:v>0</x:v>
      </x:c>
      <x:c r="AH1218" s="0"/>
      <x:c r="AI1218" t="str" s="2">
        <x:v>542</x:v>
      </x:c>
      <x:c r="AJ1218" s="0"/>
      <x:c r="AK1218" s="0"/>
    </x:row>
    <x:row r="1219">
      <x:c r="A1219" t="str" s="2">
        <x:f>=HYPERLINK("https://rsms.futurehomex.com/lead/39791", "Cahneewah Hotter")</x:f>
      </x:c>
      <x:c r="B1219" t="n" s="2">
        <x:v>35</x:v>
      </x:c>
      <x:c r="C1219" t="str" s="2">
        <x:v>0/1</x:v>
      </x:c>
      <x:c r="D1219" t="str" s="2">
        <x:f>=""</x:f>
      </x:c>
      <x:c r="E1219" s="0"/>
      <x:c r="F1219" t="str" s="2">
        <x:v>Youtube</x:v>
      </x:c>
      <x:c r="G1219" t="str" s="2">
        <x:v>Heritage Housing of Oklahoma City</x:v>
      </x:c>
      <x:c r="H1219" t="str" s="2">
        <x:v>Gianna Cervantes</x:v>
      </x:c>
      <x:c r="I1219" s="0"/>
      <x:c r="J1219" t="str" s="2">
        <x:v>Gianna Cervantes</x:v>
      </x:c>
      <x:c r="K1219" t="n" s="2">
        <x:v>5</x:v>
      </x:c>
      <x:c r="L1219" t="str" s="2">
        <x:v>1.1</x:v>
      </x:c>
      <x:c r="M1219" t="str" s="2">
        <x:v>Dead</x:v>
      </x:c>
      <x:c r="N1219" t="str" s="2">
        <x:v>Deal Created</x:v>
      </x:c>
      <x:c r="O1219" s="0"/>
      <x:c r="P1219" s="6">
        <x:v>46273</x:v>
      </x:c>
      <x:c r="Q1219" s="6">
        <x:v>46273.703283333336</x:v>
      </x:c>
      <x:c r="R1219" s="0"/>
      <x:c r="S1219" s="0"/>
      <x:c r="T1219" s="0"/>
      <x:c r="U1219" s="0"/>
      <x:c r="V1219" s="0"/>
      <x:c r="W1219" s="0"/>
      <x:c r="X1219" t="str" s="2">
        <x:v>9152940485</x:v>
      </x:c>
      <x:c r="Y1219" t="str" s="2">
        <x:v>cahneewahhotter@gmail.com</x:v>
      </x:c>
      <x:c r="Z1219" s="6">
        <x:v>46277.756852199076</x:v>
      </x:c>
      <x:c r="AA1219" t="str" s="2">
        <x:v>Gianna Cervantes</x:v>
      </x:c>
      <x:c r="AB1219" s="6">
        <x:v>46273.70328383102</x:v>
      </x:c>
      <x:c r="AC1219" t="n" s="2">
        <x:v>39791</x:v>
      </x:c>
      <x:c r="AD1219" s="0"/>
      <x:c r="AE1219" s="0"/>
      <x:c r="AF1219" s="0"/>
      <x:c r="AG1219" s="0"/>
      <x:c r="AH1219" s="0"/>
      <x:c r="AI1219" s="0"/>
      <x:c r="AJ1219" s="0"/>
      <x:c r="AK1219" s="0"/>
    </x:row>
    <x:row r="1220">
      <x:c r="A1220" t="str" s="2">
        <x:f>=HYPERLINK("https://rsms.futurehomex.com/lead/39792", "AlexB Test")</x:f>
      </x:c>
      <x:c r="B1220" t="n" s="2">
        <x:v>35</x:v>
      </x:c>
      <x:c r="C1220" t="str" s="2">
        <x:v/>
      </x:c>
      <x:c r="D1220" t="str" s="2">
        <x:f>=""</x:f>
      </x:c>
      <x:c r="E1220" s="0"/>
      <x:c r="F1220" t="str" s="2">
        <x:v>Walk-in</x:v>
      </x:c>
      <x:c r="G1220" t="str" s="2">
        <x:v>Heritage Housing of Albany</x:v>
      </x:c>
      <x:c r="H1220" t="str" s="2">
        <x:v>Alexander Bryant</x:v>
      </x:c>
      <x:c r="I1220" s="0"/>
      <x:c r="J1220" s="0"/>
      <x:c r="K1220" t="n" s="2">
        <x:v>5</x:v>
      </x:c>
      <x:c r="L1220" t="str" s="2">
        <x:v>1.1</x:v>
      </x:c>
      <x:c r="M1220" t="str" s="2">
        <x:v>Dead</x:v>
      </x:c>
      <x:c r="N1220" t="str" s="2">
        <x:v>Prospect</x:v>
      </x:c>
      <x:c r="O1220" s="0"/>
      <x:c r="P1220" s="6">
        <x:v>46273</x:v>
      </x:c>
      <x:c r="Q1220" s="6">
        <x:v>46273.719665972225</x:v>
      </x:c>
      <x:c r="R1220" s="0"/>
      <x:c r="S1220" s="0"/>
      <x:c r="T1220" s="0"/>
      <x:c r="U1220" s="0"/>
      <x:c r="V1220" s="0"/>
      <x:c r="W1220" s="0"/>
      <x:c r="X1220" t="str" s="2">
        <x:v>3578906321</x:v>
      </x:c>
      <x:c r="Y1220" t="str" s="2">
        <x:v>alextest@nomail.com</x:v>
      </x:c>
      <x:c r="Z1220" s="0"/>
      <x:c r="AA1220" s="0"/>
      <x:c r="AB1220" s="6">
        <x:v>46273.719666400466</x:v>
      </x:c>
      <x:c r="AC1220" t="n" s="2">
        <x:v>39792</x:v>
      </x:c>
      <x:c r="AD1220" s="0"/>
      <x:c r="AE1220" s="0"/>
      <x:c r="AF1220" s="0"/>
      <x:c r="AG1220" s="0"/>
      <x:c r="AH1220" s="0"/>
      <x:c r="AI1220" s="0"/>
      <x:c r="AJ1220" s="0"/>
      <x:c r="AK1220" s="0"/>
    </x:row>
    <x:row r="1221">
      <x:c r="A1221" t="str" s="2">
        <x:f>=HYPERLINK("https://rsms.futurehomex.com/lead/39793", "Idalys Torres")</x:f>
      </x:c>
      <x:c r="B1221" t="n" s="2">
        <x:v>35</x:v>
      </x:c>
      <x:c r="C1221" t="str" s="2">
        <x:v/>
      </x:c>
      <x:c r="D1221" t="str" s="2">
        <x:f>=""</x:f>
      </x:c>
      <x:c r="E1221" s="0"/>
      <x:c r="F1221" t="str" s="2">
        <x:v>Other</x:v>
      </x:c>
      <x:c r="G1221" t="str" s="2">
        <x:v>Heritage Housing of Tulsa</x:v>
      </x:c>
      <x:c r="H1221" t="str" s="2">
        <x:v>Jenna Fransisco</x:v>
      </x:c>
      <x:c r="I1221" s="0"/>
      <x:c r="J1221" t="str" s="2">
        <x:v>Jenna Fransisco</x:v>
      </x:c>
      <x:c r="K1221" t="n" s="2">
        <x:v>5</x:v>
      </x:c>
      <x:c r="L1221" t="str" s="2">
        <x:v>1.1</x:v>
      </x:c>
      <x:c r="M1221" t="str" s="2">
        <x:v>Tentative</x:v>
      </x:c>
      <x:c r="N1221" t="str" s="2">
        <x:v>Deal Created</x:v>
      </x:c>
      <x:c r="O1221" s="0"/>
      <x:c r="P1221" s="6">
        <x:v>46273</x:v>
      </x:c>
      <x:c r="Q1221" s="6">
        <x:v>46273.73876493055</x:v>
      </x:c>
      <x:c r="R1221" s="0"/>
      <x:c r="S1221" s="0"/>
      <x:c r="T1221" s="0"/>
      <x:c r="U1221" s="0"/>
      <x:c r="V1221" s="0"/>
      <x:c r="W1221" s="0"/>
      <x:c r="X1221" t="str" s="2">
        <x:v>6788788435</x:v>
      </x:c>
      <x:c r="Y1221" t="str" s="2">
        <x:v>morenitachula64@gmail.com</x:v>
      </x:c>
      <x:c r="Z1221" s="0"/>
      <x:c r="AA1221" s="0"/>
      <x:c r="AB1221" s="6">
        <x:v>46273.73171608796</x:v>
      </x:c>
      <x:c r="AC1221" t="n" s="2">
        <x:v>39793</x:v>
      </x:c>
      <x:c r="AD1221" s="0"/>
      <x:c r="AE1221" s="0"/>
      <x:c r="AF1221" s="0"/>
      <x:c r="AG1221" s="0"/>
      <x:c r="AH1221" s="0"/>
      <x:c r="AI1221" s="0"/>
      <x:c r="AJ1221" s="0"/>
      <x:c r="AK1221" s="0"/>
    </x:row>
    <x:row r="1222">
      <x:c r="A1222" t="str" s="2">
        <x:f>=HYPERLINK("https://rsms.futurehomex.com/lead/39794", "Jairo Pineda")</x:f>
      </x:c>
      <x:c r="B1222" t="n" s="2">
        <x:v>35</x:v>
      </x:c>
      <x:c r="C1222" t="str" s="2">
        <x:v/>
      </x:c>
      <x:c r="D1222" t="str" s="2">
        <x:f>=""</x:f>
      </x:c>
      <x:c r="E1222" s="0"/>
      <x:c r="F1222" t="str" s="2">
        <x:v>Referrals</x:v>
      </x:c>
      <x:c r="G1222" t="str" s="2">
        <x:v>Legacy Housing Corp. DBA Americasa</x:v>
      </x:c>
      <x:c r="H1222" t="str" s="2">
        <x:v>Jose Parada</x:v>
      </x:c>
      <x:c r="I1222" t="str" s="2">
        <x:v>Karol Romero</x:v>
      </x:c>
      <x:c r="J1222" t="str" s="2">
        <x:v>Jose Parada</x:v>
      </x:c>
      <x:c r="K1222" t="n" s="2">
        <x:v>5</x:v>
      </x:c>
      <x:c r="L1222" t="str" s="2">
        <x:v>1.1</x:v>
      </x:c>
      <x:c r="M1222" t="str" s="2">
        <x:v>Tentative</x:v>
      </x:c>
      <x:c r="N1222" t="str" s="2">
        <x:v>Deal Created</x:v>
      </x:c>
      <x:c r="O1222" s="0"/>
      <x:c r="P1222" s="6">
        <x:v>46273</x:v>
      </x:c>
      <x:c r="Q1222" s="6">
        <x:v>46273.7636752662</x:v>
      </x:c>
      <x:c r="R1222" s="0"/>
      <x:c r="S1222" s="0"/>
      <x:c r="T1222" s="0"/>
      <x:c r="U1222" s="0"/>
      <x:c r="V1222" s="0"/>
      <x:c r="W1222" s="0"/>
      <x:c r="X1222" t="str" s="2">
        <x:v>8326546541</x:v>
      </x:c>
      <x:c r="Y1222" t="str" s="2">
        <x:v>santosarita726@gmail.com</x:v>
      </x:c>
      <x:c r="Z1222" s="0"/>
      <x:c r="AA1222" s="0"/>
      <x:c r="AB1222" s="6">
        <x:v>46273.763678125</x:v>
      </x:c>
      <x:c r="AC1222" t="n" s="2">
        <x:v>39794</x:v>
      </x:c>
      <x:c r="AD1222" s="0"/>
      <x:c r="AE1222" s="0"/>
      <x:c r="AF1222" s="0"/>
      <x:c r="AG1222" s="0"/>
      <x:c r="AH1222" s="0"/>
      <x:c r="AI1222" s="0"/>
      <x:c r="AJ1222" s="0"/>
      <x:c r="AK1222" s="0"/>
    </x:row>
    <x:row r="1223">
      <x:c r="A1223" t="str" s="2">
        <x:f>=HYPERLINK("https://rsms.futurehomex.com/lead/39795", "William Surratt")</x:f>
      </x:c>
      <x:c r="B1223" t="n" s="2">
        <x:v>35</x:v>
      </x:c>
      <x:c r="C1223" t="str" s="2">
        <x:v/>
      </x:c>
      <x:c r="D1223" t="str" s="2">
        <x:f>=""</x:f>
      </x:c>
      <x:c r="E1223" s="0"/>
      <x:c r="F1223" t="str" s="2">
        <x:v>Walk-in</x:v>
      </x:c>
      <x:c r="G1223" t="str" s="2">
        <x:v>Heritage Housing of Asheboro</x:v>
      </x:c>
      <x:c r="H1223" t="str" s="2">
        <x:v>Maria Lopez</x:v>
      </x:c>
      <x:c r="I1223" s="0"/>
      <x:c r="J1223" s="0"/>
      <x:c r="K1223" t="n" s="2">
        <x:v>21</x:v>
      </x:c>
      <x:c r="L1223" t="str" s="2">
        <x:v>2.1</x:v>
      </x:c>
      <x:c r="M1223" t="str" s="2">
        <x:v>Dead</x:v>
      </x:c>
      <x:c r="N1223" t="str" s="2">
        <x:v>Qualified</x:v>
      </x:c>
      <x:c r="O1223" s="0"/>
      <x:c r="P1223" s="6">
        <x:v>46273</x:v>
      </x:c>
      <x:c r="Q1223" s="6">
        <x:v>46282.74121018519</x:v>
      </x:c>
      <x:c r="R1223" s="0"/>
      <x:c r="S1223" s="0"/>
      <x:c r="T1223" s="0"/>
      <x:c r="U1223" s="0"/>
      <x:c r="V1223" s="0"/>
      <x:c r="W1223" s="0"/>
      <x:c r="X1223" t="str" s="2">
        <x:v>3364603694</x:v>
      </x:c>
      <x:c r="Y1223" t="str" s="2">
        <x:v>mggreene2018@gmail.com</x:v>
      </x:c>
      <x:c r="Z1223" s="6">
        <x:v>46295.807500462965</x:v>
      </x:c>
      <x:c r="AA1223" t="str" s="2">
        <x:v>Maria Lopez</x:v>
      </x:c>
      <x:c r="AB1223" s="6">
        <x:v>46273.76413927083</x:v>
      </x:c>
      <x:c r="AC1223" t="n" s="2">
        <x:v>39795</x:v>
      </x:c>
      <x:c r="AD1223" s="0"/>
      <x:c r="AE1223" s="0"/>
      <x:c r="AF1223" s="0"/>
      <x:c r="AG1223" s="0"/>
      <x:c r="AH1223" s="0"/>
      <x:c r="AI1223" s="0"/>
      <x:c r="AJ1223" s="0"/>
      <x:c r="AK1223" s="0"/>
    </x:row>
    <x:row r="1224">
      <x:c r="A1224" t="str" s="2">
        <x:f>=HYPERLINK("https://rsms.futurehomex.com/lead/39796", "Ray Sloan")</x:f>
      </x:c>
      <x:c r="B1224" t="n" s="2">
        <x:v>35</x:v>
      </x:c>
      <x:c r="C1224" t="str" s="2">
        <x:v>1/1</x:v>
      </x:c>
      <x:c r="D1224" t="str" s="2">
        <x:f>=""</x:f>
      </x:c>
      <x:c r="E1224" s="0"/>
      <x:c r="F1224" t="str" s="2">
        <x:v>Walk-in</x:v>
      </x:c>
      <x:c r="G1224" t="str" s="2">
        <x:v>Heritage Housing of Oklahoma City</x:v>
      </x:c>
      <x:c r="H1224" t="str" s="2">
        <x:v>Trey Rixleben</x:v>
      </x:c>
      <x:c r="I1224" t="str" s="2">
        <x:v>Karol Romero</x:v>
      </x:c>
      <x:c r="J1224" t="str" s="2">
        <x:v>Trey Rixleben</x:v>
      </x:c>
      <x:c r="K1224" t="n" s="2">
        <x:v>5</x:v>
      </x:c>
      <x:c r="L1224" t="str" s="2">
        <x:v>1.1</x:v>
      </x:c>
      <x:c r="M1224" t="str" s="2">
        <x:v>Tentative</x:v>
      </x:c>
      <x:c r="N1224" t="str" s="2">
        <x:v>Deal Created</x:v>
      </x:c>
      <x:c r="O1224" s="0"/>
      <x:c r="P1224" s="6">
        <x:v>46273</x:v>
      </x:c>
      <x:c r="Q1224" s="6">
        <x:v>46273.76536979167</x:v>
      </x:c>
      <x:c r="R1224" s="0"/>
      <x:c r="S1224" s="0"/>
      <x:c r="T1224" s="0"/>
      <x:c r="U1224" s="0"/>
      <x:c r="V1224" s="0"/>
      <x:c r="W1224" s="0"/>
      <x:c r="X1224" t="str" s="2">
        <x:v>4052100116</x:v>
      </x:c>
      <x:c r="Y1224" t="str" s="2">
        <x:v>rsloan88.rs@gmail.com</x:v>
      </x:c>
      <x:c r="Z1224" s="6">
        <x:v>46273.84799930556</x:v>
      </x:c>
      <x:c r="AA1224" t="str" s="2">
        <x:v>Trey Rixleben</x:v>
      </x:c>
      <x:c r="AB1224" s="6">
        <x:v>46273.76537314815</x:v>
      </x:c>
      <x:c r="AC1224" t="n" s="2">
        <x:v>39796</x:v>
      </x:c>
      <x:c r="AD1224" s="0"/>
      <x:c r="AE1224" s="0"/>
      <x:c r="AF1224" s="0"/>
      <x:c r="AG1224" s="0"/>
      <x:c r="AH1224" s="0"/>
      <x:c r="AI1224" s="0"/>
      <x:c r="AJ1224" s="0"/>
      <x:c r="AK1224" s="0"/>
    </x:row>
    <x:row r="1225">
      <x:c r="A1225" t="str" s="2">
        <x:f>=HYPERLINK("https://rsms.futurehomex.com/lead/39797", "James Duncan")</x:f>
      </x:c>
      <x:c r="B1225" t="n" s="2">
        <x:v>35</x:v>
      </x:c>
      <x:c r="C1225" t="str" s="2">
        <x:v/>
      </x:c>
      <x:c r="D1225" t="str" s="2">
        <x:f>=""</x:f>
      </x:c>
      <x:c r="E1225" s="0"/>
      <x:c r="F1225" t="str" s="2">
        <x:v>Referrals</x:v>
      </x:c>
      <x:c r="G1225" t="str" s="2">
        <x:v>Heritage Housing Mt Pleasant</x:v>
      </x:c>
      <x:c r="H1225" t="str" s="2">
        <x:v>Yarelis Torres</x:v>
      </x:c>
      <x:c r="I1225" s="0"/>
      <x:c r="J1225" t="str" s="2">
        <x:v>Yarelis Torres</x:v>
      </x:c>
      <x:c r="K1225" t="n" s="2">
        <x:v>80</x:v>
      </x:c>
      <x:c r="L1225" t="str" s="2">
        <x:v>5.3</x:v>
      </x:c>
      <x:c r="M1225" t="str" s="2">
        <x:v>Tentative</x:v>
      </x:c>
      <x:c r="N1225" t="str" s="2">
        <x:v>Pending Delivery</x:v>
      </x:c>
      <x:c r="O1225" s="6">
        <x:v>46309</x:v>
      </x:c>
      <x:c r="P1225" s="6">
        <x:v>46273</x:v>
      </x:c>
      <x:c r="Q1225" s="6">
        <x:v>46305.63978012731</x:v>
      </x:c>
      <x:c r="R1225" s="0"/>
      <x:c r="S1225" s="6">
        <x:v>46273</x:v>
      </x:c>
      <x:c r="T1225" s="0"/>
      <x:c r="U1225" s="6">
        <x:v>46276</x:v>
      </x:c>
      <x:c r="V1225" s="0"/>
      <x:c r="W1225" s="0"/>
      <x:c r="X1225" t="str" s="2">
        <x:v>9032046069</x:v>
      </x:c>
      <x:c r="Y1225" t="str" s="2">
        <x:v>rawiron@outlook.com</x:v>
      </x:c>
      <x:c r="Z1225" s="6">
        <x:v>46305.67674502315</x:v>
      </x:c>
      <x:c r="AA1225" t="str" s="2">
        <x:v>Schell Liles</x:v>
      </x:c>
      <x:c r="AB1225" s="6">
        <x:v>46273.76799262731</x:v>
      </x:c>
      <x:c r="AC1225" t="n" s="2">
        <x:v>39797</x:v>
      </x:c>
      <x:c r="AD1225" t="str" s="2">
        <x:v>Singlewide</x:v>
      </x:c>
      <x:c r="AE1225" t="str" s="2">
        <x:v>21st Mortgage Corporation</x:v>
      </x:c>
      <x:c r="AF1225" s="0"/>
      <x:c r="AG1225" s="0"/>
      <x:c r="AH1225" s="0"/>
      <x:c r="AI1225" s="0"/>
      <x:c r="AJ1225" s="0"/>
      <x:c r="AK1225" s="0"/>
    </x:row>
    <x:row r="1226">
      <x:c r="A1226" t="str" s="2">
        <x:f>=HYPERLINK("https://rsms.futurehomex.com/lead/39799", "Suzy Wilkerson")</x:f>
      </x:c>
      <x:c r="B1226" t="n" s="2">
        <x:v>35</x:v>
      </x:c>
      <x:c r="C1226" t="str" s="2">
        <x:v/>
      </x:c>
      <x:c r="D1226" t="str" s="2">
        <x:f>=""</x:f>
      </x:c>
      <x:c r="E1226" s="0"/>
      <x:c r="F1226" t="str" s="2">
        <x:v>Google Ads</x:v>
      </x:c>
      <x:c r="G1226" t="str" s="2">
        <x:v>Heritage Housing of Asheboro</x:v>
      </x:c>
      <x:c r="H1226" t="str" s="2">
        <x:v>Kate Gutierrez</x:v>
      </x:c>
      <x:c r="I1226" s="0"/>
      <x:c r="J1226" t="str" s="2">
        <x:v>Kate Gutierrez</x:v>
      </x:c>
      <x:c r="K1226" t="n" s="2">
        <x:v>21</x:v>
      </x:c>
      <x:c r="L1226" t="str" s="2">
        <x:v>2.1</x:v>
      </x:c>
      <x:c r="M1226" t="str" s="2">
        <x:v>Tentative</x:v>
      </x:c>
      <x:c r="N1226" t="str" s="2">
        <x:v>Qualified</x:v>
      </x:c>
      <x:c r="O1226" s="0"/>
      <x:c r="P1226" s="6">
        <x:v>46273</x:v>
      </x:c>
      <x:c r="Q1226" s="6">
        <x:v>46282.74179259259</x:v>
      </x:c>
      <x:c r="R1226" s="0"/>
      <x:c r="S1226" s="0"/>
      <x:c r="T1226" s="0"/>
      <x:c r="U1226" s="0"/>
      <x:c r="V1226" s="0"/>
      <x:c r="W1226" s="0"/>
      <x:c r="X1226" t="str" s="2">
        <x:v>9197997617</x:v>
      </x:c>
      <x:c r="Y1226" t="str" s="2">
        <x:v>swilkerson67@ymail.com</x:v>
      </x:c>
      <x:c r="Z1226" s="6">
        <x:v>46282.74177947917</x:v>
      </x:c>
      <x:c r="AA1226" t="str" s="2">
        <x:v>Jeremy Jacques</x:v>
      </x:c>
      <x:c r="AB1226" s="6">
        <x:v>46273.77719621528</x:v>
      </x:c>
      <x:c r="AC1226" t="n" s="2">
        <x:v>39799</x:v>
      </x:c>
      <x:c r="AD1226" s="0"/>
      <x:c r="AE1226" s="0"/>
      <x:c r="AF1226" s="0"/>
      <x:c r="AG1226" s="0"/>
      <x:c r="AH1226" s="0"/>
      <x:c r="AI1226" s="0"/>
      <x:c r="AJ1226" s="0"/>
      <x:c r="AK1226" s="0"/>
    </x:row>
    <x:row r="1227">
      <x:c r="A1227" t="str" s="2">
        <x:f>=HYPERLINK("https://rsms.futurehomex.com/lead/39800", "Rosa Pintor")</x:f>
      </x:c>
      <x:c r="B1227" t="n" s="2">
        <x:v>35</x:v>
      </x:c>
      <x:c r="C1227" t="str" s="2">
        <x:v/>
      </x:c>
      <x:c r="D1227" t="str" s="2">
        <x:f>=""</x:f>
      </x:c>
      <x:c r="E1227" s="0"/>
      <x:c r="F1227" t="str" s="2">
        <x:v>Walk-in</x:v>
      </x:c>
      <x:c r="G1227" t="str" s="2">
        <x:v>Heritage Housing of Greenville</x:v>
      </x:c>
      <x:c r="H1227" t="str" s="2">
        <x:v>Brandie Sartor</x:v>
      </x:c>
      <x:c r="I1227" s="0"/>
      <x:c r="J1227" s="0"/>
      <x:c r="K1227" t="n" s="2">
        <x:v>5</x:v>
      </x:c>
      <x:c r="L1227" t="str" s="2">
        <x:v>1.1</x:v>
      </x:c>
      <x:c r="M1227" t="str" s="2">
        <x:v>Dead</x:v>
      </x:c>
      <x:c r="N1227" t="str" s="2">
        <x:v>Prospect</x:v>
      </x:c>
      <x:c r="O1227" s="0"/>
      <x:c r="P1227" s="6">
        <x:v>46273</x:v>
      </x:c>
      <x:c r="Q1227" s="6">
        <x:v>46273.778320833335</x:v>
      </x:c>
      <x:c r="R1227" s="0"/>
      <x:c r="S1227" s="0"/>
      <x:c r="T1227" s="0"/>
      <x:c r="U1227" s="0"/>
      <x:c r="V1227" s="0"/>
      <x:c r="W1227" s="0"/>
      <x:c r="X1227" t="str" s="2">
        <x:v>9032597049</x:v>
      </x:c>
      <x:c r="Y1227" t="str" s="2">
        <x:v>pintorflor19@gmail.com</x:v>
      </x:c>
      <x:c r="Z1227" s="0"/>
      <x:c r="AA1227" s="0"/>
      <x:c r="AB1227" s="6">
        <x:v>46273.778322453705</x:v>
      </x:c>
      <x:c r="AC1227" t="n" s="2">
        <x:v>39800</x:v>
      </x:c>
      <x:c r="AD1227" s="0"/>
      <x:c r="AE1227" s="0"/>
      <x:c r="AF1227" s="0"/>
      <x:c r="AG1227" s="0"/>
      <x:c r="AH1227" s="0"/>
      <x:c r="AI1227" s="0"/>
      <x:c r="AJ1227" s="0"/>
      <x:c r="AK1227" s="0"/>
    </x:row>
    <x:row r="1228">
      <x:c r="A1228" t="str" s="2">
        <x:f>=HYPERLINK("https://rsms.futurehomex.com/lead/39801", "Ayziah Abner")</x:f>
      </x:c>
      <x:c r="B1228" t="n" s="2">
        <x:v>35</x:v>
      </x:c>
      <x:c r="C1228" t="str" s="2">
        <x:v/>
      </x:c>
      <x:c r="D1228" t="str" s="2">
        <x:f>=""</x:f>
      </x:c>
      <x:c r="E1228" s="0"/>
      <x:c r="F1228" t="str" s="2">
        <x:v>Walk-in</x:v>
      </x:c>
      <x:c r="G1228" t="str" s="2">
        <x:v>Heritage Housing of Augusta</x:v>
      </x:c>
      <x:c r="H1228" t="str" s="2">
        <x:v>Faye Lively</x:v>
      </x:c>
      <x:c r="I1228" t="str" s="2">
        <x:v>Karol Romero</x:v>
      </x:c>
      <x:c r="J1228" t="str" s="2">
        <x:v>Faye Lively</x:v>
      </x:c>
      <x:c r="K1228" t="n" s="2">
        <x:v>5</x:v>
      </x:c>
      <x:c r="L1228" t="str" s="2">
        <x:v>1.1</x:v>
      </x:c>
      <x:c r="M1228" t="str" s="2">
        <x:v>Tentative</x:v>
      </x:c>
      <x:c r="N1228" t="str" s="2">
        <x:v>Deal Created</x:v>
      </x:c>
      <x:c r="O1228" s="0"/>
      <x:c r="P1228" s="6">
        <x:v>46273</x:v>
      </x:c>
      <x:c r="Q1228" s="6">
        <x:v>46280.721669872684</x:v>
      </x:c>
      <x:c r="R1228" s="0"/>
      <x:c r="S1228" s="0"/>
      <x:c r="T1228" s="0"/>
      <x:c r="U1228" s="0"/>
      <x:c r="V1228" s="0"/>
      <x:c r="W1228" s="0"/>
      <x:c r="X1228" t="str" s="2">
        <x:v>2035080294</x:v>
      </x:c>
      <x:c r="Y1228" t="str" s="2">
        <x:v>ayziahabe01@gmail.com</x:v>
      </x:c>
      <x:c r="Z1228" s="0"/>
      <x:c r="AA1228" s="0"/>
      <x:c r="AB1228" s="6">
        <x:v>46273.78726805555</x:v>
      </x:c>
      <x:c r="AC1228" t="n" s="2">
        <x:v>39801</x:v>
      </x:c>
      <x:c r="AD1228" s="0"/>
      <x:c r="AE1228" s="0"/>
      <x:c r="AF1228" s="0"/>
      <x:c r="AG1228" s="0"/>
      <x:c r="AH1228" s="0"/>
      <x:c r="AI1228" s="0"/>
      <x:c r="AJ1228" s="0"/>
      <x:c r="AK1228" s="0"/>
    </x:row>
    <x:row r="1229">
      <x:c r="A1229" t="str" s="2">
        <x:f>=HYPERLINK("https://rsms.futurehomex.com/lead/39802", "Flor Vazquez Rodriguez")</x:f>
      </x:c>
      <x:c r="B1229" t="n" s="2">
        <x:v>35</x:v>
      </x:c>
      <x:c r="C1229" t="str" s="2">
        <x:v>0/4</x:v>
      </x:c>
      <x:c r="D1229" t="str" s="2">
        <x:f>=""</x:f>
      </x:c>
      <x:c r="E1229" s="0"/>
      <x:c r="F1229" t="str" s="2">
        <x:v>Facebook Messenger</x:v>
      </x:c>
      <x:c r="G1229" t="str" s="2">
        <x:v>Heritage Housing of Canton</x:v>
      </x:c>
      <x:c r="H1229" t="str" s="2">
        <x:v>Maira Garcia</x:v>
      </x:c>
      <x:c r="I1229" s="0"/>
      <x:c r="J1229" t="str" s="2">
        <x:v>Maira Garcia</x:v>
      </x:c>
      <x:c r="K1229" t="n" s="2">
        <x:v>40</x:v>
      </x:c>
      <x:c r="L1229" t="str" s="2">
        <x:v>3.3</x:v>
      </x:c>
      <x:c r="M1229" t="str" s="2">
        <x:v>Dead</x:v>
      </x:c>
      <x:c r="N1229" t="str" s="2">
        <x:v>Application</x:v>
      </x:c>
      <x:c r="O1229" s="0"/>
      <x:c r="P1229" s="6">
        <x:v>46273</x:v>
      </x:c>
      <x:c r="Q1229" s="6">
        <x:v>46279.840566087965</x:v>
      </x:c>
      <x:c r="R1229" s="0"/>
      <x:c r="S1229" s="6">
        <x:v>46239</x:v>
      </x:c>
      <x:c r="T1229" s="6">
        <x:v>46273</x:v>
      </x:c>
      <x:c r="U1229" s="6">
        <x:v>46274</x:v>
      </x:c>
      <x:c r="V1229" s="0"/>
      <x:c r="W1229" s="0"/>
      <x:c r="X1229" t="str" s="2">
        <x:v>4699851681</x:v>
      </x:c>
      <x:c r="Y1229" t="str" s="2">
        <x:v>aracely_avr@hotmail.com</x:v>
      </x:c>
      <x:c r="Z1229" s="6">
        <x:v>46290.67592623843</x:v>
      </x:c>
      <x:c r="AA1229" t="str" s="2">
        <x:v>Meliza Banda</x:v>
      </x:c>
      <x:c r="AB1229" s="6">
        <x:v>46273.78958538194</x:v>
      </x:c>
      <x:c r="AC1229" t="n" s="2">
        <x:v>39802</x:v>
      </x:c>
      <x:c r="AD1229" t="str" s="2">
        <x:v>Singlewide</x:v>
      </x:c>
      <x:c r="AE1229" t="str" s="2">
        <x:v>Legacy Housing Corporation</x:v>
      </x:c>
      <x:c r="AF1229" s="7">
        <x:v>12000</x:v>
      </x:c>
      <x:c r="AG1229" s="7">
        <x:v>12000</x:v>
      </x:c>
      <x:c r="AH1229" s="0"/>
      <x:c r="AI1229" t="str" s="2">
        <x:v>0</x:v>
      </x:c>
      <x:c r="AJ1229" s="0"/>
      <x:c r="AK1229" s="0"/>
    </x:row>
    <x:row r="1230">
      <x:c r="A1230" t="str" s="2">
        <x:f>=HYPERLINK("https://rsms.futurehomex.com/lead/39803", "Linda Linda")</x:f>
      </x:c>
      <x:c r="B1230" t="n" s="2">
        <x:v>35</x:v>
      </x:c>
      <x:c r="C1230" t="str" s="2">
        <x:v>0/1</x:v>
      </x:c>
      <x:c r="D1230" t="str" s="2">
        <x:f>=""</x:f>
      </x:c>
      <x:c r="E1230" s="0"/>
      <x:c r="F1230" t="str" s="2">
        <x:v>Meta Ads - Messenger</x:v>
      </x:c>
      <x:c r="G1230" t="str" s="2">
        <x:v>Heritage Housing of Oklahoma City</x:v>
      </x:c>
      <x:c r="H1230" t="str" s="2">
        <x:v>Alejandra Calderon</x:v>
      </x:c>
      <x:c r="I1230" t="str" s="2">
        <x:v>Karol Romero</x:v>
      </x:c>
      <x:c r="J1230" t="str" s="2">
        <x:v>Alejandra Calderon</x:v>
      </x:c>
      <x:c r="K1230" t="n" s="2">
        <x:v>5</x:v>
      </x:c>
      <x:c r="L1230" t="str" s="2">
        <x:v>1.1</x:v>
      </x:c>
      <x:c r="M1230" t="str" s="2">
        <x:v>Dead</x:v>
      </x:c>
      <x:c r="N1230" t="str" s="2">
        <x:v>Deal Created</x:v>
      </x:c>
      <x:c r="O1230" s="0"/>
      <x:c r="P1230" s="6">
        <x:v>46273</x:v>
      </x:c>
      <x:c r="Q1230" s="6">
        <x:v>46273.79776354167</x:v>
      </x:c>
      <x:c r="R1230" s="0"/>
      <x:c r="S1230" s="6">
        <x:v>46273</x:v>
      </x:c>
      <x:c r="T1230" s="0"/>
      <x:c r="U1230" s="0"/>
      <x:c r="V1230" s="0"/>
      <x:c r="W1230" s="0"/>
      <x:c r="X1230" t="str" s="2">
        <x:v>4052090614</x:v>
      </x:c>
      <x:c r="Y1230" t="str" s="2">
        <x:v>4052090614</x:v>
      </x:c>
      <x:c r="Z1230" s="6">
        <x:v>46273.80295960648</x:v>
      </x:c>
      <x:c r="AA1230" t="str" s="2">
        <x:v>Alejandra Calderon</x:v>
      </x:c>
      <x:c r="AB1230" s="6">
        <x:v>46273.797765243056</x:v>
      </x:c>
      <x:c r="AC1230" t="n" s="2">
        <x:v>39803</x:v>
      </x:c>
      <x:c r="AD1230" s="0"/>
      <x:c r="AE1230" s="0"/>
      <x:c r="AF1230" s="0"/>
      <x:c r="AG1230" s="0"/>
      <x:c r="AH1230" s="0"/>
      <x:c r="AI1230" s="0"/>
      <x:c r="AJ1230" s="0"/>
      <x:c r="AK1230" s="0"/>
    </x:row>
    <x:row r="1231">
      <x:c r="A1231" t="str" s="2">
        <x:f>=HYPERLINK("https://rsms.futurehomex.com/lead/39804", "Cheryl Peterson")</x:f>
      </x:c>
      <x:c r="B1231" t="n" s="2">
        <x:v>35</x:v>
      </x:c>
      <x:c r="C1231" t="str" s="2">
        <x:v/>
      </x:c>
      <x:c r="D1231" t="str" s="2">
        <x:f>=""</x:f>
      </x:c>
      <x:c r="E1231" s="0"/>
      <x:c r="F1231" t="str" s="2">
        <x:v>Walk-in</x:v>
      </x:c>
      <x:c r="G1231" t="str" s="2">
        <x:v>Heritage Housing of Asheboro</x:v>
      </x:c>
      <x:c r="H1231" t="str" s="2">
        <x:v>Kate Gutierrez</x:v>
      </x:c>
      <x:c r="I1231" s="0"/>
      <x:c r="J1231" s="0"/>
      <x:c r="K1231" t="n" s="2">
        <x:v>21</x:v>
      </x:c>
      <x:c r="L1231" t="str" s="2">
        <x:v>2.1</x:v>
      </x:c>
      <x:c r="M1231" t="str" s="2">
        <x:v>Tentative</x:v>
      </x:c>
      <x:c r="N1231" t="str" s="2">
        <x:v>Qualified</x:v>
      </x:c>
      <x:c r="O1231" s="0"/>
      <x:c r="P1231" s="6">
        <x:v>46273</x:v>
      </x:c>
      <x:c r="Q1231" s="6">
        <x:v>46282.74215347222</x:v>
      </x:c>
      <x:c r="R1231" s="0"/>
      <x:c r="S1231" s="0"/>
      <x:c r="T1231" s="0"/>
      <x:c r="U1231" s="0"/>
      <x:c r="V1231" s="0"/>
      <x:c r="W1231" s="0"/>
      <x:c r="X1231" t="str" s="2">
        <x:v>3363123813</x:v>
      </x:c>
      <x:c r="Y1231" t="str" s="2">
        <x:v>cowboysncash@yahoo.com</x:v>
      </x:c>
      <x:c r="Z1231" s="6">
        <x:v>46282.74214105324</x:v>
      </x:c>
      <x:c r="AA1231" t="str" s="2">
        <x:v>Jeremy Jacques</x:v>
      </x:c>
      <x:c r="AB1231" s="6">
        <x:v>46273.84783399306</x:v>
      </x:c>
      <x:c r="AC1231" t="n" s="2">
        <x:v>39804</x:v>
      </x:c>
      <x:c r="AD1231" s="0"/>
      <x:c r="AE1231" s="0"/>
      <x:c r="AF1231" s="0"/>
      <x:c r="AG1231" s="0"/>
      <x:c r="AH1231" s="0"/>
      <x:c r="AI1231" s="0"/>
      <x:c r="AJ1231" s="0"/>
      <x:c r="AK1231" s="0"/>
    </x:row>
    <x:row r="1232">
      <x:c r="A1232" t="str" s="2">
        <x:f>=HYPERLINK("https://rsms.futurehomex.com/lead/39805", "Vickie Howell")</x:f>
      </x:c>
      <x:c r="B1232" t="n" s="2">
        <x:v>35</x:v>
      </x:c>
      <x:c r="C1232" t="str" s="2">
        <x:v>1/2</x:v>
      </x:c>
      <x:c r="D1232" t="str" s="2">
        <x:f>=""</x:f>
      </x:c>
      <x:c r="E1232" s="0"/>
      <x:c r="F1232" t="str" s="2">
        <x:v>Facebook Messenger</x:v>
      </x:c>
      <x:c r="G1232" t="str" s="2">
        <x:v>Heritage Housing of Oklahoma City</x:v>
      </x:c>
      <x:c r="H1232" t="str" s="2">
        <x:v>Trey Rixleben</x:v>
      </x:c>
      <x:c r="I1232" t="str" s="2">
        <x:v>Karol Romero</x:v>
      </x:c>
      <x:c r="J1232" t="str" s="2">
        <x:v>Trey Rixleben</x:v>
      </x:c>
      <x:c r="K1232" t="n" s="2">
        <x:v>5</x:v>
      </x:c>
      <x:c r="L1232" t="str" s="2">
        <x:v>1.1</x:v>
      </x:c>
      <x:c r="M1232" t="str" s="2">
        <x:v>Tentative</x:v>
      </x:c>
      <x:c r="N1232" t="str" s="2">
        <x:v>Deal Created</x:v>
      </x:c>
      <x:c r="O1232" s="0"/>
      <x:c r="P1232" s="6">
        <x:v>46273</x:v>
      </x:c>
      <x:c r="Q1232" s="6">
        <x:v>46290.766659837966</x:v>
      </x:c>
      <x:c r="R1232" s="0"/>
      <x:c r="S1232" s="0"/>
      <x:c r="T1232" s="0"/>
      <x:c r="U1232" s="0"/>
      <x:c r="V1232" s="0"/>
      <x:c r="W1232" s="0"/>
      <x:c r="X1232" t="str" s="2">
        <x:v>4053946386</x:v>
      </x:c>
      <x:c r="Y1232" t="str" s="2">
        <x:v>vickiehowell60@gmail.com</x:v>
      </x:c>
      <x:c r="Z1232" s="6">
        <x:v>46290.76876597222</x:v>
      </x:c>
      <x:c r="AA1232" t="str" s="2">
        <x:v>Trey Rixleben</x:v>
      </x:c>
      <x:c r="AB1232" s="6">
        <x:v>46273.85153480324</x:v>
      </x:c>
      <x:c r="AC1232" t="n" s="2">
        <x:v>39805</x:v>
      </x:c>
      <x:c r="AD1232" s="0"/>
      <x:c r="AE1232" s="0"/>
      <x:c r="AF1232" s="0"/>
      <x:c r="AG1232" s="0"/>
      <x:c r="AH1232" s="0"/>
      <x:c r="AI1232" s="0"/>
      <x:c r="AJ1232" s="0"/>
      <x:c r="AK1232" s="0"/>
    </x:row>
    <x:row r="1233">
      <x:c r="A1233" t="str" s="2">
        <x:f>=HYPERLINK("https://rsms.futurehomex.com/lead/39806", "Latoya Guoladdle")</x:f>
      </x:c>
      <x:c r="B1233" t="n" s="2">
        <x:v>35</x:v>
      </x:c>
      <x:c r="C1233" t="str" s="2">
        <x:v>1/1</x:v>
      </x:c>
      <x:c r="D1233" t="str" s="2">
        <x:f>=""</x:f>
      </x:c>
      <x:c r="E1233" s="0"/>
      <x:c r="F1233" t="str" s="2">
        <x:v>Youtube</x:v>
      </x:c>
      <x:c r="G1233" t="str" s="2">
        <x:v>Heritage Housing of Oklahoma City</x:v>
      </x:c>
      <x:c r="H1233" t="str" s="2">
        <x:v>Trey Rixleben</x:v>
      </x:c>
      <x:c r="I1233" s="0"/>
      <x:c r="J1233" t="str" s="2">
        <x:v>Trey Rixleben</x:v>
      </x:c>
      <x:c r="K1233" t="n" s="2">
        <x:v>5</x:v>
      </x:c>
      <x:c r="L1233" t="str" s="2">
        <x:v>1.1</x:v>
      </x:c>
      <x:c r="M1233" t="str" s="2">
        <x:v>Tentative</x:v>
      </x:c>
      <x:c r="N1233" t="str" s="2">
        <x:v>Deal Created</x:v>
      </x:c>
      <x:c r="O1233" s="0"/>
      <x:c r="P1233" s="6">
        <x:v>46273</x:v>
      </x:c>
      <x:c r="Q1233" s="6">
        <x:v>46290.81654652778</x:v>
      </x:c>
      <x:c r="R1233" s="0"/>
      <x:c r="S1233" s="0"/>
      <x:c r="T1233" s="0"/>
      <x:c r="U1233" s="0"/>
      <x:c r="V1233" s="0"/>
      <x:c r="W1233" s="0"/>
      <x:c r="X1233" t="str" s="2">
        <x:v>5802158623</x:v>
      </x:c>
      <x:c r="Y1233" t="str" s="2">
        <x:v>latoyarenee199@gmail.com</x:v>
      </x:c>
      <x:c r="Z1233" s="6">
        <x:v>46290.81820760416</x:v>
      </x:c>
      <x:c r="AA1233" t="str" s="2">
        <x:v>Trey Rixleben</x:v>
      </x:c>
      <x:c r="AB1233" s="6">
        <x:v>46273.86304849537</x:v>
      </x:c>
      <x:c r="AC1233" t="n" s="2">
        <x:v>39806</x:v>
      </x:c>
      <x:c r="AD1233" s="0"/>
      <x:c r="AE1233" s="0"/>
      <x:c r="AF1233" s="0"/>
      <x:c r="AG1233" s="0"/>
      <x:c r="AH1233" s="0"/>
      <x:c r="AI1233" s="0"/>
      <x:c r="AJ1233" s="0"/>
      <x:c r="AK1233" s="0"/>
    </x:row>
    <x:row r="1234">
      <x:c r="A1234" t="str" s="2">
        <x:f>=HYPERLINK("https://rsms.futurehomex.com/lead/39807", "Jim Baker")</x:f>
      </x:c>
      <x:c r="B1234" t="n" s="2">
        <x:v>35</x:v>
      </x:c>
      <x:c r="C1234" t="str" s="2">
        <x:v>0/4</x:v>
      </x:c>
      <x:c r="D1234" t="str" s="2">
        <x:f>=""</x:f>
      </x:c>
      <x:c r="E1234" s="0"/>
      <x:c r="F1234" t="str" s="2">
        <x:v>Bing - Search</x:v>
      </x:c>
      <x:c r="G1234" t="str" s="2">
        <x:v>Heritage Housing of Oklahoma City</x:v>
      </x:c>
      <x:c r="H1234" t="str" s="2">
        <x:v>Steve Castell</x:v>
      </x:c>
      <x:c r="I1234" s="0"/>
      <x:c r="J1234" t="str" s="2">
        <x:v>Steve Castell</x:v>
      </x:c>
      <x:c r="K1234" t="n" s="2">
        <x:v>5</x:v>
      </x:c>
      <x:c r="L1234" t="str" s="2">
        <x:v>1.1</x:v>
      </x:c>
      <x:c r="M1234" t="str" s="2">
        <x:v>Inactive</x:v>
      </x:c>
      <x:c r="N1234" t="str" s="2">
        <x:v>Deal Created</x:v>
      </x:c>
      <x:c r="O1234" s="0"/>
      <x:c r="P1234" s="6">
        <x:v>46273</x:v>
      </x:c>
      <x:c r="Q1234" s="6">
        <x:v>46273.86458491898</x:v>
      </x:c>
      <x:c r="R1234" s="0"/>
      <x:c r="S1234" s="0"/>
      <x:c r="T1234" s="0"/>
      <x:c r="U1234" s="0"/>
      <x:c r="V1234" s="0"/>
      <x:c r="W1234" s="0"/>
      <x:c r="X1234" t="str" s="2">
        <x:v>(405)612-1099</x:v>
      </x:c>
      <x:c r="Y1234" t="str" s="2">
        <x:v>jimrbakerb@netscape.net</x:v>
      </x:c>
      <x:c r="Z1234" s="6">
        <x:v>46290.085725613426</x:v>
      </x:c>
      <x:c r="AA1234" t="str" s="2">
        <x:v>Steve Castell</x:v>
      </x:c>
      <x:c r="AB1234" s="6">
        <x:v>46273.864585648145</x:v>
      </x:c>
      <x:c r="AC1234" t="n" s="2">
        <x:v>39807</x:v>
      </x:c>
      <x:c r="AD1234" s="0"/>
      <x:c r="AE1234" s="0"/>
      <x:c r="AF1234" s="0"/>
      <x:c r="AG1234" s="0"/>
      <x:c r="AH1234" s="0"/>
      <x:c r="AI1234" s="0"/>
      <x:c r="AJ1234" s="0"/>
      <x:c r="AK1234" s="0"/>
    </x:row>
    <x:row r="1235">
      <x:c r="A1235" t="str" s="2">
        <x:f>=HYPERLINK("https://rsms.futurehomex.com/lead/39808", "Laquinia Banks")</x:f>
      </x:c>
      <x:c r="B1235" t="n" s="2">
        <x:v>35</x:v>
      </x:c>
      <x:c r="C1235" t="str" s="2">
        <x:v>0/1</x:v>
      </x:c>
      <x:c r="D1235" t="str" s="2">
        <x:f>=""</x:f>
      </x:c>
      <x:c r="E1235" s="0"/>
      <x:c r="F1235" t="str" s="2">
        <x:v>Landing_BPM</x:v>
      </x:c>
      <x:c r="G1235" t="str" s="2">
        <x:v>Heritage Housing of Oklahoma City</x:v>
      </x:c>
      <x:c r="H1235" t="str" s="2">
        <x:v>Trey Rixleben</x:v>
      </x:c>
      <x:c r="I1235" s="0"/>
      <x:c r="J1235" t="str" s="2">
        <x:v>Trey Rixleben</x:v>
      </x:c>
      <x:c r="K1235" t="n" s="2">
        <x:v>5</x:v>
      </x:c>
      <x:c r="L1235" t="str" s="2">
        <x:v>1.1</x:v>
      </x:c>
      <x:c r="M1235" t="str" s="2">
        <x:v>Dead</x:v>
      </x:c>
      <x:c r="N1235" t="str" s="2">
        <x:v>Deal Created</x:v>
      </x:c>
      <x:c r="O1235" s="0"/>
      <x:c r="P1235" s="6">
        <x:v>46273</x:v>
      </x:c>
      <x:c r="Q1235" s="6">
        <x:v>46273.87396319444</x:v>
      </x:c>
      <x:c r="R1235" s="0"/>
      <x:c r="S1235" s="0"/>
      <x:c r="T1235" s="0"/>
      <x:c r="U1235" s="0"/>
      <x:c r="V1235" s="0"/>
      <x:c r="W1235" s="0"/>
      <x:c r="X1235" t="str" s="2">
        <x:v>4054334164</x:v>
      </x:c>
      <x:c r="Y1235" t="str" s="2">
        <x:v>mulareenae@gmail.com</x:v>
      </x:c>
      <x:c r="Z1235" s="6">
        <x:v>46274.65316994213</x:v>
      </x:c>
      <x:c r="AA1235" t="str" s="2">
        <x:v>Richard Bell</x:v>
      </x:c>
      <x:c r="AB1235" s="6">
        <x:v>46273.87371380787</x:v>
      </x:c>
      <x:c r="AC1235" t="n" s="2">
        <x:v>39808</x:v>
      </x:c>
      <x:c r="AD1235" s="0"/>
      <x:c r="AE1235" s="0"/>
      <x:c r="AF1235" s="0"/>
      <x:c r="AG1235" s="0"/>
      <x:c r="AH1235" s="0"/>
      <x:c r="AI1235" s="0"/>
      <x:c r="AJ1235" s="0"/>
      <x:c r="AK1235" s="0"/>
    </x:row>
    <x:row r="1236">
      <x:c r="A1236" t="str" s="2">
        <x:f>=HYPERLINK("https://rsms.futurehomex.com/lead/39809", "Mike Moore")</x:f>
      </x:c>
      <x:c r="B1236" t="n" s="2">
        <x:v>35</x:v>
      </x:c>
      <x:c r="C1236" t="str" s="2">
        <x:v>1/1</x:v>
      </x:c>
      <x:c r="D1236" t="str" s="2">
        <x:f>=""</x:f>
      </x:c>
      <x:c r="E1236" s="0"/>
      <x:c r="F1236" t="str" s="2">
        <x:v>Meta Ads - Traffic</x:v>
      </x:c>
      <x:c r="G1236" t="str" s="2">
        <x:v>Heritage Housing of Oklahoma City</x:v>
      </x:c>
      <x:c r="H1236" t="str" s="2">
        <x:v>Trey Rixleben</x:v>
      </x:c>
      <x:c r="I1236" s="0"/>
      <x:c r="J1236" s="0"/>
      <x:c r="K1236" t="n" s="2">
        <x:v>5</x:v>
      </x:c>
      <x:c r="L1236" t="str" s="2">
        <x:v>1.1</x:v>
      </x:c>
      <x:c r="M1236" t="str" s="2">
        <x:v>Tentative</x:v>
      </x:c>
      <x:c r="N1236" t="str" s="2">
        <x:v>Deal Created</x:v>
      </x:c>
      <x:c r="O1236" s="0"/>
      <x:c r="P1236" s="6">
        <x:v>46273</x:v>
      </x:c>
      <x:c r="Q1236" s="6">
        <x:v>46273.889222997685</x:v>
      </x:c>
      <x:c r="R1236" s="0"/>
      <x:c r="S1236" s="0"/>
      <x:c r="T1236" s="0"/>
      <x:c r="U1236" s="0"/>
      <x:c r="V1236" s="0"/>
      <x:c r="W1236" s="0"/>
      <x:c r="X1236" t="str" s="2">
        <x:v>4053089700</x:v>
      </x:c>
      <x:c r="Y1236" t="str" s="2">
        <x:v>mem.sec.96@ghmail.com</x:v>
      </x:c>
      <x:c r="Z1236" s="6">
        <x:v>46274.59869675926</x:v>
      </x:c>
      <x:c r="AA1236" t="str" s="2">
        <x:v>Trey Rixleben</x:v>
      </x:c>
      <x:c r="AB1236" s="6">
        <x:v>46273.889225150466</x:v>
      </x:c>
      <x:c r="AC1236" t="n" s="2">
        <x:v>39809</x:v>
      </x:c>
      <x:c r="AD1236" s="0"/>
      <x:c r="AE1236" s="0"/>
      <x:c r="AF1236" s="0"/>
      <x:c r="AG1236" s="0"/>
      <x:c r="AH1236" s="0"/>
      <x:c r="AI1236" s="0"/>
      <x:c r="AJ1236" s="0"/>
      <x:c r="AK1236" s="0"/>
    </x:row>
    <x:row r="1237">
      <x:c r="A1237" t="str" s="2">
        <x:f>=HYPERLINK("https://rsms.futurehomex.com/lead/39810", "Hugo Sanchez")</x:f>
      </x:c>
      <x:c r="B1237" t="n" s="2">
        <x:v>35</x:v>
      </x:c>
      <x:c r="C1237" t="str" s="2">
        <x:v>0/3</x:v>
      </x:c>
      <x:c r="D1237" t="str" s="2">
        <x:f>=""</x:f>
      </x:c>
      <x:c r="E1237" s="0"/>
      <x:c r="F1237" t="str" s="2">
        <x:v>Facebook Messenger</x:v>
      </x:c>
      <x:c r="G1237" t="str" s="2">
        <x:v>Heritage Housing Mt Pleasant</x:v>
      </x:c>
      <x:c r="H1237" t="str" s="2">
        <x:v>Sandra Saldana</x:v>
      </x:c>
      <x:c r="I1237" s="0"/>
      <x:c r="J1237" t="str" s="2">
        <x:v>Sandra Saldana</x:v>
      </x:c>
      <x:c r="K1237" t="n" s="2">
        <x:v>59</x:v>
      </x:c>
      <x:c r="L1237" t="str" s="2">
        <x:v>4.3</x:v>
      </x:c>
      <x:c r="M1237" t="str" s="2">
        <x:v>Active</x:v>
      </x:c>
      <x:c r="N1237" t="str" s="2">
        <x:v>Loan Approved</x:v>
      </x:c>
      <x:c r="O1237" s="0"/>
      <x:c r="P1237" s="6">
        <x:v>46273</x:v>
      </x:c>
      <x:c r="Q1237" s="6">
        <x:v>46279.684327662035</x:v>
      </x:c>
      <x:c r="R1237" t="str" s="2">
        <x:v>Sandra Saldana</x:v>
      </x:c>
      <x:c r="S1237" s="6">
        <x:v>46273</x:v>
      </x:c>
      <x:c r="T1237" s="6">
        <x:v>46273</x:v>
      </x:c>
      <x:c r="U1237" s="6">
        <x:v>46279</x:v>
      </x:c>
      <x:c r="V1237" s="6">
        <x:v>46279</x:v>
      </x:c>
      <x:c r="W1237" s="0"/>
      <x:c r="X1237" t="str" s="2">
        <x:v>9037048029</x:v>
      </x:c>
      <x:c r="Y1237" t="str" s="2">
        <x:v>Eap2497@yahoo.com</x:v>
      </x:c>
      <x:c r="Z1237" s="6">
        <x:v>46280.87558260417</x:v>
      </x:c>
      <x:c r="AA1237" t="str" s="2">
        <x:v>Sandra Saldana</x:v>
      </x:c>
      <x:c r="AB1237" s="6">
        <x:v>46273.920146875</x:v>
      </x:c>
      <x:c r="AC1237" t="n" s="2">
        <x:v>39810</x:v>
      </x:c>
      <x:c r="AD1237" t="str" s="2">
        <x:v>Singlewide</x:v>
      </x:c>
      <x:c r="AE1237" t="str" s="2">
        <x:v>Legacy Housing Corporation</x:v>
      </x:c>
      <x:c r="AF1237" s="7">
        <x:v>8250</x:v>
      </x:c>
      <x:c r="AG1237" s="7">
        <x:v>8250</x:v>
      </x:c>
      <x:c r="AH1237" s="0"/>
      <x:c r="AI1237" t="str" s="2">
        <x:v>687</x:v>
      </x:c>
      <x:c r="AJ1237" s="0"/>
      <x:c r="AK1237" s="0"/>
    </x:row>
    <x:row r="1238">
      <x:c r="A1238" t="str" s="2">
        <x:f>=HYPERLINK("https://rsms.futurehomex.com/lead/39813", "Shelly Stuart")</x:f>
      </x:c>
      <x:c r="B1238" t="n" s="2">
        <x:v>35</x:v>
      </x:c>
      <x:c r="C1238" t="str" s="2">
        <x:v/>
      </x:c>
      <x:c r="D1238" t="str" s="2">
        <x:f>=""</x:f>
      </x:c>
      <x:c r="E1238" s="0"/>
      <x:c r="F1238" t="str" s="2">
        <x:v>Website</x:v>
      </x:c>
      <x:c r="G1238" t="str" s="2">
        <x:v>Heritage Housing of Tulsa</x:v>
      </x:c>
      <x:c r="H1238" t="str" s="2">
        <x:v>Jenna Fransisco</x:v>
      </x:c>
      <x:c r="I1238" s="0"/>
      <x:c r="J1238" t="str" s="2">
        <x:v>Jenna Fransisco</x:v>
      </x:c>
      <x:c r="K1238" t="n" s="2">
        <x:v>5</x:v>
      </x:c>
      <x:c r="L1238" t="str" s="2">
        <x:v>1.1</x:v>
      </x:c>
      <x:c r="M1238" t="str" s="2">
        <x:v>Tentative</x:v>
      </x:c>
      <x:c r="N1238" t="str" s="2">
        <x:v>Deal Created</x:v>
      </x:c>
      <x:c r="O1238" s="0"/>
      <x:c r="P1238" s="6">
        <x:v>46273</x:v>
      </x:c>
      <x:c r="Q1238" s="6">
        <x:v>46273.933122372684</x:v>
      </x:c>
      <x:c r="R1238" s="0"/>
      <x:c r="S1238" s="0"/>
      <x:c r="T1238" s="0"/>
      <x:c r="U1238" s="0"/>
      <x:c r="V1238" s="0"/>
      <x:c r="W1238" s="0"/>
      <x:c r="X1238" t="str" s="2">
        <x:v>4798490274</x:v>
      </x:c>
      <x:c r="Y1238" t="str" s="2">
        <x:v>shellymae.stuart1987@gmail.com</x:v>
      </x:c>
      <x:c r="Z1238" s="0"/>
      <x:c r="AA1238" s="0"/>
      <x:c r="AB1238" s="6">
        <x:v>46273.93312395833</x:v>
      </x:c>
      <x:c r="AC1238" t="n" s="2">
        <x:v>39813</x:v>
      </x:c>
      <x:c r="AD1238" s="0"/>
      <x:c r="AE1238" s="0"/>
      <x:c r="AF1238" s="0"/>
      <x:c r="AG1238" s="0"/>
      <x:c r="AH1238" s="0"/>
      <x:c r="AI1238" s="0"/>
      <x:c r="AJ1238" s="0"/>
      <x:c r="AK1238" s="0"/>
    </x:row>
    <x:row r="1239">
      <x:c r="A1239" t="str" s="2">
        <x:f>=HYPERLINK("https://rsms.futurehomex.com/lead/39814", "Christina Sharp")</x:f>
      </x:c>
      <x:c r="B1239" t="n" s="2">
        <x:v>35</x:v>
      </x:c>
      <x:c r="C1239" t="str" s="2">
        <x:v>0/1</x:v>
      </x:c>
      <x:c r="D1239" t="str" s="2">
        <x:f>=""</x:f>
      </x:c>
      <x:c r="E1239" s="0"/>
      <x:c r="F1239" t="str" s="2">
        <x:v>Walk-in</x:v>
      </x:c>
      <x:c r="G1239" t="str" s="2">
        <x:v>Heritage Housing of Augusta</x:v>
      </x:c>
      <x:c r="H1239" t="str" s="2">
        <x:v>Jennifer Johnson</x:v>
      </x:c>
      <x:c r="I1239" s="0"/>
      <x:c r="J1239" t="str" s="2">
        <x:v>Jennifer Johnson</x:v>
      </x:c>
      <x:c r="K1239" t="n" s="2">
        <x:v>5</x:v>
      </x:c>
      <x:c r="L1239" t="str" s="2">
        <x:v>1.1</x:v>
      </x:c>
      <x:c r="M1239" t="str" s="2">
        <x:v>Tentative</x:v>
      </x:c>
      <x:c r="N1239" t="str" s="2">
        <x:v>Prospect</x:v>
      </x:c>
      <x:c r="O1239" s="0"/>
      <x:c r="P1239" s="6">
        <x:v>46273</x:v>
      </x:c>
      <x:c r="Q1239" s="6">
        <x:v>46280.87157002315</x:v>
      </x:c>
      <x:c r="R1239" s="0"/>
      <x:c r="S1239" s="0"/>
      <x:c r="T1239" s="0"/>
      <x:c r="U1239" s="0"/>
      <x:c r="V1239" s="0"/>
      <x:c r="W1239" s="0"/>
      <x:c r="X1239" t="str" s="2">
        <x:v>8039894399</x:v>
      </x:c>
      <x:c r="Y1239" t="str" s="2">
        <x:v>christina.theidocionlaw@gmail.com</x:v>
      </x:c>
      <x:c r="Z1239" s="6">
        <x:v>46298.708164351854</x:v>
      </x:c>
      <x:c r="AA1239" t="str" s="2">
        <x:v>Jennifer Johnson</x:v>
      </x:c>
      <x:c r="AB1239" s="6">
        <x:v>46273.940472685186</x:v>
      </x:c>
      <x:c r="AC1239" t="n" s="2">
        <x:v>39814</x:v>
      </x:c>
      <x:c r="AD1239" s="0"/>
      <x:c r="AE1239" s="0"/>
      <x:c r="AF1239" s="0"/>
      <x:c r="AG1239" s="0"/>
      <x:c r="AH1239" s="0"/>
      <x:c r="AI1239" s="0"/>
      <x:c r="AJ1239" s="0"/>
      <x:c r="AK1239" s="0"/>
    </x:row>
    <x:row r="1240">
      <x:c r="A1240" t="str" s="2">
        <x:f>=HYPERLINK("https://rsms.futurehomex.com/lead/39815", "Angela Johnson")</x:f>
      </x:c>
      <x:c r="B1240" t="n" s="2">
        <x:v>35</x:v>
      </x:c>
      <x:c r="C1240" t="str" s="2">
        <x:v/>
      </x:c>
      <x:c r="D1240" t="str" s="2">
        <x:f>=""</x:f>
      </x:c>
      <x:c r="E1240" s="0"/>
      <x:c r="F1240" t="str" s="2">
        <x:v>Website</x:v>
      </x:c>
      <x:c r="G1240" t="str" s="2">
        <x:v>Heritage Housing of Tulsa</x:v>
      </x:c>
      <x:c r="H1240" t="str" s="2">
        <x:v>Jenna Fransisco</x:v>
      </x:c>
      <x:c r="I1240" s="0"/>
      <x:c r="J1240" t="str" s="2">
        <x:v>Jenna Fransisco</x:v>
      </x:c>
      <x:c r="K1240" t="n" s="2">
        <x:v>5</x:v>
      </x:c>
      <x:c r="L1240" t="str" s="2">
        <x:v>1.1</x:v>
      </x:c>
      <x:c r="M1240" t="str" s="2">
        <x:v>Tentative</x:v>
      </x:c>
      <x:c r="N1240" t="str" s="2">
        <x:v>Deal Created</x:v>
      </x:c>
      <x:c r="O1240" s="0"/>
      <x:c r="P1240" s="6">
        <x:v>46273</x:v>
      </x:c>
      <x:c r="Q1240" s="6">
        <x:v>46273.94524383102</x:v>
      </x:c>
      <x:c r="R1240" s="0"/>
      <x:c r="S1240" s="0"/>
      <x:c r="T1240" s="0"/>
      <x:c r="U1240" s="0"/>
      <x:c r="V1240" s="0"/>
      <x:c r="W1240" s="0"/>
      <x:c r="X1240" t="str" s="2">
        <x:v>2142811559</x:v>
      </x:c>
      <x:c r="Y1240" t="str" s="2">
        <x:v>mrsangelarjohnson11@gmail.com</x:v>
      </x:c>
      <x:c r="Z1240" s="0"/>
      <x:c r="AA1240" s="0"/>
      <x:c r="AB1240" s="6">
        <x:v>46273.943533530095</x:v>
      </x:c>
      <x:c r="AC1240" t="n" s="2">
        <x:v>39815</x:v>
      </x:c>
      <x:c r="AD1240" s="0"/>
      <x:c r="AE1240" s="0"/>
      <x:c r="AF1240" s="0"/>
      <x:c r="AG1240" s="0"/>
      <x:c r="AH1240" s="0"/>
      <x:c r="AI1240" s="0"/>
      <x:c r="AJ1240" s="0"/>
      <x:c r="AK1240" s="0"/>
    </x:row>
    <x:row r="1241">
      <x:c r="A1241" t="str" s="2">
        <x:f>=HYPERLINK("https://rsms.futurehomex.com/lead/39816", "Matthew Prindiville")</x:f>
      </x:c>
      <x:c r="B1241" t="n" s="2">
        <x:v>35</x:v>
      </x:c>
      <x:c r="C1241" t="str" s="2">
        <x:v>1/3</x:v>
      </x:c>
      <x:c r="D1241" t="str" s="2">
        <x:f>=""</x:f>
      </x:c>
      <x:c r="E1241" s="0"/>
      <x:c r="F1241" t="str" s="2">
        <x:v>Facebook Messenger</x:v>
      </x:c>
      <x:c r="G1241" t="str" s="2">
        <x:v>Heritage Housing of Oklahoma City</x:v>
      </x:c>
      <x:c r="H1241" t="str" s="2">
        <x:v>Trey Rixleben</x:v>
      </x:c>
      <x:c r="I1241" s="0"/>
      <x:c r="J1241" t="str" s="2">
        <x:v>Gianna Cervantes</x:v>
      </x:c>
      <x:c r="K1241" t="n" s="2">
        <x:v>5</x:v>
      </x:c>
      <x:c r="L1241" t="str" s="2">
        <x:v>1.1</x:v>
      </x:c>
      <x:c r="M1241" t="str" s="2">
        <x:v>Tentative</x:v>
      </x:c>
      <x:c r="N1241" t="str" s="2">
        <x:v>Deal Created</x:v>
      </x:c>
      <x:c r="O1241" s="0"/>
      <x:c r="P1241" s="6">
        <x:v>46273</x:v>
      </x:c>
      <x:c r="Q1241" s="6">
        <x:v>46273.96957584491</x:v>
      </x:c>
      <x:c r="R1241" s="0"/>
      <x:c r="S1241" s="0"/>
      <x:c r="T1241" s="0"/>
      <x:c r="U1241" s="0"/>
      <x:c r="V1241" s="0"/>
      <x:c r="W1241" s="0"/>
      <x:c r="X1241" t="str" s="2">
        <x:v>2144256181</x:v>
      </x:c>
      <x:c r="Y1241" t="str" s="2">
        <x:v>2144256181</x:v>
      </x:c>
      <x:c r="Z1241" s="6">
        <x:v>46297.57771481481</x:v>
      </x:c>
      <x:c r="AA1241" t="str" s="2">
        <x:v>Trey Rixleben</x:v>
      </x:c>
      <x:c r="AB1241" s="6">
        <x:v>46279.714187384256</x:v>
      </x:c>
      <x:c r="AC1241" t="n" s="2">
        <x:v>39816</x:v>
      </x:c>
      <x:c r="AD1241" s="0"/>
      <x:c r="AE1241" s="0"/>
      <x:c r="AF1241" s="0"/>
      <x:c r="AG1241" s="0"/>
      <x:c r="AH1241" s="0"/>
      <x:c r="AI1241" s="0"/>
      <x:c r="AJ1241" s="0"/>
      <x:c r="AK1241" s="0"/>
    </x:row>
    <x:row r="1242">
      <x:c r="A1242" t="str" s="2">
        <x:f>=HYPERLINK("https://rsms.futurehomex.com/lead/39817", "christie calhoun")</x:f>
      </x:c>
      <x:c r="B1242" t="n" s="2">
        <x:v>35</x:v>
      </x:c>
      <x:c r="C1242" t="str" s="2">
        <x:v/>
      </x:c>
      <x:c r="D1242" t="str" s="2">
        <x:f>=""</x:f>
      </x:c>
      <x:c r="E1242" s="0"/>
      <x:c r="F1242" t="str" s="2">
        <x:v>Youtube</x:v>
      </x:c>
      <x:c r="G1242" t="str" s="2">
        <x:v>Heritage Housing of Oklahoma City</x:v>
      </x:c>
      <x:c r="H1242" t="str" s="2">
        <x:v>Steve Castell</x:v>
      </x:c>
      <x:c r="I1242" s="0"/>
      <x:c r="J1242" t="str" s="2">
        <x:v>Steve Castell</x:v>
      </x:c>
      <x:c r="K1242" t="n" s="2">
        <x:v>5</x:v>
      </x:c>
      <x:c r="L1242" t="str" s="2">
        <x:v>1.1</x:v>
      </x:c>
      <x:c r="M1242" t="str" s="2">
        <x:v>Inactive</x:v>
      </x:c>
      <x:c r="N1242" t="str" s="2">
        <x:v>Deal Created</x:v>
      </x:c>
      <x:c r="O1242" s="0"/>
      <x:c r="P1242" s="6">
        <x:v>46273</x:v>
      </x:c>
      <x:c r="Q1242" s="6">
        <x:v>46273.9967253125</x:v>
      </x:c>
      <x:c r="R1242" s="0"/>
      <x:c r="S1242" s="0"/>
      <x:c r="T1242" s="0"/>
      <x:c r="U1242" s="0"/>
      <x:c r="V1242" s="0"/>
      <x:c r="W1242" s="0"/>
      <x:c r="X1242" t="str" s="2">
        <x:v>4054933892</x:v>
      </x:c>
      <x:c r="Y1242" t="str" s="2">
        <x:v>loviecalhoun25@gmail.com</x:v>
      </x:c>
      <x:c r="Z1242" s="6">
        <x:v>46274.00540864583</x:v>
      </x:c>
      <x:c r="AA1242" t="str" s="2">
        <x:v>Steve Castell</x:v>
      </x:c>
      <x:c r="AB1242" s="6">
        <x:v>46273.99672577546</x:v>
      </x:c>
      <x:c r="AC1242" t="n" s="2">
        <x:v>39817</x:v>
      </x:c>
      <x:c r="AD1242" s="0"/>
      <x:c r="AE1242" s="0"/>
      <x:c r="AF1242" s="0"/>
      <x:c r="AG1242" s="0"/>
      <x:c r="AH1242" s="0"/>
      <x:c r="AI1242" s="0"/>
      <x:c r="AJ1242" s="0"/>
      <x:c r="AK1242" s="0"/>
    </x:row>
    <x:row r="1243">
      <x:c r="A1243" t="str" s="2">
        <x:f>=HYPERLINK("https://rsms.futurehomex.com/lead/39818", "Edward Marvin")</x:f>
      </x:c>
      <x:c r="B1243" t="n" s="2">
        <x:v>34</x:v>
      </x:c>
      <x:c r="C1243" t="str" s="2">
        <x:v>1/4</x:v>
      </x:c>
      <x:c r="D1243" t="str" s="2">
        <x:f>=""</x:f>
      </x:c>
      <x:c r="E1243" s="0"/>
      <x:c r="F1243" t="str" s="2">
        <x:v>Landing_BPM</x:v>
      </x:c>
      <x:c r="G1243" t="str" s="2">
        <x:v>Heritage Housing of Oklahoma City</x:v>
      </x:c>
      <x:c r="H1243" t="str" s="2">
        <x:v>Steve Castell</x:v>
      </x:c>
      <x:c r="I1243" s="0"/>
      <x:c r="J1243" t="str" s="2">
        <x:v>Steve Castell</x:v>
      </x:c>
      <x:c r="K1243" t="n" s="2">
        <x:v>5</x:v>
      </x:c>
      <x:c r="L1243" t="str" s="2">
        <x:v>1.1</x:v>
      </x:c>
      <x:c r="M1243" t="str" s="2">
        <x:v>Tentative</x:v>
      </x:c>
      <x:c r="N1243" t="str" s="2">
        <x:v>Deal Created</x:v>
      </x:c>
      <x:c r="O1243" s="0"/>
      <x:c r="P1243" s="6">
        <x:v>46274</x:v>
      </x:c>
      <x:c r="Q1243" s="6">
        <x:v>46274.026588043984</x:v>
      </x:c>
      <x:c r="R1243" s="0"/>
      <x:c r="S1243" s="0"/>
      <x:c r="T1243" s="0"/>
      <x:c r="U1243" s="0"/>
      <x:c r="V1243" s="0"/>
      <x:c r="W1243" s="0"/>
      <x:c r="X1243" t="str" s="2">
        <x:v>4057791975</x:v>
      </x:c>
      <x:c r="Y1243" t="str" s="2">
        <x:v>mred12546@gmail.com</x:v>
      </x:c>
      <x:c r="Z1243" s="6">
        <x:v>46294.948226886576</x:v>
      </x:c>
      <x:c r="AA1243" t="str" s="2">
        <x:v>Steve Castell</x:v>
      </x:c>
      <x:c r="AB1243" s="6">
        <x:v>46274.02658854167</x:v>
      </x:c>
      <x:c r="AC1243" t="n" s="2">
        <x:v>39818</x:v>
      </x:c>
      <x:c r="AD1243" s="0"/>
      <x:c r="AE1243" s="0"/>
      <x:c r="AF1243" s="0"/>
      <x:c r="AG1243" s="0"/>
      <x:c r="AH1243" s="0"/>
      <x:c r="AI1243" s="0"/>
      <x:c r="AJ1243" s="0"/>
      <x:c r="AK1243" s="0"/>
    </x:row>
    <x:row r="1244">
      <x:c r="A1244" t="str" s="2">
        <x:f>=HYPERLINK("https://rsms.futurehomex.com/lead/39819", "Logan Tow")</x:f>
      </x:c>
      <x:c r="B1244" t="n" s="2">
        <x:v>34</x:v>
      </x:c>
      <x:c r="C1244" t="str" s="2">
        <x:v>0/4</x:v>
      </x:c>
      <x:c r="D1244" t="str" s="2">
        <x:f>=""</x:f>
      </x:c>
      <x:c r="E1244" s="0"/>
      <x:c r="F1244" t="str" s="2">
        <x:v>Youtube</x:v>
      </x:c>
      <x:c r="G1244" t="str" s="2">
        <x:v>Heritage Housing of Oklahoma City</x:v>
      </x:c>
      <x:c r="H1244" t="str" s="2">
        <x:v>Steve Castell</x:v>
      </x:c>
      <x:c r="I1244" s="0"/>
      <x:c r="J1244" t="str" s="2">
        <x:v>Steve Castell</x:v>
      </x:c>
      <x:c r="K1244" t="n" s="2">
        <x:v>5</x:v>
      </x:c>
      <x:c r="L1244" t="str" s="2">
        <x:v>1.1</x:v>
      </x:c>
      <x:c r="M1244" t="str" s="2">
        <x:v>Inactive</x:v>
      </x:c>
      <x:c r="N1244" t="str" s="2">
        <x:v>Deal Created</x:v>
      </x:c>
      <x:c r="O1244" s="0"/>
      <x:c r="P1244" s="6">
        <x:v>46274</x:v>
      </x:c>
      <x:c r="Q1244" s="6">
        <x:v>46274.034916585646</x:v>
      </x:c>
      <x:c r="R1244" s="0"/>
      <x:c r="S1244" s="0"/>
      <x:c r="T1244" s="0"/>
      <x:c r="U1244" s="0"/>
      <x:c r="V1244" s="0"/>
      <x:c r="W1244" s="0"/>
      <x:c r="X1244" t="str" s="2">
        <x:v>4055746446</x:v>
      </x:c>
      <x:c r="Y1244" t="str" s="2">
        <x:v>loganltow86@gmail.com</x:v>
      </x:c>
      <x:c r="Z1244" s="6">
        <x:v>46308.1375934838</x:v>
      </x:c>
      <x:c r="AA1244" t="str" s="2">
        <x:v>Steve Castell</x:v>
      </x:c>
      <x:c r="AB1244" s="6">
        <x:v>46274.03491712963</x:v>
      </x:c>
      <x:c r="AC1244" t="n" s="2">
        <x:v>39819</x:v>
      </x:c>
      <x:c r="AD1244" s="0"/>
      <x:c r="AE1244" s="0"/>
      <x:c r="AF1244" s="0"/>
      <x:c r="AG1244" s="0"/>
      <x:c r="AH1244" s="0"/>
      <x:c r="AI1244" s="0"/>
      <x:c r="AJ1244" s="0"/>
      <x:c r="AK1244" s="0"/>
    </x:row>
    <x:row r="1245">
      <x:c r="A1245" t="str" s="2">
        <x:f>=HYPERLINK("https://rsms.futurehomex.com/lead/39820", "Cheyana Stout")</x:f>
      </x:c>
      <x:c r="B1245" t="n" s="2">
        <x:v>34</x:v>
      </x:c>
      <x:c r="C1245" t="str" s="2">
        <x:v>0/1</x:v>
      </x:c>
      <x:c r="D1245" t="str" s="2">
        <x:f>=""</x:f>
      </x:c>
      <x:c r="E1245" s="0"/>
      <x:c r="F1245" t="str" s="2">
        <x:v>Landing_BPM</x:v>
      </x:c>
      <x:c r="G1245" t="str" s="2">
        <x:v>Heritage Housing of Oklahoma City</x:v>
      </x:c>
      <x:c r="H1245" t="str" s="2">
        <x:v>Trey Rixleben</x:v>
      </x:c>
      <x:c r="I1245" s="0"/>
      <x:c r="J1245" t="str" s="2">
        <x:v>Trey Rixleben</x:v>
      </x:c>
      <x:c r="K1245" t="n" s="2">
        <x:v>5</x:v>
      </x:c>
      <x:c r="L1245" t="str" s="2">
        <x:v>1.1</x:v>
      </x:c>
      <x:c r="M1245" t="str" s="2">
        <x:v>Dead</x:v>
      </x:c>
      <x:c r="N1245" t="str" s="2">
        <x:v>Deal Created</x:v>
      </x:c>
      <x:c r="O1245" s="0"/>
      <x:c r="P1245" s="6">
        <x:v>46274</x:v>
      </x:c>
      <x:c r="Q1245" s="6">
        <x:v>46279.9574602662</x:v>
      </x:c>
      <x:c r="R1245" s="0"/>
      <x:c r="S1245" s="0"/>
      <x:c r="T1245" s="0"/>
      <x:c r="U1245" s="0"/>
      <x:c r="V1245" s="0"/>
      <x:c r="W1245" s="0"/>
      <x:c r="X1245" t="str" s="2">
        <x:v>4058889982</x:v>
      </x:c>
      <x:c r="Y1245" t="str" s="2">
        <x:v>Cheyanastout9@gmail.com</x:v>
      </x:c>
      <x:c r="Z1245" s="6">
        <x:v>46282.784029166665</x:v>
      </x:c>
      <x:c r="AA1245" t="str" s="2">
        <x:v>Richard Bell</x:v>
      </x:c>
      <x:c r="AB1245" s="6">
        <x:v>46274.584065625</x:v>
      </x:c>
      <x:c r="AC1245" t="n" s="2">
        <x:v>39820</x:v>
      </x:c>
      <x:c r="AD1245" s="0"/>
      <x:c r="AE1245" s="0"/>
      <x:c r="AF1245" s="0"/>
      <x:c r="AG1245" s="0"/>
      <x:c r="AH1245" s="0"/>
      <x:c r="AI1245" s="0"/>
      <x:c r="AJ1245" s="0"/>
      <x:c r="AK1245" s="0"/>
    </x:row>
    <x:row r="1246">
      <x:c r="A1246" t="str" s="2">
        <x:f>=HYPERLINK("https://rsms.futurehomex.com/lead/39821", "David Brazeal")</x:f>
      </x:c>
      <x:c r="B1246" t="n" s="2">
        <x:v>34</x:v>
      </x:c>
      <x:c r="C1246" t="str" s="2">
        <x:v>0/2</x:v>
      </x:c>
      <x:c r="D1246" t="str" s="2">
        <x:f>=""</x:f>
      </x:c>
      <x:c r="E1246" t="str" s="2">
        <x:v>Amber Barnhart</x:v>
      </x:c>
      <x:c r="F1246" t="str" s="2">
        <x:v>Facebook Messenger</x:v>
      </x:c>
      <x:c r="G1246" t="str" s="2">
        <x:v>Heritage Housing of Oklahoma City</x:v>
      </x:c>
      <x:c r="H1246" t="str" s="2">
        <x:v>Steve Castell</x:v>
      </x:c>
      <x:c r="I1246" s="0"/>
      <x:c r="J1246" t="str" s="2">
        <x:v>Steve Castell</x:v>
      </x:c>
      <x:c r="K1246" t="n" s="2">
        <x:v>5</x:v>
      </x:c>
      <x:c r="L1246" t="str" s="2">
        <x:v>1.1</x:v>
      </x:c>
      <x:c r="M1246" t="str" s="2">
        <x:v>Inactive</x:v>
      </x:c>
      <x:c r="N1246" t="str" s="2">
        <x:v>Deal Created</x:v>
      </x:c>
      <x:c r="O1246" s="0"/>
      <x:c r="P1246" s="6">
        <x:v>46274</x:v>
      </x:c>
      <x:c r="Q1246" s="6">
        <x:v>46274.76282094907</x:v>
      </x:c>
      <x:c r="R1246" s="0"/>
      <x:c r="S1246" s="6">
        <x:v>46274</x:v>
      </x:c>
      <x:c r="T1246" s="0"/>
      <x:c r="U1246" s="0"/>
      <x:c r="V1246" s="0"/>
      <x:c r="W1246" s="0"/>
      <x:c r="X1246" t="str" s="2">
        <x:v>9182049007</x:v>
      </x:c>
      <x:c r="Y1246" t="str" s="2">
        <x:v>brazealdavid77@gmail.com</x:v>
      </x:c>
      <x:c r="Z1246" s="6">
        <x:v>46284.65691010417</x:v>
      </x:c>
      <x:c r="AA1246" t="str" s="2">
        <x:v>Steve Castell</x:v>
      </x:c>
      <x:c r="AB1246" s="6">
        <x:v>46274.5856102662</x:v>
      </x:c>
      <x:c r="AC1246" t="n" s="2">
        <x:v>39821</x:v>
      </x:c>
      <x:c r="AD1246" s="0"/>
      <x:c r="AE1246" s="0"/>
      <x:c r="AF1246" s="0"/>
      <x:c r="AG1246" s="7">
        <x:v>13000</x:v>
      </x:c>
      <x:c r="AH1246" s="0"/>
      <x:c r="AI1246" t="str" s="2">
        <x:v>581</x:v>
      </x:c>
      <x:c r="AJ1246" s="0"/>
      <x:c r="AK1246" s="0"/>
    </x:row>
    <x:row r="1247">
      <x:c r="A1247" t="str" s="2">
        <x:f>=HYPERLINK("https://rsms.futurehomex.com/lead/39822", "Richard Brasel")</x:f>
      </x:c>
      <x:c r="B1247" t="n" s="2">
        <x:v>34</x:v>
      </x:c>
      <x:c r="C1247" t="str" s="2">
        <x:v>0/4</x:v>
      </x:c>
      <x:c r="D1247" t="str" s="2">
        <x:f>=""</x:f>
      </x:c>
      <x:c r="E1247" s="0"/>
      <x:c r="F1247" t="str" s="2">
        <x:v>Landing_BPM</x:v>
      </x:c>
      <x:c r="G1247" t="str" s="2">
        <x:v>Heritage Housing of Oklahoma City</x:v>
      </x:c>
      <x:c r="H1247" t="str" s="2">
        <x:v>Steve Castell</x:v>
      </x:c>
      <x:c r="I1247" s="0"/>
      <x:c r="J1247" t="str" s="2">
        <x:v>Steve Castell</x:v>
      </x:c>
      <x:c r="K1247" t="n" s="2">
        <x:v>5</x:v>
      </x:c>
      <x:c r="L1247" t="str" s="2">
        <x:v>1.1</x:v>
      </x:c>
      <x:c r="M1247" t="str" s="2">
        <x:v>Inactive</x:v>
      </x:c>
      <x:c r="N1247" t="str" s="2">
        <x:v>Deal Created</x:v>
      </x:c>
      <x:c r="O1247" s="0"/>
      <x:c r="P1247" s="6">
        <x:v>46274</x:v>
      </x:c>
      <x:c r="Q1247" s="6">
        <x:v>46274.59146866898</x:v>
      </x:c>
      <x:c r="R1247" s="0"/>
      <x:c r="S1247" s="0"/>
      <x:c r="T1247" s="0"/>
      <x:c r="U1247" s="0"/>
      <x:c r="V1247" s="0"/>
      <x:c r="W1247" s="0"/>
      <x:c r="X1247" t="str" s="2">
        <x:v>4059023190</x:v>
      </x:c>
      <x:c r="Y1247" t="str" s="2">
        <x:v>rickbrasel315@gmail.com</x:v>
      </x:c>
      <x:c r="Z1247" s="6">
        <x:v>46304.04289409722</x:v>
      </x:c>
      <x:c r="AA1247" t="str" s="2">
        <x:v>Steve Castell</x:v>
      </x:c>
      <x:c r="AB1247" s="6">
        <x:v>46274.59146952546</x:v>
      </x:c>
      <x:c r="AC1247" t="n" s="2">
        <x:v>39822</x:v>
      </x:c>
      <x:c r="AD1247" s="0"/>
      <x:c r="AE1247" s="0"/>
      <x:c r="AF1247" s="0"/>
      <x:c r="AG1247" s="0"/>
      <x:c r="AH1247" s="0"/>
      <x:c r="AI1247" s="0"/>
      <x:c r="AJ1247" s="0"/>
      <x:c r="AK1247" s="0"/>
    </x:row>
    <x:row r="1248">
      <x:c r="A1248" t="str" s="2">
        <x:f>=HYPERLINK("https://rsms.futurehomex.com/lead/39824", "Dennis Hines")</x:f>
      </x:c>
      <x:c r="B1248" t="n" s="2">
        <x:v>34</x:v>
      </x:c>
      <x:c r="C1248" t="str" s="2">
        <x:v>0/5</x:v>
      </x:c>
      <x:c r="D1248" t="str" s="2">
        <x:f>=""</x:f>
      </x:c>
      <x:c r="E1248" s="0"/>
      <x:c r="F1248" t="str" s="2">
        <x:v>Youtube</x:v>
      </x:c>
      <x:c r="G1248" t="str" s="2">
        <x:v>Heritage Housing of Oklahoma City</x:v>
      </x:c>
      <x:c r="H1248" t="str" s="2">
        <x:v>Steve Castell</x:v>
      </x:c>
      <x:c r="I1248" s="0"/>
      <x:c r="J1248" t="str" s="2">
        <x:v>Steve Castell</x:v>
      </x:c>
      <x:c r="K1248" t="n" s="2">
        <x:v>5</x:v>
      </x:c>
      <x:c r="L1248" t="str" s="2">
        <x:v>1.1</x:v>
      </x:c>
      <x:c r="M1248" t="str" s="2">
        <x:v>Inactive</x:v>
      </x:c>
      <x:c r="N1248" t="str" s="2">
        <x:v>Deal Created</x:v>
      </x:c>
      <x:c r="O1248" s="0"/>
      <x:c r="P1248" s="6">
        <x:v>46274</x:v>
      </x:c>
      <x:c r="Q1248" s="6">
        <x:v>46274.59800081018</x:v>
      </x:c>
      <x:c r="R1248" s="0"/>
      <x:c r="S1248" s="0"/>
      <x:c r="T1248" s="0"/>
      <x:c r="U1248" s="0"/>
      <x:c r="V1248" s="0"/>
      <x:c r="W1248" s="0"/>
      <x:c r="X1248" t="str" s="2">
        <x:v>5169491632</x:v>
      </x:c>
      <x:c r="Y1248" t="str" s="2">
        <x:v>dhines59.dh@gmail.com</x:v>
      </x:c>
      <x:c r="Z1248" s="6">
        <x:v>46290.08281975694</x:v>
      </x:c>
      <x:c r="AA1248" t="str" s="2">
        <x:v>Steve Castell</x:v>
      </x:c>
      <x:c r="AB1248" s="6">
        <x:v>46274.59800297454</x:v>
      </x:c>
      <x:c r="AC1248" t="n" s="2">
        <x:v>39824</x:v>
      </x:c>
      <x:c r="AD1248" s="0"/>
      <x:c r="AE1248" s="0"/>
      <x:c r="AF1248" s="0"/>
      <x:c r="AG1248" s="0"/>
      <x:c r="AH1248" s="0"/>
      <x:c r="AI1248" s="0"/>
      <x:c r="AJ1248" s="0"/>
      <x:c r="AK1248" s="0"/>
    </x:row>
    <x:row r="1249">
      <x:c r="A1249" t="str" s="2">
        <x:f>=HYPERLINK("https://rsms.futurehomex.com/lead/39825", "Randy Randolph")</x:f>
      </x:c>
      <x:c r="B1249" t="n" s="2">
        <x:v>34</x:v>
      </x:c>
      <x:c r="C1249" t="str" s="2">
        <x:v>0/5</x:v>
      </x:c>
      <x:c r="D1249" t="str" s="2">
        <x:f>=""</x:f>
      </x:c>
      <x:c r="E1249" s="0"/>
      <x:c r="F1249" t="str" s="2">
        <x:v>Youtube</x:v>
      </x:c>
      <x:c r="G1249" t="str" s="2">
        <x:v>Heritage Housing of Oklahoma City</x:v>
      </x:c>
      <x:c r="H1249" t="str" s="2">
        <x:v>Devon McCoy</x:v>
      </x:c>
      <x:c r="I1249" s="0"/>
      <x:c r="J1249" t="str" s="2">
        <x:v>Gianna Cervantes</x:v>
      </x:c>
      <x:c r="K1249" t="n" s="2">
        <x:v>5</x:v>
      </x:c>
      <x:c r="L1249" t="str" s="2">
        <x:v>1.1</x:v>
      </x:c>
      <x:c r="M1249" t="str" s="2">
        <x:v>Dead</x:v>
      </x:c>
      <x:c r="N1249" t="str" s="2">
        <x:v>Deal Created</x:v>
      </x:c>
      <x:c r="O1249" s="0"/>
      <x:c r="P1249" s="6">
        <x:v>46274</x:v>
      </x:c>
      <x:c r="Q1249" s="6">
        <x:v>46274.600674155095</x:v>
      </x:c>
      <x:c r="R1249" s="0"/>
      <x:c r="S1249" s="0"/>
      <x:c r="T1249" s="0"/>
      <x:c r="U1249" s="0"/>
      <x:c r="V1249" s="0"/>
      <x:c r="W1249" s="0"/>
      <x:c r="X1249" t="str" s="2">
        <x:v>4054026888</x:v>
      </x:c>
      <x:c r="Y1249" t="str" s="2">
        <x:v>rcshuffle3143@yahoo.com</x:v>
      </x:c>
      <x:c r="Z1249" s="6">
        <x:v>46291.81146767361</x:v>
      </x:c>
      <x:c r="AA1249" t="str" s="2">
        <x:v>Richard Bell</x:v>
      </x:c>
      <x:c r="AB1249" s="6">
        <x:v>46288.76174771991</x:v>
      </x:c>
      <x:c r="AC1249" t="n" s="2">
        <x:v>39825</x:v>
      </x:c>
      <x:c r="AD1249" s="0"/>
      <x:c r="AE1249" s="0"/>
      <x:c r="AF1249" s="0"/>
      <x:c r="AG1249" s="0"/>
      <x:c r="AH1249" s="0"/>
      <x:c r="AI1249" s="0"/>
      <x:c r="AJ1249" s="0"/>
      <x:c r="AK1249" s="0"/>
    </x:row>
    <x:row r="1250">
      <x:c r="A1250" t="str" s="2">
        <x:f>=HYPERLINK("https://rsms.futurehomex.com/lead/39826", "Silver Boston")</x:f>
      </x:c>
      <x:c r="B1250" t="n" s="2">
        <x:v>34</x:v>
      </x:c>
      <x:c r="C1250" t="str" s="2">
        <x:v>0/1</x:v>
      </x:c>
      <x:c r="D1250" t="str" s="2">
        <x:f>=""</x:f>
      </x:c>
      <x:c r="E1250" s="0"/>
      <x:c r="F1250" t="str" s="2">
        <x:v>Landing_BPM</x:v>
      </x:c>
      <x:c r="G1250" t="str" s="2">
        <x:v>Heritage Housing of Oklahoma City</x:v>
      </x:c>
      <x:c r="H1250" t="str" s="2">
        <x:v>Trey Rixleben</x:v>
      </x:c>
      <x:c r="I1250" s="0"/>
      <x:c r="J1250" t="str" s="2">
        <x:v>Trey Rixleben</x:v>
      </x:c>
      <x:c r="K1250" t="n" s="2">
        <x:v>5</x:v>
      </x:c>
      <x:c r="L1250" t="str" s="2">
        <x:v>1.1</x:v>
      </x:c>
      <x:c r="M1250" t="str" s="2">
        <x:v>Dead</x:v>
      </x:c>
      <x:c r="N1250" t="str" s="2">
        <x:v>Deal Created</x:v>
      </x:c>
      <x:c r="O1250" s="0"/>
      <x:c r="P1250" s="6">
        <x:v>46274</x:v>
      </x:c>
      <x:c r="Q1250" s="6">
        <x:v>46274.65776670139</x:v>
      </x:c>
      <x:c r="R1250" s="0"/>
      <x:c r="S1250" s="0"/>
      <x:c r="T1250" s="0"/>
      <x:c r="U1250" s="0"/>
      <x:c r="V1250" s="0"/>
      <x:c r="W1250" s="0"/>
      <x:c r="X1250" t="str" s="2">
        <x:v>5807210483</x:v>
      </x:c>
      <x:c r="Y1250" t="str" s="2">
        <x:v>twinmommy2581@gmail.com</x:v>
      </x:c>
      <x:c r="Z1250" s="6">
        <x:v>46274.909772997686</x:v>
      </x:c>
      <x:c r="AA1250" t="str" s="2">
        <x:v>Richard Bell</x:v>
      </x:c>
      <x:c r="AB1250" s="6">
        <x:v>46274.657558680556</x:v>
      </x:c>
      <x:c r="AC1250" t="n" s="2">
        <x:v>39826</x:v>
      </x:c>
      <x:c r="AD1250" s="0"/>
      <x:c r="AE1250" s="0"/>
      <x:c r="AF1250" s="0"/>
      <x:c r="AG1250" s="0"/>
      <x:c r="AH1250" s="0"/>
      <x:c r="AI1250" s="0"/>
      <x:c r="AJ1250" s="0"/>
      <x:c r="AK1250" s="0"/>
    </x:row>
    <x:row r="1251">
      <x:c r="A1251" t="str" s="2">
        <x:f>=HYPERLINK("https://rsms.futurehomex.com/lead/39827", "Glennis Easter")</x:f>
      </x:c>
      <x:c r="B1251" t="n" s="2">
        <x:v>34</x:v>
      </x:c>
      <x:c r="C1251" t="str" s="2">
        <x:v/>
      </x:c>
      <x:c r="D1251" t="str" s="2">
        <x:f>=""</x:f>
      </x:c>
      <x:c r="E1251" s="0"/>
      <x:c r="F1251" t="str" s="2">
        <x:v>Walk-in</x:v>
      </x:c>
      <x:c r="G1251" t="str" s="2">
        <x:v>Heritage Housing of Tulsa</x:v>
      </x:c>
      <x:c r="H1251" t="str" s="2">
        <x:v>Jenna Fransisco</x:v>
      </x:c>
      <x:c r="I1251" s="0"/>
      <x:c r="J1251" t="str" s="2">
        <x:v>Jenna Fransisco</x:v>
      </x:c>
      <x:c r="K1251" t="n" s="2">
        <x:v>34</x:v>
      </x:c>
      <x:c r="L1251" t="str" s="2">
        <x:v>2.4</x:v>
      </x:c>
      <x:c r="M1251" t="str" s="2">
        <x:v>Tentative</x:v>
      </x:c>
      <x:c r="N1251" t="str" s="2">
        <x:v>Deal approval</x:v>
      </x:c>
      <x:c r="O1251" s="0"/>
      <x:c r="P1251" s="6">
        <x:v>46274</x:v>
      </x:c>
      <x:c r="Q1251" s="6">
        <x:v>46275.7863474537</x:v>
      </x:c>
      <x:c r="R1251" s="0"/>
      <x:c r="S1251" s="0"/>
      <x:c r="T1251" s="0"/>
      <x:c r="U1251" s="0"/>
      <x:c r="V1251" s="0"/>
      <x:c r="W1251" s="0"/>
      <x:c r="X1251" t="str" s="2">
        <x:v>9187296591</x:v>
      </x:c>
      <x:c r="Y1251" t="str" s="2">
        <x:v>gmaeaster11@gmail.com</x:v>
      </x:c>
      <x:c r="Z1251" s="6">
        <x:v>46275.78679336805</x:v>
      </x:c>
      <x:c r="AA1251" t="str" s="2">
        <x:v>Jenna Fransisco</x:v>
      </x:c>
      <x:c r="AB1251" s="6">
        <x:v>46274.65817407407</x:v>
      </x:c>
      <x:c r="AC1251" t="n" s="2">
        <x:v>39827</x:v>
      </x:c>
      <x:c r="AD1251" t="str" s="2">
        <x:v>Singlewide</x:v>
      </x:c>
      <x:c r="AE1251" s="0"/>
      <x:c r="AF1251" s="0"/>
      <x:c r="AG1251" s="0"/>
      <x:c r="AH1251" s="0"/>
      <x:c r="AI1251" s="0"/>
      <x:c r="AJ1251" s="0"/>
      <x:c r="AK1251" s="0"/>
    </x:row>
    <x:row r="1252">
      <x:c r="A1252" t="str" s="2">
        <x:f>=HYPERLINK("https://rsms.futurehomex.com/lead/39828", "Erlinda Gomez")</x:f>
      </x:c>
      <x:c r="B1252" t="n" s="2">
        <x:v>34</x:v>
      </x:c>
      <x:c r="C1252" t="str" s="2">
        <x:v>1/1</x:v>
      </x:c>
      <x:c r="D1252" t="str" s="2">
        <x:f>=""</x:f>
      </x:c>
      <x:c r="E1252" s="0"/>
      <x:c r="F1252" t="str" s="2">
        <x:v>Facebook Messenger</x:v>
      </x:c>
      <x:c r="G1252" t="str" s="2">
        <x:v>Legacy Housing Corp. DBA Americasa</x:v>
      </x:c>
      <x:c r="H1252" t="str" s="2">
        <x:v>Joey Marquez</x:v>
      </x:c>
      <x:c r="I1252" t="str" s="2">
        <x:v>Karol Romero</x:v>
      </x:c>
      <x:c r="J1252" t="str" s="2">
        <x:v>Rodrigo Ramirez</x:v>
      </x:c>
      <x:c r="K1252" t="n" s="2">
        <x:v>5</x:v>
      </x:c>
      <x:c r="L1252" t="str" s="2">
        <x:v>1.1</x:v>
      </x:c>
      <x:c r="M1252" t="str" s="2">
        <x:v>Tentative</x:v>
      </x:c>
      <x:c r="N1252" t="str" s="2">
        <x:v>Deal Created</x:v>
      </x:c>
      <x:c r="O1252" s="0"/>
      <x:c r="P1252" s="6">
        <x:v>46274</x:v>
      </x:c>
      <x:c r="Q1252" s="6">
        <x:v>46274.65851003472</x:v>
      </x:c>
      <x:c r="R1252" s="0"/>
      <x:c r="S1252" s="0"/>
      <x:c r="T1252" s="0"/>
      <x:c r="U1252" s="0"/>
      <x:c r="V1252" s="0"/>
      <x:c r="W1252" s="0"/>
      <x:c r="X1252" t="str" s="2">
        <x:v>8326382596</x:v>
      </x:c>
      <x:c r="Y1252" t="str" s="2">
        <x:v>8326382596</x:v>
      </x:c>
      <x:c r="Z1252" s="6">
        <x:v>46274.65912091435</x:v>
      </x:c>
      <x:c r="AA1252" t="str" s="2">
        <x:v>Rodrigo Ramirez</x:v>
      </x:c>
      <x:c r="AB1252" s="6">
        <x:v>46274.658511458336</x:v>
      </x:c>
      <x:c r="AC1252" t="n" s="2">
        <x:v>39828</x:v>
      </x:c>
      <x:c r="AD1252" s="0"/>
      <x:c r="AE1252" s="0"/>
      <x:c r="AF1252" s="0"/>
      <x:c r="AG1252" s="0"/>
      <x:c r="AH1252" s="0"/>
      <x:c r="AI1252" s="0"/>
      <x:c r="AJ1252" s="0"/>
      <x:c r="AK1252" s="0"/>
    </x:row>
    <x:row r="1253">
      <x:c r="A1253" t="str" s="2">
        <x:f>=HYPERLINK("https://rsms.futurehomex.com/lead/39830", "Charlie Howard")</x:f>
      </x:c>
      <x:c r="B1253" t="n" s="2">
        <x:v>34</x:v>
      </x:c>
      <x:c r="C1253" t="str" s="2">
        <x:v/>
      </x:c>
      <x:c r="D1253" t="str" s="2">
        <x:f>=""</x:f>
      </x:c>
      <x:c r="E1253" s="0"/>
      <x:c r="F1253" t="str" s="2">
        <x:v>Walk-in</x:v>
      </x:c>
      <x:c r="G1253" t="str" s="2">
        <x:v>Heritage Housing of Augusta</x:v>
      </x:c>
      <x:c r="H1253" t="str" s="2">
        <x:v>Jennifer Johnson</x:v>
      </x:c>
      <x:c r="I1253" t="str" s="2">
        <x:v>Karol Romero</x:v>
      </x:c>
      <x:c r="J1253" t="str" s="2">
        <x:v>Jennifer Johnson</x:v>
      </x:c>
      <x:c r="K1253" t="n" s="2">
        <x:v>34</x:v>
      </x:c>
      <x:c r="L1253" t="str" s="2">
        <x:v>2.4</x:v>
      </x:c>
      <x:c r="M1253" t="str" s="2">
        <x:v>Active</x:v>
      </x:c>
      <x:c r="N1253" t="str" s="2">
        <x:v>Deal approval</x:v>
      </x:c>
      <x:c r="O1253" s="0"/>
      <x:c r="P1253" s="6">
        <x:v>46274</x:v>
      </x:c>
      <x:c r="Q1253" s="6">
        <x:v>46296.800331631945</x:v>
      </x:c>
      <x:c r="R1253" s="0"/>
      <x:c r="S1253" s="6">
        <x:v>46274</x:v>
      </x:c>
      <x:c r="T1253" s="0"/>
      <x:c r="U1253" s="0"/>
      <x:c r="V1253" s="0"/>
      <x:c r="W1253" s="0"/>
      <x:c r="X1253" t="str" s="2">
        <x:v>7064661929</x:v>
      </x:c>
      <x:c r="Y1253" t="str" s="2">
        <x:v>sharonsturgis03@gmail.com</x:v>
      </x:c>
      <x:c r="Z1253" s="6">
        <x:v>46274.690296215274</x:v>
      </x:c>
      <x:c r="AA1253" t="str" s="2">
        <x:v>Brian Amato</x:v>
      </x:c>
      <x:c r="AB1253" s="6">
        <x:v>46274.680652627314</x:v>
      </x:c>
      <x:c r="AC1253" t="n" s="2">
        <x:v>39830</x:v>
      </x:c>
      <x:c r="AD1253" t="str" s="2">
        <x:v>Singlewide</x:v>
      </x:c>
      <x:c r="AE1253" s="0"/>
      <x:c r="AF1253" s="0"/>
      <x:c r="AG1253" s="0"/>
      <x:c r="AH1253" s="0"/>
      <x:c r="AI1253" s="0"/>
      <x:c r="AJ1253" s="0"/>
      <x:c r="AK1253" s="0"/>
    </x:row>
    <x:row r="1254">
      <x:c r="A1254" t="str" s="2">
        <x:f>=HYPERLINK("https://rsms.futurehomex.com/lead/39831", "Carland Whitaker")</x:f>
      </x:c>
      <x:c r="B1254" t="n" s="2">
        <x:v>34</x:v>
      </x:c>
      <x:c r="C1254" t="str" s="2">
        <x:v/>
      </x:c>
      <x:c r="D1254" t="str" s="2">
        <x:f>=""</x:f>
      </x:c>
      <x:c r="E1254" s="0"/>
      <x:c r="F1254" t="str" s="2">
        <x:v>Facebook Messenger</x:v>
      </x:c>
      <x:c r="G1254" t="str" s="2">
        <x:v>Heritage Housing of Greenville</x:v>
      </x:c>
      <x:c r="H1254" t="str" s="2">
        <x:v>Brandie Sartor</x:v>
      </x:c>
      <x:c r="I1254" s="0"/>
      <x:c r="J1254" s="0"/>
      <x:c r="K1254" t="n" s="2">
        <x:v>5</x:v>
      </x:c>
      <x:c r="L1254" t="str" s="2">
        <x:v>1.1</x:v>
      </x:c>
      <x:c r="M1254" t="str" s="2">
        <x:v>Dead</x:v>
      </x:c>
      <x:c r="N1254" t="str" s="2">
        <x:v>Prospect</x:v>
      </x:c>
      <x:c r="O1254" s="0"/>
      <x:c r="P1254" s="6">
        <x:v>46274</x:v>
      </x:c>
      <x:c r="Q1254" s="6">
        <x:v>46274.68110767361</x:v>
      </x:c>
      <x:c r="R1254" s="0"/>
      <x:c r="S1254" s="0"/>
      <x:c r="T1254" s="0"/>
      <x:c r="U1254" s="0"/>
      <x:c r="V1254" s="0"/>
      <x:c r="W1254" s="0"/>
      <x:c r="X1254" t="str" s="2">
        <x:v>9033948297</x:v>
      </x:c>
      <x:c r="Y1254" t="str" s="2">
        <x:v>9033948297</x:v>
      </x:c>
      <x:c r="Z1254" s="6">
        <x:v>46274.68232418982</x:v>
      </x:c>
      <x:c r="AA1254" t="str" s="2">
        <x:v>Brandie Sartor</x:v>
      </x:c>
      <x:c r="AB1254" s="6">
        <x:v>46274.68110925926</x:v>
      </x:c>
      <x:c r="AC1254" t="n" s="2">
        <x:v>39831</x:v>
      </x:c>
      <x:c r="AD1254" s="0"/>
      <x:c r="AE1254" s="0"/>
      <x:c r="AF1254" s="0"/>
      <x:c r="AG1254" s="0"/>
      <x:c r="AH1254" s="0"/>
      <x:c r="AI1254" s="0"/>
      <x:c r="AJ1254" s="0"/>
      <x:c r="AK1254" s="0"/>
    </x:row>
    <x:row r="1255">
      <x:c r="A1255" t="str" s="2">
        <x:f>=HYPERLINK("https://rsms.futurehomex.com/lead/39832", "Christopher Lackey")</x:f>
      </x:c>
      <x:c r="B1255" t="n" s="2">
        <x:v>34</x:v>
      </x:c>
      <x:c r="C1255" t="str" s="2">
        <x:v>0/2</x:v>
      </x:c>
      <x:c r="D1255" t="str" s="2">
        <x:f>=""</x:f>
      </x:c>
      <x:c r="E1255" s="0"/>
      <x:c r="F1255" t="str" s="2">
        <x:v>Landing_BPM</x:v>
      </x:c>
      <x:c r="G1255" t="str" s="2">
        <x:v>Heritage Housing of Oklahoma City</x:v>
      </x:c>
      <x:c r="H1255" t="str" s="2">
        <x:v>Trey Rixleben</x:v>
      </x:c>
      <x:c r="I1255" s="0"/>
      <x:c r="J1255" t="str" s="2">
        <x:v>Trey Rixleben</x:v>
      </x:c>
      <x:c r="K1255" t="n" s="2">
        <x:v>5</x:v>
      </x:c>
      <x:c r="L1255" t="str" s="2">
        <x:v>1.1</x:v>
      </x:c>
      <x:c r="M1255" t="str" s="2">
        <x:v>Dead</x:v>
      </x:c>
      <x:c r="N1255" t="str" s="2">
        <x:v>Deal Created</x:v>
      </x:c>
      <x:c r="O1255" s="0"/>
      <x:c r="P1255" s="6">
        <x:v>46274</x:v>
      </x:c>
      <x:c r="Q1255" s="6">
        <x:v>46281.94084887731</x:v>
      </x:c>
      <x:c r="R1255" s="0"/>
      <x:c r="S1255" s="0"/>
      <x:c r="T1255" s="0"/>
      <x:c r="U1255" s="0"/>
      <x:c r="V1255" s="0"/>
      <x:c r="W1255" s="0"/>
      <x:c r="X1255" t="str" s="2">
        <x:v>4052870905</x:v>
      </x:c>
      <x:c r="Y1255" t="str" s="2">
        <x:v>hlackey27@gmail.com</x:v>
      </x:c>
      <x:c r="Z1255" s="6">
        <x:v>46291.764353969906</x:v>
      </x:c>
      <x:c r="AA1255" t="str" s="2">
        <x:v>Richard Bell</x:v>
      </x:c>
      <x:c r="AB1255" s="6">
        <x:v>46274.683844872685</x:v>
      </x:c>
      <x:c r="AC1255" t="n" s="2">
        <x:v>39832</x:v>
      </x:c>
      <x:c r="AD1255" s="0"/>
      <x:c r="AE1255" s="0"/>
      <x:c r="AF1255" s="0"/>
      <x:c r="AG1255" s="0"/>
      <x:c r="AH1255" s="0"/>
      <x:c r="AI1255" s="0"/>
      <x:c r="AJ1255" s="0"/>
      <x:c r="AK1255" s="0"/>
    </x:row>
    <x:row r="1256">
      <x:c r="A1256" t="str" s="2">
        <x:f>=HYPERLINK("https://rsms.futurehomex.com/lead/39834", "Eric Ward")</x:f>
      </x:c>
      <x:c r="B1256" t="n" s="2">
        <x:v>34</x:v>
      </x:c>
      <x:c r="C1256" t="str" s="2">
        <x:v>0/1</x:v>
      </x:c>
      <x:c r="D1256" t="str" s="2">
        <x:f>=""</x:f>
      </x:c>
      <x:c r="E1256" s="0"/>
      <x:c r="F1256" t="str" s="2">
        <x:v>Facebook Messenger</x:v>
      </x:c>
      <x:c r="G1256" t="str" s="2">
        <x:v>Heritage Housing of Albany</x:v>
      </x:c>
      <x:c r="H1256" t="str" s="2">
        <x:v>Alexander Bryant</x:v>
      </x:c>
      <x:c r="I1256" t="str" s="2">
        <x:v>Karol Romero</x:v>
      </x:c>
      <x:c r="J1256" t="str" s="2">
        <x:v>Alexander Bryant</x:v>
      </x:c>
      <x:c r="K1256" t="n" s="2">
        <x:v>5</x:v>
      </x:c>
      <x:c r="L1256" t="str" s="2">
        <x:v>1.1</x:v>
      </x:c>
      <x:c r="M1256" t="str" s="2">
        <x:v>Tentative</x:v>
      </x:c>
      <x:c r="N1256" t="str" s="2">
        <x:v>Deal Created</x:v>
      </x:c>
      <x:c r="O1256" s="0"/>
      <x:c r="P1256" s="6">
        <x:v>46274</x:v>
      </x:c>
      <x:c r="Q1256" s="6">
        <x:v>46274.731602280095</x:v>
      </x:c>
      <x:c r="R1256" s="0"/>
      <x:c r="S1256" s="0"/>
      <x:c r="T1256" s="0"/>
      <x:c r="U1256" s="0"/>
      <x:c r="V1256" s="0"/>
      <x:c r="W1256" s="0"/>
      <x:c r="X1256" t="str" s="2">
        <x:v>5094260927</x:v>
      </x:c>
      <x:c r="Y1256" t="str" s="2">
        <x:v>epw.907@gmail.com</x:v>
      </x:c>
      <x:c r="Z1256" s="6">
        <x:v>46288.65641686343</x:v>
      </x:c>
      <x:c r="AA1256" t="str" s="2">
        <x:v>Alexander Bryant</x:v>
      </x:c>
      <x:c r="AB1256" s="6">
        <x:v>46274.710822256944</x:v>
      </x:c>
      <x:c r="AC1256" t="n" s="2">
        <x:v>39834</x:v>
      </x:c>
      <x:c r="AD1256" s="0"/>
      <x:c r="AE1256" s="0"/>
      <x:c r="AF1256" s="0"/>
      <x:c r="AG1256" s="7">
        <x:v>10000</x:v>
      </x:c>
      <x:c r="AH1256" s="0"/>
      <x:c r="AI1256" t="str" s="2">
        <x:v>509</x:v>
      </x:c>
      <x:c r="AJ1256" s="0"/>
      <x:c r="AK1256" s="0"/>
    </x:row>
    <x:row r="1257">
      <x:c r="A1257" t="str" s="2">
        <x:f>=HYPERLINK("https://rsms.futurehomex.com/lead/39835", "Jenna Fransisco")</x:f>
      </x:c>
      <x:c r="B1257" t="n" s="2">
        <x:v>34</x:v>
      </x:c>
      <x:c r="C1257" t="str" s="2">
        <x:v/>
      </x:c>
      <x:c r="D1257" t="str" s="2">
        <x:f>=""</x:f>
      </x:c>
      <x:c r="E1257" s="0"/>
      <x:c r="F1257" t="str" s="2">
        <x:v>Walk-in</x:v>
      </x:c>
      <x:c r="G1257" t="str" s="2">
        <x:v>Heritage Housing of Tulsa</x:v>
      </x:c>
      <x:c r="H1257" t="str" s="2">
        <x:v>Jenna Fransisco</x:v>
      </x:c>
      <x:c r="I1257" s="0"/>
      <x:c r="J1257" t="str" s="2">
        <x:v>Jenna Fransisco</x:v>
      </x:c>
      <x:c r="K1257" t="n" s="2">
        <x:v>5</x:v>
      </x:c>
      <x:c r="L1257" t="str" s="2">
        <x:v>1.1</x:v>
      </x:c>
      <x:c r="M1257" t="str" s="2">
        <x:v>Tentative</x:v>
      </x:c>
      <x:c r="N1257" t="str" s="2">
        <x:v>Deal Created</x:v>
      </x:c>
      <x:c r="O1257" s="0"/>
      <x:c r="P1257" s="6">
        <x:v>46274</x:v>
      </x:c>
      <x:c r="Q1257" s="6">
        <x:v>46274.7135875</x:v>
      </x:c>
      <x:c r="R1257" s="0"/>
      <x:c r="S1257" s="0"/>
      <x:c r="T1257" s="0"/>
      <x:c r="U1257" s="0"/>
      <x:c r="V1257" s="0"/>
      <x:c r="W1257" s="0"/>
      <x:c r="X1257" t="str" s="2">
        <x:v>9189462477</x:v>
      </x:c>
      <x:c r="Y1257" t="str" s="2">
        <x:v>jfransisco@heritagehousing.net</x:v>
      </x:c>
      <x:c r="Z1257" s="0"/>
      <x:c r="AA1257" s="0"/>
      <x:c r="AB1257" s="6">
        <x:v>46274.71358900463</x:v>
      </x:c>
      <x:c r="AC1257" t="n" s="2">
        <x:v>39835</x:v>
      </x:c>
      <x:c r="AD1257" s="0"/>
      <x:c r="AE1257" s="0"/>
      <x:c r="AF1257" s="0"/>
      <x:c r="AG1257" s="0"/>
      <x:c r="AH1257" s="0"/>
      <x:c r="AI1257" s="0"/>
      <x:c r="AJ1257" s="0"/>
      <x:c r="AK1257" s="0"/>
    </x:row>
    <x:row r="1258">
      <x:c r="A1258" t="str" s="2">
        <x:f>=HYPERLINK("https://rsms.futurehomex.com/lead/39837", "rosezzettea lopez")</x:f>
      </x:c>
      <x:c r="B1258" t="n" s="2">
        <x:v>34</x:v>
      </x:c>
      <x:c r="C1258" t="str" s="2">
        <x:v>1/1</x:v>
      </x:c>
      <x:c r="D1258" t="str" s="2">
        <x:f>="NEED LAND"</x:f>
      </x:c>
      <x:c r="E1258" s="0"/>
      <x:c r="F1258" t="str" s="2">
        <x:v>Financing Form</x:v>
      </x:c>
      <x:c r="G1258" t="str" s="2">
        <x:v>Legacy Housing Corp. DBA Americasa</x:v>
      </x:c>
      <x:c r="H1258" t="str" s="2">
        <x:v>Jose Parada</x:v>
      </x:c>
      <x:c r="I1258" t="str" s="2">
        <x:v>Karol Romero</x:v>
      </x:c>
      <x:c r="J1258" t="str" s="2">
        <x:v>Jose Parada</x:v>
      </x:c>
      <x:c r="K1258" t="n" s="2">
        <x:v>5</x:v>
      </x:c>
      <x:c r="L1258" t="str" s="2">
        <x:v>1.1</x:v>
      </x:c>
      <x:c r="M1258" t="str" s="2">
        <x:v>Active</x:v>
      </x:c>
      <x:c r="N1258" t="str" s="2">
        <x:v>Prospect</x:v>
      </x:c>
      <x:c r="O1258" s="0"/>
      <x:c r="P1258" s="6">
        <x:v>46274</x:v>
      </x:c>
      <x:c r="Q1258" s="6">
        <x:v>46274.747538310185</x:v>
      </x:c>
      <x:c r="R1258" s="0"/>
      <x:c r="S1258" s="0"/>
      <x:c r="T1258" s="0"/>
      <x:c r="U1258" s="0"/>
      <x:c r="V1258" s="0"/>
      <x:c r="W1258" s="0"/>
      <x:c r="X1258" t="str" s="2">
        <x:v>3463779412</x:v>
      </x:c>
      <x:c r="Y1258" t="str" s="2">
        <x:v>rosezzettealopez@gmail.com</x:v>
      </x:c>
      <x:c r="Z1258" s="6">
        <x:v>46274.76662303241</x:v>
      </x:c>
      <x:c r="AA1258" t="str" s="2">
        <x:v>Jose Parada</x:v>
      </x:c>
      <x:c r="AB1258" s="6">
        <x:v>46274.74753943287</x:v>
      </x:c>
      <x:c r="AC1258" t="n" s="2">
        <x:v>39837</x:v>
      </x:c>
      <x:c r="AD1258" s="0"/>
      <x:c r="AE1258" s="0"/>
      <x:c r="AF1258" s="0"/>
      <x:c r="AG1258" s="0"/>
      <x:c r="AH1258" s="0"/>
      <x:c r="AI1258" s="0"/>
      <x:c r="AJ1258" s="0"/>
      <x:c r="AK1258" s="0"/>
    </x:row>
    <x:row r="1259">
      <x:c r="A1259" t="str" s="2">
        <x:f>=HYPERLINK("https://rsms.futurehomex.com/lead/39838", "Nancy Harris")</x:f>
      </x:c>
      <x:c r="B1259" t="n" s="2">
        <x:v>34</x:v>
      </x:c>
      <x:c r="C1259" t="str" s="2">
        <x:v/>
      </x:c>
      <x:c r="D1259" t="str" s="2">
        <x:f>=""</x:f>
      </x:c>
      <x:c r="E1259" s="0"/>
      <x:c r="F1259" t="str" s="2">
        <x:v>LandingPage</x:v>
      </x:c>
      <x:c r="G1259" t="str" s="2">
        <x:v>Heritage Housing of Athens</x:v>
      </x:c>
      <x:c r="H1259" t="str" s="2">
        <x:v>Nathan Bishop</x:v>
      </x:c>
      <x:c r="I1259" s="0"/>
      <x:c r="J1259" t="str" s="2">
        <x:v>Nathan Bishop</x:v>
      </x:c>
      <x:c r="K1259" t="n" s="2">
        <x:v>5</x:v>
      </x:c>
      <x:c r="L1259" t="str" s="2">
        <x:v>1.1</x:v>
      </x:c>
      <x:c r="M1259" t="str" s="2">
        <x:v>Tentative</x:v>
      </x:c>
      <x:c r="N1259" t="str" s="2">
        <x:v>Prospect</x:v>
      </x:c>
      <x:c r="O1259" s="0"/>
      <x:c r="P1259" s="6">
        <x:v>46274</x:v>
      </x:c>
      <x:c r="Q1259" s="6">
        <x:v>46274.75402596065</x:v>
      </x:c>
      <x:c r="R1259" s="0"/>
      <x:c r="S1259" s="0"/>
      <x:c r="T1259" s="0"/>
      <x:c r="U1259" s="0"/>
      <x:c r="V1259" s="0"/>
      <x:c r="W1259" s="0"/>
      <x:c r="X1259" t="str" s="2">
        <x:v>2295896340</x:v>
      </x:c>
      <x:c r="Y1259" t="str" s="2">
        <x:v>nancyharriss16@gmail.com</x:v>
      </x:c>
      <x:c r="Z1259" s="0"/>
      <x:c r="AA1259" s="0"/>
      <x:c r="AB1259" s="6">
        <x:v>46274.754026469906</x:v>
      </x:c>
      <x:c r="AC1259" t="n" s="2">
        <x:v>39838</x:v>
      </x:c>
      <x:c r="AD1259" s="0"/>
      <x:c r="AE1259" s="0"/>
      <x:c r="AF1259" s="0"/>
      <x:c r="AG1259" s="0"/>
      <x:c r="AH1259" s="0"/>
      <x:c r="AI1259" s="0"/>
      <x:c r="AJ1259" s="0"/>
      <x:c r="AK1259" s="0"/>
    </x:row>
    <x:row r="1260">
      <x:c r="A1260" t="str" s="2">
        <x:f>=HYPERLINK("https://rsms.futurehomex.com/lead/39839", "Montavius Green")</x:f>
      </x:c>
      <x:c r="B1260" t="n" s="2">
        <x:v>34</x:v>
      </x:c>
      <x:c r="C1260" t="str" s="2">
        <x:v>0/4</x:v>
      </x:c>
      <x:c r="D1260" t="str" s="2">
        <x:f>="REFU ND"</x:f>
      </x:c>
      <x:c r="E1260" t="str" s="2">
        <x:v>Gracious Hogan</x:v>
      </x:c>
      <x:c r="F1260" t="str" s="2">
        <x:v>Financing Form</x:v>
      </x:c>
      <x:c r="G1260" t="str" s="2">
        <x:v>Heritage Housing of Jennings</x:v>
      </x:c>
      <x:c r="H1260" t="str" s="2">
        <x:v>Clint O'Neal</x:v>
      </x:c>
      <x:c r="I1260" s="0"/>
      <x:c r="J1260" s="0"/>
      <x:c r="K1260" t="n" s="2">
        <x:v>38</x:v>
      </x:c>
      <x:c r="L1260" t="str" s="2">
        <x:v>3.2</x:v>
      </x:c>
      <x:c r="M1260" t="str" s="2">
        <x:v>Denied</x:v>
      </x:c>
      <x:c r="N1260" t="str" s="2">
        <x:v>Application</x:v>
      </x:c>
      <x:c r="O1260" s="0"/>
      <x:c r="P1260" s="6">
        <x:v>46274</x:v>
      </x:c>
      <x:c r="Q1260" s="6">
        <x:v>46275.84295644676</x:v>
      </x:c>
      <x:c r="R1260" s="0"/>
      <x:c r="S1260" s="6">
        <x:v>46274</x:v>
      </x:c>
      <x:c r="T1260" s="6">
        <x:v>46275</x:v>
      </x:c>
      <x:c r="U1260" s="0"/>
      <x:c r="V1260" s="0"/>
      <x:c r="W1260" s="0"/>
      <x:c r="X1260" t="str" s="2">
        <x:v>6626815316</x:v>
      </x:c>
      <x:c r="Y1260" t="str" s="2">
        <x:v>montaviusgreen18@yahoo.com</x:v>
      </x:c>
      <x:c r="Z1260" s="6">
        <x:v>46281.56818012732</x:v>
      </x:c>
      <x:c r="AA1260" t="str" s="2">
        <x:v>Clint O'Neal</x:v>
      </x:c>
      <x:c r="AB1260" s="6">
        <x:v>46274.756824965276</x:v>
      </x:c>
      <x:c r="AC1260" t="n" s="2">
        <x:v>39839</x:v>
      </x:c>
      <x:c r="AD1260" t="str" s="2">
        <x:v>Singlewide</x:v>
      </x:c>
      <x:c r="AE1260" t="str" s="2">
        <x:v>Legacy Housing Corporation</x:v>
      </x:c>
      <x:c r="AF1260" s="7">
        <x:v>6938</x:v>
      </x:c>
      <x:c r="AG1260" s="7">
        <x:v>6938</x:v>
      </x:c>
      <x:c r="AH1260" s="7">
        <x:v>500</x:v>
      </x:c>
      <x:c r="AI1260" t="str" s="2">
        <x:v>615</x:v>
      </x:c>
      <x:c r="AJ1260" s="0"/>
      <x:c r="AK1260" s="0"/>
    </x:row>
    <x:row r="1261">
      <x:c r="A1261" t="str" s="2">
        <x:f>=HYPERLINK("https://rsms.futurehomex.com/lead/39840", "Brian Niccum")</x:f>
      </x:c>
      <x:c r="B1261" t="n" s="2">
        <x:v>34</x:v>
      </x:c>
      <x:c r="C1261" t="str" s="2">
        <x:v/>
      </x:c>
      <x:c r="D1261" t="str" s="2">
        <x:f>=""</x:f>
      </x:c>
      <x:c r="E1261" s="0"/>
      <x:c r="F1261" t="str" s="2">
        <x:v>Walk-in</x:v>
      </x:c>
      <x:c r="G1261" t="str" s="2">
        <x:v>Heritage Housing of Tulsa</x:v>
      </x:c>
      <x:c r="H1261" t="str" s="2">
        <x:v>Jenna Fransisco</x:v>
      </x:c>
      <x:c r="I1261" s="0"/>
      <x:c r="J1261" t="str" s="2">
        <x:v>Jenna Fransisco</x:v>
      </x:c>
      <x:c r="K1261" t="n" s="2">
        <x:v>5</x:v>
      </x:c>
      <x:c r="L1261" t="str" s="2">
        <x:v>1.1</x:v>
      </x:c>
      <x:c r="M1261" t="str" s="2">
        <x:v>Tentative</x:v>
      </x:c>
      <x:c r="N1261" t="str" s="2">
        <x:v>Deal Created</x:v>
      </x:c>
      <x:c r="O1261" s="0"/>
      <x:c r="P1261" s="6">
        <x:v>46274</x:v>
      </x:c>
      <x:c r="Q1261" s="6">
        <x:v>46274.75884996528</x:v>
      </x:c>
      <x:c r="R1261" s="0"/>
      <x:c r="S1261" s="0"/>
      <x:c r="T1261" s="0"/>
      <x:c r="U1261" s="0"/>
      <x:c r="V1261" s="0"/>
      <x:c r="W1261" s="0"/>
      <x:c r="X1261" t="str" s="2">
        <x:v>9187290432</x:v>
      </x:c>
      <x:c r="Y1261" t="str" s="2">
        <x:v>bniccum316@gmail.com</x:v>
      </x:c>
      <x:c r="Z1261" s="0"/>
      <x:c r="AA1261" s="0"/>
      <x:c r="AB1261" s="6">
        <x:v>46274.75885158565</x:v>
      </x:c>
      <x:c r="AC1261" t="n" s="2">
        <x:v>39840</x:v>
      </x:c>
      <x:c r="AD1261" s="0"/>
      <x:c r="AE1261" s="0"/>
      <x:c r="AF1261" s="0"/>
      <x:c r="AG1261" s="0"/>
      <x:c r="AH1261" s="0"/>
      <x:c r="AI1261" s="0"/>
      <x:c r="AJ1261" s="0"/>
      <x:c r="AK1261" s="0"/>
    </x:row>
    <x:row r="1262">
      <x:c r="A1262" t="str" s="2">
        <x:f>=HYPERLINK("https://rsms.futurehomex.com/lead/39841", "Lino Carrera")</x:f>
      </x:c>
      <x:c r="B1262" t="n" s="2">
        <x:v>34</x:v>
      </x:c>
      <x:c r="C1262" t="str" s="2">
        <x:v/>
      </x:c>
      <x:c r="D1262" t="str" s="2">
        <x:f>=""</x:f>
      </x:c>
      <x:c r="E1262" s="0"/>
      <x:c r="F1262" t="str" s="2">
        <x:v>Website</x:v>
      </x:c>
      <x:c r="G1262" t="str" s="2">
        <x:v>Legacy Housing Corp. DBA Americasa</x:v>
      </x:c>
      <x:c r="H1262" t="str" s="2">
        <x:v>Jose Parada</x:v>
      </x:c>
      <x:c r="I1262" t="str" s="2">
        <x:v>Karol Romero</x:v>
      </x:c>
      <x:c r="J1262" s="0"/>
      <x:c r="K1262" t="n" s="2">
        <x:v>5</x:v>
      </x:c>
      <x:c r="L1262" t="str" s="2">
        <x:v>1.1</x:v>
      </x:c>
      <x:c r="M1262" t="str" s="2">
        <x:v>Tentative</x:v>
      </x:c>
      <x:c r="N1262" t="str" s="2">
        <x:v>Prospect</x:v>
      </x:c>
      <x:c r="O1262" s="0"/>
      <x:c r="P1262" s="6">
        <x:v>46274</x:v>
      </x:c>
      <x:c r="Q1262" s="6">
        <x:v>46274.80235459491</x:v>
      </x:c>
      <x:c r="R1262" s="0"/>
      <x:c r="S1262" s="0"/>
      <x:c r="T1262" s="0"/>
      <x:c r="U1262" s="0"/>
      <x:c r="V1262" s="0"/>
      <x:c r="W1262" s="0"/>
      <x:c r="X1262" t="str" s="2">
        <x:v>2814133609</x:v>
      </x:c>
      <x:c r="Y1262" t="str" s="2">
        <x:v>mrcarrera1@aol.com</x:v>
      </x:c>
      <x:c r="Z1262" s="6">
        <x:v>46277.82877850695</x:v>
      </x:c>
      <x:c r="AA1262" t="str" s="2">
        <x:v>Jose Parada</x:v>
      </x:c>
      <x:c r="AB1262" s="6">
        <x:v>46274.80235590278</x:v>
      </x:c>
      <x:c r="AC1262" t="n" s="2">
        <x:v>39841</x:v>
      </x:c>
      <x:c r="AD1262" s="0"/>
      <x:c r="AE1262" s="0"/>
      <x:c r="AF1262" s="0"/>
      <x:c r="AG1262" s="0"/>
      <x:c r="AH1262" s="0"/>
      <x:c r="AI1262" s="0"/>
      <x:c r="AJ1262" s="0"/>
      <x:c r="AK1262" s="0"/>
    </x:row>
    <x:row r="1263">
      <x:c r="A1263" t="str" s="2">
        <x:f>=HYPERLINK("https://rsms.futurehomex.com/lead/39843", "Cheyenne Rose")</x:f>
      </x:c>
      <x:c r="B1263" t="n" s="2">
        <x:v>34</x:v>
      </x:c>
      <x:c r="C1263" t="str" s="2">
        <x:v>1/1</x:v>
      </x:c>
      <x:c r="D1263" t="str" s="2">
        <x:f>=""</x:f>
      </x:c>
      <x:c r="E1263" s="0"/>
      <x:c r="F1263" t="str" s="2">
        <x:v>Walk-in</x:v>
      </x:c>
      <x:c r="G1263" t="str" s="2">
        <x:v>Heritage Housing of Athens</x:v>
      </x:c>
      <x:c r="H1263" t="str" s="2">
        <x:v>Nathan Bishop</x:v>
      </x:c>
      <x:c r="I1263" s="0"/>
      <x:c r="J1263" t="str" s="2">
        <x:v>Nathan Bishop</x:v>
      </x:c>
      <x:c r="K1263" t="n" s="2">
        <x:v>5</x:v>
      </x:c>
      <x:c r="L1263" t="str" s="2">
        <x:v>1.1</x:v>
      </x:c>
      <x:c r="M1263" t="str" s="2">
        <x:v>Tentative</x:v>
      </x:c>
      <x:c r="N1263" t="str" s="2">
        <x:v>Deal Created</x:v>
      </x:c>
      <x:c r="O1263" s="0"/>
      <x:c r="P1263" s="6">
        <x:v>46274</x:v>
      </x:c>
      <x:c r="Q1263" s="6">
        <x:v>46281.89427418981</x:v>
      </x:c>
      <x:c r="R1263" s="0"/>
      <x:c r="S1263" s="6">
        <x:v>46280</x:v>
      </x:c>
      <x:c r="T1263" s="0"/>
      <x:c r="U1263" s="0"/>
      <x:c r="V1263" s="0"/>
      <x:c r="W1263" s="0"/>
      <x:c r="X1263" t="str" s="2">
        <x:v>4354144279</x:v>
      </x:c>
      <x:c r="Y1263" t="str" s="2">
        <x:v>cheyennelrose07222220@gmail.com</x:v>
      </x:c>
      <x:c r="Z1263" s="6">
        <x:v>46303.7207934375</x:v>
      </x:c>
      <x:c r="AA1263" t="str" s="2">
        <x:v>Nathan Bishop</x:v>
      </x:c>
      <x:c r="AB1263" s="6">
        <x:v>46274.80624829861</x:v>
      </x:c>
      <x:c r="AC1263" t="n" s="2">
        <x:v>39843</x:v>
      </x:c>
      <x:c r="AD1263" s="0"/>
      <x:c r="AE1263" s="0"/>
      <x:c r="AF1263" s="0"/>
      <x:c r="AG1263" s="0"/>
      <x:c r="AH1263" s="0"/>
      <x:c r="AI1263" s="0"/>
      <x:c r="AJ1263" s="0"/>
      <x:c r="AK1263" s="0"/>
    </x:row>
    <x:row r="1264">
      <x:c r="A1264" t="str" s="2">
        <x:f>=HYPERLINK("https://rsms.futurehomex.com/lead/39844", "David Dav")</x:f>
      </x:c>
      <x:c r="B1264" t="n" s="2">
        <x:v>34</x:v>
      </x:c>
      <x:c r="C1264" t="str" s="2">
        <x:v/>
      </x:c>
      <x:c r="D1264" t="str" s="2">
        <x:f>=""</x:f>
      </x:c>
      <x:c r="E1264" s="0"/>
      <x:c r="F1264" t="str" s="2">
        <x:v>Other</x:v>
      </x:c>
      <x:c r="G1264" t="str" s="2">
        <x:v>Heritage Housing of Athens</x:v>
      </x:c>
      <x:c r="H1264" t="str" s="2">
        <x:v>Nathan Bishop</x:v>
      </x:c>
      <x:c r="I1264" s="0"/>
      <x:c r="J1264" t="str" s="2">
        <x:v>Nathan Bishop</x:v>
      </x:c>
      <x:c r="K1264" t="n" s="2">
        <x:v>5</x:v>
      </x:c>
      <x:c r="L1264" t="str" s="2">
        <x:v>1.1</x:v>
      </x:c>
      <x:c r="M1264" t="str" s="2">
        <x:v>Tentative</x:v>
      </x:c>
      <x:c r="N1264" t="str" s="2">
        <x:v>Deal Created</x:v>
      </x:c>
      <x:c r="O1264" s="0"/>
      <x:c r="P1264" s="6">
        <x:v>46274</x:v>
      </x:c>
      <x:c r="Q1264" s="6">
        <x:v>46274.827232372685</x:v>
      </x:c>
      <x:c r="R1264" s="0"/>
      <x:c r="S1264" s="0"/>
      <x:c r="T1264" s="0"/>
      <x:c r="U1264" s="0"/>
      <x:c r="V1264" s="0"/>
      <x:c r="W1264" s="0"/>
      <x:c r="X1264" t="str" s="2">
        <x:v>4789790533</x:v>
      </x:c>
      <x:c r="Y1264" t="str" s="2">
        <x:v>4789790533</x:v>
      </x:c>
      <x:c r="Z1264" s="6">
        <x:v>46274.82780821759</x:v>
      </x:c>
      <x:c r="AA1264" t="str" s="2">
        <x:v>Nathan Bishop</x:v>
      </x:c>
      <x:c r="AB1264" s="6">
        <x:v>46274.827234143515</x:v>
      </x:c>
      <x:c r="AC1264" t="n" s="2">
        <x:v>39844</x:v>
      </x:c>
      <x:c r="AD1264" s="0"/>
      <x:c r="AE1264" s="0"/>
      <x:c r="AF1264" s="0"/>
      <x:c r="AG1264" s="0"/>
      <x:c r="AH1264" s="0"/>
      <x:c r="AI1264" s="0"/>
      <x:c r="AJ1264" s="0"/>
      <x:c r="AK1264" s="0"/>
    </x:row>
    <x:row r="1265">
      <x:c r="A1265" t="str" s="2">
        <x:f>=HYPERLINK("https://rsms.futurehomex.com/lead/39845", "Lenora Dorsey")</x:f>
      </x:c>
      <x:c r="B1265" t="n" s="2">
        <x:v>34</x:v>
      </x:c>
      <x:c r="C1265" t="str" s="2">
        <x:v/>
      </x:c>
      <x:c r="D1265" t="str" s="2">
        <x:f>=""</x:f>
      </x:c>
      <x:c r="E1265" s="0"/>
      <x:c r="F1265" t="str" s="2">
        <x:v>Walk-in</x:v>
      </x:c>
      <x:c r="G1265" t="str" s="2">
        <x:v>Heritage Housing of Augusta</x:v>
      </x:c>
      <x:c r="H1265" t="str" s="2">
        <x:v>Faye Lively</x:v>
      </x:c>
      <x:c r="I1265" s="0"/>
      <x:c r="J1265" s="0"/>
      <x:c r="K1265" t="n" s="2">
        <x:v>5</x:v>
      </x:c>
      <x:c r="L1265" t="str" s="2">
        <x:v>1.1</x:v>
      </x:c>
      <x:c r="M1265" t="str" s="2">
        <x:v>Tentative</x:v>
      </x:c>
      <x:c r="N1265" t="str" s="2">
        <x:v>Prospect</x:v>
      </x:c>
      <x:c r="O1265" s="0"/>
      <x:c r="P1265" s="6">
        <x:v>46274</x:v>
      </x:c>
      <x:c r="Q1265" s="6">
        <x:v>46280.71866096065</x:v>
      </x:c>
      <x:c r="R1265" s="0"/>
      <x:c r="S1265" s="0"/>
      <x:c r="T1265" s="0"/>
      <x:c r="U1265" s="0"/>
      <x:c r="V1265" s="0"/>
      <x:c r="W1265" s="0"/>
      <x:c r="X1265" t="str" s="2">
        <x:v>2403382377</x:v>
      </x:c>
      <x:c r="Y1265" t="str" s="2">
        <x:v>lenoradorsey1966@gmail.com</x:v>
      </x:c>
      <x:c r="Z1265" s="0"/>
      <x:c r="AA1265" s="0"/>
      <x:c r="AB1265" s="6">
        <x:v>46274.84728310185</x:v>
      </x:c>
      <x:c r="AC1265" t="n" s="2">
        <x:v>39845</x:v>
      </x:c>
      <x:c r="AD1265" s="0"/>
      <x:c r="AE1265" s="0"/>
      <x:c r="AF1265" s="0"/>
      <x:c r="AG1265" s="0"/>
      <x:c r="AH1265" s="0"/>
      <x:c r="AI1265" s="0"/>
      <x:c r="AJ1265" s="0"/>
      <x:c r="AK1265" s="0"/>
    </x:row>
    <x:row r="1266">
      <x:c r="A1266" t="str" s="2">
        <x:f>=HYPERLINK("https://rsms.futurehomex.com/lead/39847", "Yanwei Sam Sun")</x:f>
      </x:c>
      <x:c r="B1266" t="n" s="2">
        <x:v>34</x:v>
      </x:c>
      <x:c r="C1266" t="str" s="2">
        <x:v>1/3</x:v>
      </x:c>
      <x:c r="D1266" t="str" s="2">
        <x:f>=""</x:f>
      </x:c>
      <x:c r="E1266" s="0"/>
      <x:c r="F1266" t="str" s="2">
        <x:v>Meta Ads - Messenger</x:v>
      </x:c>
      <x:c r="G1266" t="str" s="2">
        <x:v>Heritage Housing of Oklahoma City</x:v>
      </x:c>
      <x:c r="H1266" t="str" s="2">
        <x:v>Trey Rixleben</x:v>
      </x:c>
      <x:c r="I1266" s="0"/>
      <x:c r="J1266" s="0"/>
      <x:c r="K1266" t="n" s="2">
        <x:v>5</x:v>
      </x:c>
      <x:c r="L1266" t="str" s="2">
        <x:v>1.1</x:v>
      </x:c>
      <x:c r="M1266" t="str" s="2">
        <x:v>Tentative</x:v>
      </x:c>
      <x:c r="N1266" t="str" s="2">
        <x:v>Deal Created</x:v>
      </x:c>
      <x:c r="O1266" s="0"/>
      <x:c r="P1266" s="6">
        <x:v>46274</x:v>
      </x:c>
      <x:c r="Q1266" s="6">
        <x:v>46274.86867118056</x:v>
      </x:c>
      <x:c r="R1266" s="0"/>
      <x:c r="S1266" s="6">
        <x:v>46284</x:v>
      </x:c>
      <x:c r="T1266" s="0"/>
      <x:c r="U1266" s="0"/>
      <x:c r="V1266" s="0"/>
      <x:c r="W1266" s="0"/>
      <x:c r="X1266" t="str" s="2">
        <x:v>5097814295</x:v>
      </x:c>
      <x:c r="Y1266" t="str" s="2">
        <x:v>sunyw.zI@gmail.com</x:v>
      </x:c>
      <x:c r="Z1266" s="6">
        <x:v>46296.8757962963</x:v>
      </x:c>
      <x:c r="AA1266" t="str" s="2">
        <x:v>Trey Rixleben</x:v>
      </x:c>
      <x:c r="AB1266" s="6">
        <x:v>46274.86867253472</x:v>
      </x:c>
      <x:c r="AC1266" t="n" s="2">
        <x:v>39847</x:v>
      </x:c>
      <x:c r="AD1266" s="0"/>
      <x:c r="AE1266" s="0"/>
      <x:c r="AF1266" s="0"/>
      <x:c r="AG1266" s="0"/>
      <x:c r="AH1266" s="0"/>
      <x:c r="AI1266" s="0"/>
      <x:c r="AJ1266" s="0"/>
      <x:c r="AK1266" s="0"/>
    </x:row>
    <x:row r="1267">
      <x:c r="A1267" t="str" s="2">
        <x:f>=HYPERLINK("https://rsms.futurehomex.com/lead/39848", "Laura Huff")</x:f>
      </x:c>
      <x:c r="B1267" t="n" s="2">
        <x:v>34</x:v>
      </x:c>
      <x:c r="C1267" t="str" s="2">
        <x:v/>
      </x:c>
      <x:c r="D1267" t="str" s="2">
        <x:f>=""</x:f>
      </x:c>
      <x:c r="E1267" s="0"/>
      <x:c r="F1267" t="str" s="2">
        <x:v>Referrals</x:v>
      </x:c>
      <x:c r="G1267" t="str" s="2">
        <x:v>Heritage Housing Mt Pleasant</x:v>
      </x:c>
      <x:c r="H1267" t="str" s="2">
        <x:v>Yarelis Torres</x:v>
      </x:c>
      <x:c r="I1267" s="0"/>
      <x:c r="J1267" t="str" s="2">
        <x:v>Yarelis Torres</x:v>
      </x:c>
      <x:c r="K1267" t="n" s="2">
        <x:v>5</x:v>
      </x:c>
      <x:c r="L1267" t="str" s="2">
        <x:v>1.1</x:v>
      </x:c>
      <x:c r="M1267" t="str" s="2">
        <x:v>Tentative</x:v>
      </x:c>
      <x:c r="N1267" t="str" s="2">
        <x:v>Deal Created</x:v>
      </x:c>
      <x:c r="O1267" s="0"/>
      <x:c r="P1267" s="6">
        <x:v>46274</x:v>
      </x:c>
      <x:c r="Q1267" s="6">
        <x:v>46274.86999892361</x:v>
      </x:c>
      <x:c r="R1267" s="0"/>
      <x:c r="S1267" s="0"/>
      <x:c r="T1267" s="0"/>
      <x:c r="U1267" s="0"/>
      <x:c r="V1267" s="0"/>
      <x:c r="W1267" s="0"/>
      <x:c r="X1267" t="str" s="2">
        <x:v>7135011992</x:v>
      </x:c>
      <x:c r="Y1267" t="str" s="2">
        <x:v>7135011992</x:v>
      </x:c>
      <x:c r="Z1267" s="6">
        <x:v>46275.845783715275</x:v>
      </x:c>
      <x:c r="AA1267" t="str" s="2">
        <x:v>Yarelis Torres</x:v>
      </x:c>
      <x:c r="AB1267" s="6">
        <x:v>46274.8700003125</x:v>
      </x:c>
      <x:c r="AC1267" t="n" s="2">
        <x:v>39848</x:v>
      </x:c>
      <x:c r="AD1267" s="0"/>
      <x:c r="AE1267" s="0"/>
      <x:c r="AF1267" s="0"/>
      <x:c r="AG1267" s="0"/>
      <x:c r="AH1267" s="0"/>
      <x:c r="AI1267" s="0"/>
      <x:c r="AJ1267" s="0"/>
      <x:c r="AK1267" s="0"/>
    </x:row>
    <x:row r="1268">
      <x:c r="A1268" t="str" s="2">
        <x:f>=HYPERLINK("https://rsms.futurehomex.com/lead/39849", "Dianna Parsley")</x:f>
      </x:c>
      <x:c r="B1268" t="n" s="2">
        <x:v>34</x:v>
      </x:c>
      <x:c r="C1268" t="str" s="2">
        <x:v>1/2</x:v>
      </x:c>
      <x:c r="D1268" t="str" s="2">
        <x:f>=""</x:f>
      </x:c>
      <x:c r="E1268" s="0"/>
      <x:c r="F1268" t="str" s="2">
        <x:v>Walk-in</x:v>
      </x:c>
      <x:c r="G1268" t="str" s="2">
        <x:v>Heritage Housing of Jennings</x:v>
      </x:c>
      <x:c r="H1268" t="str" s="2">
        <x:v>Clint O'Neal</x:v>
      </x:c>
      <x:c r="I1268" s="0"/>
      <x:c r="J1268" s="0"/>
      <x:c r="K1268" t="n" s="2">
        <x:v>5</x:v>
      </x:c>
      <x:c r="L1268" t="str" s="2">
        <x:v>1.1</x:v>
      </x:c>
      <x:c r="M1268" t="str" s="2">
        <x:v>Tentative</x:v>
      </x:c>
      <x:c r="N1268" t="str" s="2">
        <x:v>Prospect</x:v>
      </x:c>
      <x:c r="O1268" s="0"/>
      <x:c r="P1268" s="6">
        <x:v>46274</x:v>
      </x:c>
      <x:c r="Q1268" s="6">
        <x:v>46274.91524042824</x:v>
      </x:c>
      <x:c r="R1268" s="0"/>
      <x:c r="S1268" s="0"/>
      <x:c r="T1268" s="0"/>
      <x:c r="U1268" s="0"/>
      <x:c r="V1268" s="0"/>
      <x:c r="W1268" s="0"/>
      <x:c r="X1268" t="str" s="2">
        <x:v>3373689226</x:v>
      </x:c>
      <x:c r="Y1268" t="str" s="2">
        <x:v>parsleydianna@gmail.com</x:v>
      </x:c>
      <x:c r="Z1268" s="6">
        <x:v>46307.632604895836</x:v>
      </x:c>
      <x:c r="AA1268" t="str" s="2">
        <x:v>Clint O'Neal</x:v>
      </x:c>
      <x:c r="AB1268" s="6">
        <x:v>46274.87699293981</x:v>
      </x:c>
      <x:c r="AC1268" t="n" s="2">
        <x:v>39849</x:v>
      </x:c>
      <x:c r="AD1268" s="0"/>
      <x:c r="AE1268" s="0"/>
      <x:c r="AF1268" s="0"/>
      <x:c r="AG1268" s="0"/>
      <x:c r="AH1268" s="0"/>
      <x:c r="AI1268" s="0"/>
      <x:c r="AJ1268" s="0"/>
      <x:c r="AK1268" s="0"/>
    </x:row>
    <x:row r="1269">
      <x:c r="A1269" t="str" s="2">
        <x:f>=HYPERLINK("https://rsms.futurehomex.com/lead/39850", "Jose Mateo Rolon")</x:f>
      </x:c>
      <x:c r="B1269" t="n" s="2">
        <x:v>34</x:v>
      </x:c>
      <x:c r="C1269" t="str" s="2">
        <x:v>0/1</x:v>
      </x:c>
      <x:c r="D1269" t="str" s="2">
        <x:f>=""</x:f>
      </x:c>
      <x:c r="E1269" s="0"/>
      <x:c r="F1269" t="str" s="2">
        <x:v>Walk-in</x:v>
      </x:c>
      <x:c r="G1269" t="str" s="2">
        <x:v>Heritage Housing of Asheboro</x:v>
      </x:c>
      <x:c r="H1269" t="str" s="2">
        <x:v>Maria Lopez</x:v>
      </x:c>
      <x:c r="I1269" t="str" s="2">
        <x:v>Karol Romero</x:v>
      </x:c>
      <x:c r="J1269" t="str" s="2">
        <x:v>Maria Lopez</x:v>
      </x:c>
      <x:c r="K1269" t="n" s="2">
        <x:v>40</x:v>
      </x:c>
      <x:c r="L1269" t="str" s="2">
        <x:v>3.3</x:v>
      </x:c>
      <x:c r="M1269" t="str" s="2">
        <x:v>Dead</x:v>
      </x:c>
      <x:c r="N1269" t="str" s="2">
        <x:v>Application</x:v>
      </x:c>
      <x:c r="O1269" s="0"/>
      <x:c r="P1269" s="6">
        <x:v>46274</x:v>
      </x:c>
      <x:c r="Q1269" s="6">
        <x:v>46288.54422496528</x:v>
      </x:c>
      <x:c r="R1269" s="0"/>
      <x:c r="S1269" s="6">
        <x:v>46274</x:v>
      </x:c>
      <x:c r="T1269" s="0"/>
      <x:c r="U1269" s="0"/>
      <x:c r="V1269" s="0"/>
      <x:c r="W1269" s="0"/>
      <x:c r="X1269" t="str" s="2">
        <x:v>3369532739</x:v>
      </x:c>
      <x:c r="Y1269" t="str" s="2">
        <x:v>mateoantonio1977@gmail.com</x:v>
      </x:c>
      <x:c r="Z1269" s="6">
        <x:v>46307.69337920139</x:v>
      </x:c>
      <x:c r="AA1269" t="str" s="2">
        <x:v>Debbie Farmerie</x:v>
      </x:c>
      <x:c r="AB1269" s="6">
        <x:v>46274.88271049769</x:v>
      </x:c>
      <x:c r="AC1269" t="n" s="2">
        <x:v>39850</x:v>
      </x:c>
      <x:c r="AD1269" t="str" s="2">
        <x:v>Singlewide</x:v>
      </x:c>
      <x:c r="AE1269" t="str" s="2">
        <x:v>Legacy Housing Corporation</x:v>
      </x:c>
      <x:c r="AF1269" s="7">
        <x:v>6150</x:v>
      </x:c>
      <x:c r="AG1269" s="7">
        <x:v>6150</x:v>
      </x:c>
      <x:c r="AH1269" s="0"/>
      <x:c r="AI1269" t="str" s="2">
        <x:v>588</x:v>
      </x:c>
      <x:c r="AJ1269" s="0"/>
      <x:c r="AK1269" s="0"/>
    </x:row>
    <x:row r="1270">
      <x:c r="A1270" t="str" s="2">
        <x:f>=HYPERLINK("https://rsms.futurehomex.com/lead/39851", "Sarima Gracia")</x:f>
      </x:c>
      <x:c r="B1270" t="n" s="2">
        <x:v>34</x:v>
      </x:c>
      <x:c r="C1270" t="str" s="2">
        <x:v/>
      </x:c>
      <x:c r="D1270" t="str" s="2">
        <x:f>=""</x:f>
      </x:c>
      <x:c r="E1270" s="0"/>
      <x:c r="F1270" t="str" s="2">
        <x:v>Walk-in</x:v>
      </x:c>
      <x:c r="G1270" t="str" s="2">
        <x:v>Heritage Housing of Asheboro</x:v>
      </x:c>
      <x:c r="H1270" t="str" s="2">
        <x:v>Kate Gutierrez</x:v>
      </x:c>
      <x:c r="I1270" s="0"/>
      <x:c r="J1270" s="0"/>
      <x:c r="K1270" t="n" s="2">
        <x:v>21</x:v>
      </x:c>
      <x:c r="L1270" t="str" s="2">
        <x:v>2.1</x:v>
      </x:c>
      <x:c r="M1270" t="str" s="2">
        <x:v>Tentative</x:v>
      </x:c>
      <x:c r="N1270" t="str" s="2">
        <x:v>Qualified</x:v>
      </x:c>
      <x:c r="O1270" s="0"/>
      <x:c r="P1270" s="6">
        <x:v>46274</x:v>
      </x:c>
      <x:c r="Q1270" s="6">
        <x:v>46282.739178090276</x:v>
      </x:c>
      <x:c r="R1270" s="0"/>
      <x:c r="S1270" s="0"/>
      <x:c r="T1270" s="0"/>
      <x:c r="U1270" s="0"/>
      <x:c r="V1270" s="0"/>
      <x:c r="W1270" s="0"/>
      <x:c r="X1270" t="str" s="2">
        <x:v>3052365231</x:v>
      </x:c>
      <x:c r="Y1270" t="str" s="2">
        <x:v>sarimadesign@gmail.com</x:v>
      </x:c>
      <x:c r="Z1270" s="6">
        <x:v>46282.73916524305</x:v>
      </x:c>
      <x:c r="AA1270" t="str" s="2">
        <x:v>Jeremy Jacques</x:v>
      </x:c>
      <x:c r="AB1270" s="6">
        <x:v>46274.88493862269</x:v>
      </x:c>
      <x:c r="AC1270" t="n" s="2">
        <x:v>39851</x:v>
      </x:c>
      <x:c r="AD1270" s="0"/>
      <x:c r="AE1270" s="0"/>
      <x:c r="AF1270" s="0"/>
      <x:c r="AG1270" s="0"/>
      <x:c r="AH1270" s="0"/>
      <x:c r="AI1270" s="0"/>
      <x:c r="AJ1270" s="0"/>
      <x:c r="AK1270" s="0"/>
    </x:row>
    <x:row r="1271">
      <x:c r="A1271" t="str" s="2">
        <x:f>=HYPERLINK("https://rsms.futurehomex.com/lead/39852", "Tracy COTTON")</x:f>
      </x:c>
      <x:c r="B1271" t="n" s="2">
        <x:v>34</x:v>
      </x:c>
      <x:c r="C1271" t="str" s="2">
        <x:v>1/2</x:v>
      </x:c>
      <x:c r="D1271" t="str" s="2">
        <x:f>=""</x:f>
      </x:c>
      <x:c r="E1271" s="0"/>
      <x:c r="F1271" t="str" s="2">
        <x:v>Youtube</x:v>
      </x:c>
      <x:c r="G1271" t="str" s="2">
        <x:v>Heritage Housing of Oklahoma City</x:v>
      </x:c>
      <x:c r="H1271" t="str" s="2">
        <x:v>Trey Rixleben</x:v>
      </x:c>
      <x:c r="I1271" s="0"/>
      <x:c r="J1271" s="0"/>
      <x:c r="K1271" t="n" s="2">
        <x:v>5</x:v>
      </x:c>
      <x:c r="L1271" t="str" s="2">
        <x:v>1.1</x:v>
      </x:c>
      <x:c r="M1271" t="str" s="2">
        <x:v>Tentative</x:v>
      </x:c>
      <x:c r="N1271" t="str" s="2">
        <x:v>Deal Created</x:v>
      </x:c>
      <x:c r="O1271" s="0"/>
      <x:c r="P1271" s="6">
        <x:v>46274</x:v>
      </x:c>
      <x:c r="Q1271" s="6">
        <x:v>46290.86594216435</x:v>
      </x:c>
      <x:c r="R1271" s="0"/>
      <x:c r="S1271" s="0"/>
      <x:c r="T1271" s="0"/>
      <x:c r="U1271" s="0"/>
      <x:c r="V1271" s="0"/>
      <x:c r="W1271" s="0"/>
      <x:c r="X1271" t="str" s="2">
        <x:v>9186302581</x:v>
      </x:c>
      <x:c r="Y1271" t="str" s="2">
        <x:v>Tracycotton277@gmail.com</x:v>
      </x:c>
      <x:c r="Z1271" s="6">
        <x:v>46290.86609575232</x:v>
      </x:c>
      <x:c r="AA1271" t="str" s="2">
        <x:v>Trey Rixleben</x:v>
      </x:c>
      <x:c r="AB1271" s="6">
        <x:v>46274.91313908565</x:v>
      </x:c>
      <x:c r="AC1271" t="n" s="2">
        <x:v>39852</x:v>
      </x:c>
      <x:c r="AD1271" s="0"/>
      <x:c r="AE1271" s="0"/>
      <x:c r="AF1271" s="0"/>
      <x:c r="AG1271" s="0"/>
      <x:c r="AH1271" s="0"/>
      <x:c r="AI1271" s="0"/>
      <x:c r="AJ1271" s="0"/>
      <x:c r="AK1271" s="0"/>
    </x:row>
    <x:row r="1272">
      <x:c r="A1272" t="str" s="2">
        <x:f>=HYPERLINK("https://rsms.futurehomex.com/lead/39853", "Jackelin Gonzalez")</x:f>
      </x:c>
      <x:c r="B1272" t="n" s="2">
        <x:v>34</x:v>
      </x:c>
      <x:c r="C1272" t="str" s="2">
        <x:v/>
      </x:c>
      <x:c r="D1272" t="str" s="2">
        <x:f>=""</x:f>
      </x:c>
      <x:c r="E1272" s="0"/>
      <x:c r="F1272" t="str" s="2">
        <x:v>Referrals</x:v>
      </x:c>
      <x:c r="G1272" t="str" s="2">
        <x:v>Heritage Housing Mt Pleasant</x:v>
      </x:c>
      <x:c r="H1272" t="str" s="2">
        <x:v>Sandra Saldana</x:v>
      </x:c>
      <x:c r="I1272" s="0"/>
      <x:c r="J1272" t="str" s="2">
        <x:v>Sandra Saldana</x:v>
      </x:c>
      <x:c r="K1272" t="n" s="2">
        <x:v>5</x:v>
      </x:c>
      <x:c r="L1272" t="str" s="2">
        <x:v>1.1</x:v>
      </x:c>
      <x:c r="M1272" t="str" s="2">
        <x:v>Tentative</x:v>
      </x:c>
      <x:c r="N1272" t="str" s="2">
        <x:v>Deal Created</x:v>
      </x:c>
      <x:c r="O1272" s="0"/>
      <x:c r="P1272" s="6">
        <x:v>46274</x:v>
      </x:c>
      <x:c r="Q1272" s="6">
        <x:v>46274.91344841435</x:v>
      </x:c>
      <x:c r="R1272" s="0"/>
      <x:c r="S1272" s="0"/>
      <x:c r="T1272" s="0"/>
      <x:c r="U1272" s="0"/>
      <x:c r="V1272" s="0"/>
      <x:c r="W1272" s="0"/>
      <x:c r="X1272" t="str" s="2">
        <x:v>4704297032</x:v>
      </x:c>
      <x:c r="Y1272" t="str" s="2">
        <x:v>4704297032</x:v>
      </x:c>
      <x:c r="Z1272" s="6">
        <x:v>46274.938712152776</x:v>
      </x:c>
      <x:c r="AA1272" t="str" s="2">
        <x:v>Sandra Saldana</x:v>
      </x:c>
      <x:c r="AB1272" s="6">
        <x:v>46274.913450810185</x:v>
      </x:c>
      <x:c r="AC1272" t="n" s="2">
        <x:v>39853</x:v>
      </x:c>
      <x:c r="AD1272" s="0"/>
      <x:c r="AE1272" s="0"/>
      <x:c r="AF1272" s="0"/>
      <x:c r="AG1272" s="0"/>
      <x:c r="AH1272" s="0"/>
      <x:c r="AI1272" s="0"/>
      <x:c r="AJ1272" s="0"/>
      <x:c r="AK1272" s="0"/>
    </x:row>
    <x:row r="1273">
      <x:c r="A1273" t="str" s="2">
        <x:f>=HYPERLINK("https://rsms.futurehomex.com/lead/39854", "Lori McClain")</x:f>
      </x:c>
      <x:c r="B1273" t="n" s="2">
        <x:v>34</x:v>
      </x:c>
      <x:c r="C1273" t="str" s="2">
        <x:v>1/3</x:v>
      </x:c>
      <x:c r="D1273" t="str" s="2">
        <x:f>=""</x:f>
      </x:c>
      <x:c r="E1273" s="0"/>
      <x:c r="F1273" t="str" s="2">
        <x:v>Youtube</x:v>
      </x:c>
      <x:c r="G1273" t="str" s="2">
        <x:v>Heritage Housing of Oklahoma City</x:v>
      </x:c>
      <x:c r="H1273" t="str" s="2">
        <x:v>Steve Castell</x:v>
      </x:c>
      <x:c r="I1273" s="0"/>
      <x:c r="J1273" t="str" s="2">
        <x:v>Steve Castell</x:v>
      </x:c>
      <x:c r="K1273" t="n" s="2">
        <x:v>5</x:v>
      </x:c>
      <x:c r="L1273" t="str" s="2">
        <x:v>1.1</x:v>
      </x:c>
      <x:c r="M1273" t="str" s="2">
        <x:v>Tentative</x:v>
      </x:c>
      <x:c r="N1273" t="str" s="2">
        <x:v>Deal Created</x:v>
      </x:c>
      <x:c r="O1273" s="0"/>
      <x:c r="P1273" s="6">
        <x:v>46274</x:v>
      </x:c>
      <x:c r="Q1273" s="6">
        <x:v>46274.916415196756</x:v>
      </x:c>
      <x:c r="R1273" s="0"/>
      <x:c r="S1273" s="0"/>
      <x:c r="T1273" s="0"/>
      <x:c r="U1273" s="0"/>
      <x:c r="V1273" s="0"/>
      <x:c r="W1273" s="0"/>
      <x:c r="X1273" t="str" s="2">
        <x:v>4059348311</x:v>
      </x:c>
      <x:c r="Y1273" t="str" s="2">
        <x:v>loriannmcclain1672@gmail.com</x:v>
      </x:c>
      <x:c r="Z1273" s="6">
        <x:v>46301.9558415162</x:v>
      </x:c>
      <x:c r="AA1273" t="str" s="2">
        <x:v>Steve Castell</x:v>
      </x:c>
      <x:c r="AB1273" s="6">
        <x:v>46274.916415775464</x:v>
      </x:c>
      <x:c r="AC1273" t="n" s="2">
        <x:v>39854</x:v>
      </x:c>
      <x:c r="AD1273" s="0"/>
      <x:c r="AE1273" s="0"/>
      <x:c r="AF1273" s="0"/>
      <x:c r="AG1273" s="0"/>
      <x:c r="AH1273" s="0"/>
      <x:c r="AI1273" s="0"/>
      <x:c r="AJ1273" s="0"/>
      <x:c r="AK1273" s="0"/>
    </x:row>
    <x:row r="1274">
      <x:c r="A1274" t="str" s="2">
        <x:f>=HYPERLINK("https://rsms.futurehomex.com/lead/39855", "TIFFANI SMITH")</x:f>
      </x:c>
      <x:c r="B1274" t="n" s="2">
        <x:v>34</x:v>
      </x:c>
      <x:c r="C1274" t="str" s="2">
        <x:v>0/3</x:v>
      </x:c>
      <x:c r="D1274" t="str" s="2">
        <x:f>=""</x:f>
      </x:c>
      <x:c r="E1274" s="0"/>
      <x:c r="F1274" t="str" s="2">
        <x:v>Landing_BPM</x:v>
      </x:c>
      <x:c r="G1274" t="str" s="2">
        <x:v>Heritage Housing of Oklahoma City</x:v>
      </x:c>
      <x:c r="H1274" t="str" s="2">
        <x:v>Steve Castell</x:v>
      </x:c>
      <x:c r="I1274" s="0"/>
      <x:c r="J1274" t="str" s="2">
        <x:v>Steve Castell</x:v>
      </x:c>
      <x:c r="K1274" t="n" s="2">
        <x:v>5</x:v>
      </x:c>
      <x:c r="L1274" t="str" s="2">
        <x:v>1.1</x:v>
      </x:c>
      <x:c r="M1274" t="str" s="2">
        <x:v>Inactive</x:v>
      </x:c>
      <x:c r="N1274" t="str" s="2">
        <x:v>Deal Created</x:v>
      </x:c>
      <x:c r="O1274" s="0"/>
      <x:c r="P1274" s="6">
        <x:v>46274</x:v>
      </x:c>
      <x:c r="Q1274" s="6">
        <x:v>46274.91868888889</x:v>
      </x:c>
      <x:c r="R1274" s="0"/>
      <x:c r="S1274" s="0"/>
      <x:c r="T1274" s="0"/>
      <x:c r="U1274" s="0"/>
      <x:c r="V1274" s="0"/>
      <x:c r="W1274" s="0"/>
      <x:c r="X1274" t="str" s="2">
        <x:v>4059736027</x:v>
      </x:c>
      <x:c r="Y1274" t="str" s="2">
        <x:v>TIFFANI.VICTORIA.90@GMAIL.COM</x:v>
      </x:c>
      <x:c r="Z1274" s="6">
        <x:v>46291.0659278588</x:v>
      </x:c>
      <x:c r="AA1274" t="str" s="2">
        <x:v>Steve Castell</x:v>
      </x:c>
      <x:c r="AB1274" s="6">
        <x:v>46274.918689618054</x:v>
      </x:c>
      <x:c r="AC1274" t="n" s="2">
        <x:v>39855</x:v>
      </x:c>
      <x:c r="AD1274" s="0"/>
      <x:c r="AE1274" s="0"/>
      <x:c r="AF1274" s="0"/>
      <x:c r="AG1274" s="0"/>
      <x:c r="AH1274" s="0"/>
      <x:c r="AI1274" s="0"/>
      <x:c r="AJ1274" s="0"/>
      <x:c r="AK1274" s="0"/>
    </x:row>
    <x:row r="1275">
      <x:c r="A1275" t="str" s="2">
        <x:f>=HYPERLINK("https://rsms.futurehomex.com/lead/39856", "Nicole Fisher")</x:f>
      </x:c>
      <x:c r="B1275" t="n" s="2">
        <x:v>34</x:v>
      </x:c>
      <x:c r="C1275" t="str" s="2">
        <x:v>1/2</x:v>
      </x:c>
      <x:c r="D1275" t="str" s="2">
        <x:f>=""</x:f>
      </x:c>
      <x:c r="E1275" s="0"/>
      <x:c r="F1275" t="str" s="2">
        <x:v>Facebook Messenger</x:v>
      </x:c>
      <x:c r="G1275" t="str" s="2">
        <x:v>Heritage Housing of Oklahoma City</x:v>
      </x:c>
      <x:c r="H1275" t="str" s="2">
        <x:v>Steve Castell</x:v>
      </x:c>
      <x:c r="I1275" s="0"/>
      <x:c r="J1275" t="str" s="2">
        <x:v>Steve Castell</x:v>
      </x:c>
      <x:c r="K1275" t="n" s="2">
        <x:v>5</x:v>
      </x:c>
      <x:c r="L1275" t="str" s="2">
        <x:v>1.1</x:v>
      </x:c>
      <x:c r="M1275" t="str" s="2">
        <x:v>Tentative</x:v>
      </x:c>
      <x:c r="N1275" t="str" s="2">
        <x:v>Deal Created</x:v>
      </x:c>
      <x:c r="O1275" s="0"/>
      <x:c r="P1275" s="6">
        <x:v>46274</x:v>
      </x:c>
      <x:c r="Q1275" s="6">
        <x:v>46274.94403741898</x:v>
      </x:c>
      <x:c r="R1275" s="0"/>
      <x:c r="S1275" s="0"/>
      <x:c r="T1275" s="0"/>
      <x:c r="U1275" s="0"/>
      <x:c r="V1275" s="0"/>
      <x:c r="W1275" s="0"/>
      <x:c r="X1275" t="str" s="2">
        <x:v>3036604341</x:v>
      </x:c>
      <x:c r="Y1275" t="str" s="2">
        <x:v>3036604341</x:v>
      </x:c>
      <x:c r="Z1275" s="6">
        <x:v>46296.7094684375</x:v>
      </x:c>
      <x:c r="AA1275" t="str" s="2">
        <x:v>Steve Castell</x:v>
      </x:c>
      <x:c r="AB1275" s="6">
        <x:v>46274.94403912037</x:v>
      </x:c>
      <x:c r="AC1275" t="n" s="2">
        <x:v>39856</x:v>
      </x:c>
      <x:c r="AD1275" s="0"/>
      <x:c r="AE1275" s="0"/>
      <x:c r="AF1275" s="0"/>
      <x:c r="AG1275" s="0"/>
      <x:c r="AH1275" s="0"/>
      <x:c r="AI1275" s="0"/>
      <x:c r="AJ1275" s="0"/>
      <x:c r="AK1275" s="0"/>
    </x:row>
    <x:row r="1276">
      <x:c r="A1276" t="str" s="2">
        <x:f>=HYPERLINK("https://rsms.futurehomex.com/lead/39857", "Tyesha Hayward")</x:f>
      </x:c>
      <x:c r="B1276" t="n" s="2">
        <x:v>34</x:v>
      </x:c>
      <x:c r="C1276" t="str" s="2">
        <x:v/>
      </x:c>
      <x:c r="D1276" t="str" s="2">
        <x:f>=""</x:f>
      </x:c>
      <x:c r="E1276" s="0"/>
      <x:c r="F1276" t="str" s="2">
        <x:v>Financing Form</x:v>
      </x:c>
      <x:c r="G1276" t="str" s="2">
        <x:v>Heritage Housing of Asheboro</x:v>
      </x:c>
      <x:c r="H1276" t="str" s="2">
        <x:v>Maria Lopez</x:v>
      </x:c>
      <x:c r="I1276" t="str" s="2">
        <x:v>Karol Romero</x:v>
      </x:c>
      <x:c r="J1276" s="0"/>
      <x:c r="K1276" t="n" s="2">
        <x:v>21</x:v>
      </x:c>
      <x:c r="L1276" t="str" s="2">
        <x:v>2.1</x:v>
      </x:c>
      <x:c r="M1276" t="str" s="2">
        <x:v>Tentative</x:v>
      </x:c>
      <x:c r="N1276" t="str" s="2">
        <x:v>Qualified</x:v>
      </x:c>
      <x:c r="O1276" s="0"/>
      <x:c r="P1276" s="6">
        <x:v>46274</x:v>
      </x:c>
      <x:c r="Q1276" s="6">
        <x:v>46282.739473842594</x:v>
      </x:c>
      <x:c r="R1276" s="0"/>
      <x:c r="S1276" s="0"/>
      <x:c r="T1276" s="0"/>
      <x:c r="U1276" s="0"/>
      <x:c r="V1276" s="0"/>
      <x:c r="W1276" s="0"/>
      <x:c r="X1276" t="str" s="2">
        <x:v>7069412071</x:v>
      </x:c>
      <x:c r="Y1276" t="str" s="2">
        <x:v>tyeshahayward2@gmail.com</x:v>
      </x:c>
      <x:c r="Z1276" s="6">
        <x:v>46282.73945987268</x:v>
      </x:c>
      <x:c r="AA1276" t="str" s="2">
        <x:v>Jeremy Jacques</x:v>
      </x:c>
      <x:c r="AB1276" s="6">
        <x:v>46274.94417349537</x:v>
      </x:c>
      <x:c r="AC1276" t="n" s="2">
        <x:v>39857</x:v>
      </x:c>
      <x:c r="AD1276" s="0"/>
      <x:c r="AE1276" s="0"/>
      <x:c r="AF1276" s="0"/>
      <x:c r="AG1276" s="0"/>
      <x:c r="AH1276" s="0"/>
      <x:c r="AI1276" s="0"/>
      <x:c r="AJ1276" s="0"/>
      <x:c r="AK1276" s="0"/>
    </x:row>
    <x:row r="1277">
      <x:c r="A1277" t="str" s="2">
        <x:f>=HYPERLINK("https://rsms.futurehomex.com/lead/39859", "Zachary Evans")</x:f>
      </x:c>
      <x:c r="B1277" t="n" s="2">
        <x:v>34</x:v>
      </x:c>
      <x:c r="C1277" t="str" s="2">
        <x:v>1/1</x:v>
      </x:c>
      <x:c r="D1277" t="str" s="2">
        <x:f>=""</x:f>
      </x:c>
      <x:c r="E1277" s="0"/>
      <x:c r="F1277" t="str" s="2">
        <x:v>Facebook Messenger</x:v>
      </x:c>
      <x:c r="G1277" t="str" s="2">
        <x:v>Heritage Housing of Oklahoma City</x:v>
      </x:c>
      <x:c r="H1277" t="str" s="2">
        <x:v>Trey Rixleben</x:v>
      </x:c>
      <x:c r="I1277" t="str" s="2">
        <x:v>Karol Romero</x:v>
      </x:c>
      <x:c r="J1277" t="str" s="2">
        <x:v>Trey Rixleben</x:v>
      </x:c>
      <x:c r="K1277" t="n" s="2">
        <x:v>5</x:v>
      </x:c>
      <x:c r="L1277" t="str" s="2">
        <x:v>1.1</x:v>
      </x:c>
      <x:c r="M1277" t="str" s="2">
        <x:v>Tentative</x:v>
      </x:c>
      <x:c r="N1277" t="str" s="2">
        <x:v>Deal Created</x:v>
      </x:c>
      <x:c r="O1277" s="0"/>
      <x:c r="P1277" s="6">
        <x:v>46274</x:v>
      </x:c>
      <x:c r="Q1277" s="6">
        <x:v>46290.81275162037</x:v>
      </x:c>
      <x:c r="R1277" s="0"/>
      <x:c r="S1277" s="0"/>
      <x:c r="T1277" s="0"/>
      <x:c r="U1277" s="0"/>
      <x:c r="V1277" s="0"/>
      <x:c r="W1277" s="0"/>
      <x:c r="X1277" t="str" s="2">
        <x:v>5722685121</x:v>
      </x:c>
      <x:c r="Y1277" t="str" s="2">
        <x:v>evanszachary060@gmail.com</x:v>
      </x:c>
      <x:c r="Z1277" s="6">
        <x:v>46290.81458440972</x:v>
      </x:c>
      <x:c r="AA1277" t="str" s="2">
        <x:v>Trey Rixleben</x:v>
      </x:c>
      <x:c r="AB1277" s="6">
        <x:v>46274.979140393516</x:v>
      </x:c>
      <x:c r="AC1277" t="n" s="2">
        <x:v>39859</x:v>
      </x:c>
      <x:c r="AD1277" s="0"/>
      <x:c r="AE1277" s="0"/>
      <x:c r="AF1277" s="0"/>
      <x:c r="AG1277" s="0"/>
      <x:c r="AH1277" s="0"/>
      <x:c r="AI1277" s="0"/>
      <x:c r="AJ1277" s="0"/>
      <x:c r="AK1277" s="0"/>
    </x:row>
    <x:row r="1278">
      <x:c r="A1278" t="str" s="2">
        <x:f>=HYPERLINK("https://rsms.futurehomex.com/lead/39860", "Brandon Nicholson")</x:f>
      </x:c>
      <x:c r="B1278" t="n" s="2">
        <x:v>34</x:v>
      </x:c>
      <x:c r="C1278" t="str" s="2">
        <x:v>1/1</x:v>
      </x:c>
      <x:c r="D1278" t="str" s="2">
        <x:f>=""</x:f>
      </x:c>
      <x:c r="E1278" s="0"/>
      <x:c r="F1278" t="str" s="2">
        <x:v>Financing Form</x:v>
      </x:c>
      <x:c r="G1278" t="str" s="2">
        <x:v>Heritage Housing of Oklahoma City</x:v>
      </x:c>
      <x:c r="H1278" t="str" s="2">
        <x:v>Steve Castell</x:v>
      </x:c>
      <x:c r="I1278" s="0"/>
      <x:c r="J1278" t="str" s="2">
        <x:v>Steve Castell</x:v>
      </x:c>
      <x:c r="K1278" t="n" s="2">
        <x:v>5</x:v>
      </x:c>
      <x:c r="L1278" t="str" s="2">
        <x:v>1.1</x:v>
      </x:c>
      <x:c r="M1278" t="str" s="2">
        <x:v>Tentative</x:v>
      </x:c>
      <x:c r="N1278" t="str" s="2">
        <x:v>Deal Created</x:v>
      </x:c>
      <x:c r="O1278" s="0"/>
      <x:c r="P1278" s="6">
        <x:v>46274</x:v>
      </x:c>
      <x:c r="Q1278" s="6">
        <x:v>46274.98146377315</x:v>
      </x:c>
      <x:c r="R1278" s="0"/>
      <x:c r="S1278" s="0"/>
      <x:c r="T1278" s="0"/>
      <x:c r="U1278" s="0"/>
      <x:c r="V1278" s="0"/>
      <x:c r="W1278" s="0"/>
      <x:c r="X1278" t="str" s="2">
        <x:v>9073156237</x:v>
      </x:c>
      <x:c r="Y1278" t="str" s="2">
        <x:v>brandonthane@gmail.com</x:v>
      </x:c>
      <x:c r="Z1278" s="6">
        <x:v>46274.98628935185</x:v>
      </x:c>
      <x:c r="AA1278" t="str" s="2">
        <x:v>Steve Castell</x:v>
      </x:c>
      <x:c r="AB1278" s="6">
        <x:v>46274.98146458333</x:v>
      </x:c>
      <x:c r="AC1278" t="n" s="2">
        <x:v>39860</x:v>
      </x:c>
      <x:c r="AD1278" s="0"/>
      <x:c r="AE1278" s="0"/>
      <x:c r="AF1278" s="0"/>
      <x:c r="AG1278" s="0"/>
      <x:c r="AH1278" s="0"/>
      <x:c r="AI1278" s="0"/>
      <x:c r="AJ1278" s="0"/>
      <x:c r="AK1278" s="0"/>
    </x:row>
    <x:row r="1279">
      <x:c r="A1279" t="str" s="2">
        <x:f>=HYPERLINK("https://rsms.futurehomex.com/lead/39861", "Lynn Wagner")</x:f>
      </x:c>
      <x:c r="B1279" t="n" s="2">
        <x:v>33</x:v>
      </x:c>
      <x:c r="C1279" t="str" s="2">
        <x:v/>
      </x:c>
      <x:c r="D1279" t="str" s="2">
        <x:f>=""</x:f>
      </x:c>
      <x:c r="E1279" s="0"/>
      <x:c r="F1279" t="str" s="2">
        <x:v>Walk-in</x:v>
      </x:c>
      <x:c r="G1279" t="str" s="2">
        <x:v>Heritage Housing of Asheboro</x:v>
      </x:c>
      <x:c r="H1279" t="str" s="2">
        <x:v>Kate Gutierrez</x:v>
      </x:c>
      <x:c r="I1279" s="0"/>
      <x:c r="J1279" s="0"/>
      <x:c r="K1279" t="n" s="2">
        <x:v>21</x:v>
      </x:c>
      <x:c r="L1279" t="str" s="2">
        <x:v>2.1</x:v>
      </x:c>
      <x:c r="M1279" t="str" s="2">
        <x:v>Tentative</x:v>
      </x:c>
      <x:c r="N1279" t="str" s="2">
        <x:v>Qualified</x:v>
      </x:c>
      <x:c r="O1279" s="0"/>
      <x:c r="P1279" s="6">
        <x:v>46275</x:v>
      </x:c>
      <x:c r="Q1279" s="6">
        <x:v>46282.7384940162</x:v>
      </x:c>
      <x:c r="R1279" s="0"/>
      <x:c r="S1279" s="0"/>
      <x:c r="T1279" s="0"/>
      <x:c r="U1279" s="0"/>
      <x:c r="V1279" s="0"/>
      <x:c r="W1279" s="0"/>
      <x:c r="X1279" t="str" s="2">
        <x:v>3366886816</x:v>
      </x:c>
      <x:c r="Y1279" t="str" s="2">
        <x:v>lynnwagner.wlls@gmail.com</x:v>
      </x:c>
      <x:c r="Z1279" s="6">
        <x:v>46282.738481863424</x:v>
      </x:c>
      <x:c r="AA1279" t="str" s="2">
        <x:v>Jeremy Jacques</x:v>
      </x:c>
      <x:c r="AB1279" s="6">
        <x:v>46275.56256342593</x:v>
      </x:c>
      <x:c r="AC1279" t="n" s="2">
        <x:v>39861</x:v>
      </x:c>
      <x:c r="AD1279" s="0"/>
      <x:c r="AE1279" s="0"/>
      <x:c r="AF1279" s="0"/>
      <x:c r="AG1279" s="0"/>
      <x:c r="AH1279" s="0"/>
      <x:c r="AI1279" s="0"/>
      <x:c r="AJ1279" s="0"/>
      <x:c r="AK1279" s="0"/>
    </x:row>
    <x:row r="1280">
      <x:c r="A1280" t="str" s="2">
        <x:f>=HYPERLINK("https://rsms.futurehomex.com/lead/39863", "Rebecca Holt")</x:f>
      </x:c>
      <x:c r="B1280" t="n" s="2">
        <x:v>33</x:v>
      </x:c>
      <x:c r="C1280" t="str" s="2">
        <x:v>1/1</x:v>
      </x:c>
      <x:c r="D1280" t="str" s="2">
        <x:f>=""</x:f>
      </x:c>
      <x:c r="E1280" s="0"/>
      <x:c r="F1280" t="str" s="2">
        <x:v>Landing_BPM</x:v>
      </x:c>
      <x:c r="G1280" t="str" s="2">
        <x:v>Heritage Housing of Oklahoma City</x:v>
      </x:c>
      <x:c r="H1280" t="str" s="2">
        <x:v>Trey Rixleben</x:v>
      </x:c>
      <x:c r="I1280" s="0"/>
      <x:c r="J1280" s="0"/>
      <x:c r="K1280" t="n" s="2">
        <x:v>5</x:v>
      </x:c>
      <x:c r="L1280" t="str" s="2">
        <x:v>1.1</x:v>
      </x:c>
      <x:c r="M1280" t="str" s="2">
        <x:v>Tentative</x:v>
      </x:c>
      <x:c r="N1280" t="str" s="2">
        <x:v>Deal Created</x:v>
      </x:c>
      <x:c r="O1280" s="0"/>
      <x:c r="P1280" s="6">
        <x:v>46275</x:v>
      </x:c>
      <x:c r="Q1280" s="6">
        <x:v>46308.69998075232</x:v>
      </x:c>
      <x:c r="R1280" s="0"/>
      <x:c r="S1280" s="0"/>
      <x:c r="T1280" s="0"/>
      <x:c r="U1280" s="0"/>
      <x:c r="V1280" s="0"/>
      <x:c r="W1280" s="0"/>
      <x:c r="X1280" t="str" s="2">
        <x:v>4059022422</x:v>
      </x:c>
      <x:c r="Y1280" t="str" s="2">
        <x:v>rebeccaholt485@gmail.com</x:v>
      </x:c>
      <x:c r="Z1280" s="6">
        <x:v>46308.70239695602</x:v>
      </x:c>
      <x:c r="AA1280" t="str" s="2">
        <x:v>Trey Rixleben</x:v>
      </x:c>
      <x:c r="AB1280" s="6">
        <x:v>46275.581911458336</x:v>
      </x:c>
      <x:c r="AC1280" t="n" s="2">
        <x:v>39863</x:v>
      </x:c>
      <x:c r="AD1280" s="0"/>
      <x:c r="AE1280" s="0"/>
      <x:c r="AF1280" s="0"/>
      <x:c r="AG1280" s="0"/>
      <x:c r="AH1280" s="0"/>
      <x:c r="AI1280" s="0"/>
      <x:c r="AJ1280" s="0"/>
      <x:c r="AK1280" s="0"/>
    </x:row>
    <x:row r="1281">
      <x:c r="A1281" t="str" s="2">
        <x:f>=HYPERLINK("https://rsms.futurehomex.com/lead/39864", "Leona Rodriguez")</x:f>
      </x:c>
      <x:c r="B1281" t="n" s="2">
        <x:v>33</x:v>
      </x:c>
      <x:c r="C1281" t="str" s="2">
        <x:v>1/2</x:v>
      </x:c>
      <x:c r="D1281" t="str" s="2">
        <x:f>=""</x:f>
      </x:c>
      <x:c r="E1281" s="0"/>
      <x:c r="F1281" t="str" s="2">
        <x:v>Youtube</x:v>
      </x:c>
      <x:c r="G1281" t="str" s="2">
        <x:v>Heritage Housing of Oklahoma City</x:v>
      </x:c>
      <x:c r="H1281" t="str" s="2">
        <x:v>Trey Rixleben</x:v>
      </x:c>
      <x:c r="I1281" s="0"/>
      <x:c r="J1281" s="0"/>
      <x:c r="K1281" t="n" s="2">
        <x:v>5</x:v>
      </x:c>
      <x:c r="L1281" t="str" s="2">
        <x:v>1.1</x:v>
      </x:c>
      <x:c r="M1281" t="str" s="2">
        <x:v>Tentative</x:v>
      </x:c>
      <x:c r="N1281" t="str" s="2">
        <x:v>Deal Created</x:v>
      </x:c>
      <x:c r="O1281" s="0"/>
      <x:c r="P1281" s="6">
        <x:v>46275</x:v>
      </x:c>
      <x:c r="Q1281" s="6">
        <x:v>46295.93439606482</x:v>
      </x:c>
      <x:c r="R1281" s="0"/>
      <x:c r="S1281" s="0"/>
      <x:c r="T1281" s="0"/>
      <x:c r="U1281" s="0"/>
      <x:c r="V1281" s="0"/>
      <x:c r="W1281" s="0"/>
      <x:c r="X1281" t="str" s="2">
        <x:v>4055176958</x:v>
      </x:c>
      <x:c r="Y1281" t="str" s="2">
        <x:v>heartslovehearts@gmail.com</x:v>
      </x:c>
      <x:c r="Z1281" s="6">
        <x:v>46295.93579290509</x:v>
      </x:c>
      <x:c r="AA1281" t="str" s="2">
        <x:v>Trey Rixleben</x:v>
      </x:c>
      <x:c r="AB1281" s="6">
        <x:v>46275.585602349536</x:v>
      </x:c>
      <x:c r="AC1281" t="n" s="2">
        <x:v>39864</x:v>
      </x:c>
      <x:c r="AD1281" s="0"/>
      <x:c r="AE1281" s="0"/>
      <x:c r="AF1281" s="0"/>
      <x:c r="AG1281" s="0"/>
      <x:c r="AH1281" s="0"/>
      <x:c r="AI1281" s="0"/>
      <x:c r="AJ1281" s="0"/>
      <x:c r="AK1281" s="0"/>
    </x:row>
    <x:row r="1282">
      <x:c r="A1282" t="str" s="2">
        <x:f>=HYPERLINK("https://rsms.futurehomex.com/lead/39865", "Kris Kris Blair")</x:f>
      </x:c>
      <x:c r="B1282" t="n" s="2">
        <x:v>33</x:v>
      </x:c>
      <x:c r="C1282" t="str" s="2">
        <x:v>1/1</x:v>
      </x:c>
      <x:c r="D1282" t="str" s="2">
        <x:f>=""</x:f>
      </x:c>
      <x:c r="E1282" s="0"/>
      <x:c r="F1282" t="str" s="2">
        <x:v>Landing_BPM</x:v>
      </x:c>
      <x:c r="G1282" t="str" s="2">
        <x:v>Heritage Housing of Oklahoma City</x:v>
      </x:c>
      <x:c r="H1282" t="str" s="2">
        <x:v>Trey Rixleben</x:v>
      </x:c>
      <x:c r="I1282" s="0"/>
      <x:c r="J1282" s="0"/>
      <x:c r="K1282" t="n" s="2">
        <x:v>5</x:v>
      </x:c>
      <x:c r="L1282" t="str" s="2">
        <x:v>1.1</x:v>
      </x:c>
      <x:c r="M1282" t="str" s="2">
        <x:v>Tentative</x:v>
      </x:c>
      <x:c r="N1282" t="str" s="2">
        <x:v>Deal Created</x:v>
      </x:c>
      <x:c r="O1282" s="0"/>
      <x:c r="P1282" s="6">
        <x:v>46275</x:v>
      </x:c>
      <x:c r="Q1282" s="6">
        <x:v>46304.74555327546</x:v>
      </x:c>
      <x:c r="R1282" s="0"/>
      <x:c r="S1282" s="0"/>
      <x:c r="T1282" s="0"/>
      <x:c r="U1282" s="0"/>
      <x:c r="V1282" s="0"/>
      <x:c r="W1282" s="0"/>
      <x:c r="X1282" t="str" s="2">
        <x:v>4053619554</x:v>
      </x:c>
      <x:c r="Y1282" t="str" s="2">
        <x:v>ilovelucy482@gmail.com</x:v>
      </x:c>
      <x:c r="Z1282" s="6">
        <x:v>46304.74718622685</x:v>
      </x:c>
      <x:c r="AA1282" t="str" s="2">
        <x:v>Trey Rixleben</x:v>
      </x:c>
      <x:c r="AB1282" s="6">
        <x:v>46275.588687118056</x:v>
      </x:c>
      <x:c r="AC1282" t="n" s="2">
        <x:v>39865</x:v>
      </x:c>
      <x:c r="AD1282" s="0"/>
      <x:c r="AE1282" s="0"/>
      <x:c r="AF1282" s="0"/>
      <x:c r="AG1282" s="0"/>
      <x:c r="AH1282" s="0"/>
      <x:c r="AI1282" s="0"/>
      <x:c r="AJ1282" s="0"/>
      <x:c r="AK1282" s="0"/>
    </x:row>
    <x:row r="1283">
      <x:c r="A1283" t="str" s="2">
        <x:f>=HYPERLINK("https://rsms.futurehomex.com/lead/39866", "Stephanie Wenzel")</x:f>
      </x:c>
      <x:c r="B1283" t="n" s="2">
        <x:v>33</x:v>
      </x:c>
      <x:c r="C1283" t="str" s="2">
        <x:v>0/4</x:v>
      </x:c>
      <x:c r="D1283" t="str" s="2">
        <x:f>=""</x:f>
      </x:c>
      <x:c r="E1283" s="0"/>
      <x:c r="F1283" t="str" s="2">
        <x:v>Landing_BPM</x:v>
      </x:c>
      <x:c r="G1283" t="str" s="2">
        <x:v>Heritage Housing of Oklahoma City</x:v>
      </x:c>
      <x:c r="H1283" t="str" s="2">
        <x:v>Steve Castell</x:v>
      </x:c>
      <x:c r="I1283" s="0"/>
      <x:c r="J1283" t="str" s="2">
        <x:v>Steve Castell</x:v>
      </x:c>
      <x:c r="K1283" t="n" s="2">
        <x:v>5</x:v>
      </x:c>
      <x:c r="L1283" t="str" s="2">
        <x:v>1.1</x:v>
      </x:c>
      <x:c r="M1283" t="str" s="2">
        <x:v>Inactive</x:v>
      </x:c>
      <x:c r="N1283" t="str" s="2">
        <x:v>Deal Created</x:v>
      </x:c>
      <x:c r="O1283" s="0"/>
      <x:c r="P1283" s="6">
        <x:v>46275</x:v>
      </x:c>
      <x:c r="Q1283" s="6">
        <x:v>46275.59089880787</x:v>
      </x:c>
      <x:c r="R1283" s="0"/>
      <x:c r="S1283" s="0"/>
      <x:c r="T1283" s="0"/>
      <x:c r="U1283" s="0"/>
      <x:c r="V1283" s="0"/>
      <x:c r="W1283" s="0"/>
      <x:c r="X1283" t="str" s="2">
        <x:v>4057232684</x:v>
      </x:c>
      <x:c r="Y1283" t="str" s="2">
        <x:v>crownedone76@gmail.com</x:v>
      </x:c>
      <x:c r="Z1283" s="6">
        <x:v>46290.003684641204</x:v>
      </x:c>
      <x:c r="AA1283" t="str" s="2">
        <x:v>Steve Castell</x:v>
      </x:c>
      <x:c r="AB1283" s="6">
        <x:v>46275.59089980324</x:v>
      </x:c>
      <x:c r="AC1283" t="n" s="2">
        <x:v>39866</x:v>
      </x:c>
      <x:c r="AD1283" s="0"/>
      <x:c r="AE1283" s="0"/>
      <x:c r="AF1283" s="0"/>
      <x:c r="AG1283" s="0"/>
      <x:c r="AH1283" s="0"/>
      <x:c r="AI1283" s="0"/>
      <x:c r="AJ1283" s="0"/>
      <x:c r="AK1283" s="0"/>
    </x:row>
    <x:row r="1284">
      <x:c r="A1284" t="str" s="2">
        <x:f>=HYPERLINK("https://rsms.futurehomex.com/lead/39867", "Pamela HUTCHISON")</x:f>
      </x:c>
      <x:c r="B1284" t="n" s="2">
        <x:v>33</x:v>
      </x:c>
      <x:c r="C1284" t="str" s="2">
        <x:v>1/4</x:v>
      </x:c>
      <x:c r="D1284" t="str" s="2">
        <x:f>=""</x:f>
      </x:c>
      <x:c r="E1284" s="0"/>
      <x:c r="F1284" t="str" s="2">
        <x:v>Landing_BPM</x:v>
      </x:c>
      <x:c r="G1284" t="str" s="2">
        <x:v>Heritage Housing of Oklahoma City</x:v>
      </x:c>
      <x:c r="H1284" t="str" s="2">
        <x:v>Steve Castell</x:v>
      </x:c>
      <x:c r="I1284" s="0"/>
      <x:c r="J1284" t="str" s="2">
        <x:v>Steve Castell</x:v>
      </x:c>
      <x:c r="K1284" t="n" s="2">
        <x:v>5</x:v>
      </x:c>
      <x:c r="L1284" t="str" s="2">
        <x:v>1.1</x:v>
      </x:c>
      <x:c r="M1284" t="str" s="2">
        <x:v>Tentative</x:v>
      </x:c>
      <x:c r="N1284" t="str" s="2">
        <x:v>Deal Created</x:v>
      </x:c>
      <x:c r="O1284" s="0"/>
      <x:c r="P1284" s="6">
        <x:v>46275</x:v>
      </x:c>
      <x:c r="Q1284" s="6">
        <x:v>46275.59232804398</x:v>
      </x:c>
      <x:c r="R1284" s="0"/>
      <x:c r="S1284" s="0"/>
      <x:c r="T1284" s="0"/>
      <x:c r="U1284" s="0"/>
      <x:c r="V1284" s="0"/>
      <x:c r="W1284" s="0"/>
      <x:c r="X1284" t="str" s="2">
        <x:v>4059682956</x:v>
      </x:c>
      <x:c r="Y1284" t="str" s="2">
        <x:v>pamalatom1963@gmail.com</x:v>
      </x:c>
      <x:c r="Z1284" s="6">
        <x:v>46304.96359644676</x:v>
      </x:c>
      <x:c r="AA1284" t="str" s="2">
        <x:v>Steve Castell</x:v>
      </x:c>
      <x:c r="AB1284" s="6">
        <x:v>46275.592328819446</x:v>
      </x:c>
      <x:c r="AC1284" t="n" s="2">
        <x:v>39867</x:v>
      </x:c>
      <x:c r="AD1284" s="0"/>
      <x:c r="AE1284" s="0"/>
      <x:c r="AF1284" s="0"/>
      <x:c r="AG1284" s="0"/>
      <x:c r="AH1284" s="0"/>
      <x:c r="AI1284" s="0"/>
      <x:c r="AJ1284" s="0"/>
      <x:c r="AK1284" s="0"/>
    </x:row>
    <x:row r="1285">
      <x:c r="A1285" t="str" s="2">
        <x:f>=HYPERLINK("https://rsms.futurehomex.com/lead/39868", "Ivorie Lee")</x:f>
      </x:c>
      <x:c r="B1285" t="n" s="2">
        <x:v>33</x:v>
      </x:c>
      <x:c r="C1285" t="str" s="2">
        <x:v>0/3</x:v>
      </x:c>
      <x:c r="D1285" t="str" s="2">
        <x:f>=""</x:f>
      </x:c>
      <x:c r="E1285" s="0"/>
      <x:c r="F1285" t="str" s="2">
        <x:v>Landing_BPM</x:v>
      </x:c>
      <x:c r="G1285" t="str" s="2">
        <x:v>Heritage Housing of Oklahoma City</x:v>
      </x:c>
      <x:c r="H1285" t="str" s="2">
        <x:v>Steve Castell</x:v>
      </x:c>
      <x:c r="I1285" s="0"/>
      <x:c r="J1285" t="str" s="2">
        <x:v>Steve Castell</x:v>
      </x:c>
      <x:c r="K1285" t="n" s="2">
        <x:v>5</x:v>
      </x:c>
      <x:c r="L1285" t="str" s="2">
        <x:v>1.1</x:v>
      </x:c>
      <x:c r="M1285" t="str" s="2">
        <x:v>Inactive</x:v>
      </x:c>
      <x:c r="N1285" t="str" s="2">
        <x:v>Deal Created</x:v>
      </x:c>
      <x:c r="O1285" s="0"/>
      <x:c r="P1285" s="6">
        <x:v>46275</x:v>
      </x:c>
      <x:c r="Q1285" s="6">
        <x:v>46275.593431678244</x:v>
      </x:c>
      <x:c r="R1285" s="0"/>
      <x:c r="S1285" s="0"/>
      <x:c r="T1285" s="0"/>
      <x:c r="U1285" s="0"/>
      <x:c r="V1285" s="0"/>
      <x:c r="W1285" s="0"/>
      <x:c r="X1285" t="str" s="2">
        <x:v>4056255683</x:v>
      </x:c>
      <x:c r="Y1285" t="str" s="2">
        <x:v>ivoriel17@gmail.com</x:v>
      </x:c>
      <x:c r="Z1285" s="6">
        <x:v>46296.68403938657</x:v>
      </x:c>
      <x:c r="AA1285" t="str" s="2">
        <x:v>Steve Castell</x:v>
      </x:c>
      <x:c r="AB1285" s="6">
        <x:v>46275.59343217593</x:v>
      </x:c>
      <x:c r="AC1285" t="n" s="2">
        <x:v>39868</x:v>
      </x:c>
      <x:c r="AD1285" s="0"/>
      <x:c r="AE1285" s="0"/>
      <x:c r="AF1285" s="0"/>
      <x:c r="AG1285" s="0"/>
      <x:c r="AH1285" s="0"/>
      <x:c r="AI1285" s="0"/>
      <x:c r="AJ1285" s="0"/>
      <x:c r="AK1285" s="0"/>
    </x:row>
    <x:row r="1286">
      <x:c r="A1286" t="str" s="2">
        <x:f>=HYPERLINK("https://rsms.futurehomex.com/lead/39869", "Danetest Aug")</x:f>
      </x:c>
      <x:c r="B1286" t="n" s="2">
        <x:v>33</x:v>
      </x:c>
      <x:c r="C1286" t="str" s="2">
        <x:v/>
      </x:c>
      <x:c r="D1286" t="str" s="2">
        <x:f>=""</x:f>
      </x:c>
      <x:c r="E1286" s="0"/>
      <x:c r="F1286" t="str" s="2">
        <x:v>Walk-in</x:v>
      </x:c>
      <x:c r="G1286" t="str" s="2">
        <x:v>Heritage Housing of Augusta</x:v>
      </x:c>
      <x:c r="H1286" t="str" s="2">
        <x:v>Faye Lively</x:v>
      </x:c>
      <x:c r="I1286" s="0"/>
      <x:c r="J1286" s="0"/>
      <x:c r="K1286" t="n" s="2">
        <x:v>5</x:v>
      </x:c>
      <x:c r="L1286" t="str" s="2">
        <x:v>1.1</x:v>
      </x:c>
      <x:c r="M1286" t="str" s="2">
        <x:v>Dead</x:v>
      </x:c>
      <x:c r="N1286" t="str" s="2">
        <x:v>Prospect</x:v>
      </x:c>
      <x:c r="O1286" s="0"/>
      <x:c r="P1286" s="6">
        <x:v>46275</x:v>
      </x:c>
      <x:c r="Q1286" s="6">
        <x:v>46275.63249471065</x:v>
      </x:c>
      <x:c r="R1286" s="0"/>
      <x:c r="S1286" s="0"/>
      <x:c r="T1286" s="0"/>
      <x:c r="U1286" s="0"/>
      <x:c r="V1286" s="0"/>
      <x:c r="W1286" s="0"/>
      <x:c r="X1286" t="str" s="2">
        <x:v>3762186734</x:v>
      </x:c>
      <x:c r="Y1286" t="str" s="2">
        <x:v>dtestaug@nomail.com</x:v>
      </x:c>
      <x:c r="Z1286" s="6">
        <x:v>46282.598275729164</x:v>
      </x:c>
      <x:c r="AA1286" t="str" s="2">
        <x:v>Faye Lively</x:v>
      </x:c>
      <x:c r="AB1286" s="6">
        <x:v>46275.63249528935</x:v>
      </x:c>
      <x:c r="AC1286" t="n" s="2">
        <x:v>39869</x:v>
      </x:c>
      <x:c r="AD1286" s="0"/>
      <x:c r="AE1286" s="0"/>
      <x:c r="AF1286" s="0"/>
      <x:c r="AG1286" s="0"/>
      <x:c r="AH1286" s="0"/>
      <x:c r="AI1286" s="0"/>
      <x:c r="AJ1286" s="0"/>
      <x:c r="AK1286" s="0"/>
    </x:row>
    <x:row r="1287">
      <x:c r="A1287" t="str" s="2">
        <x:f>=HYPERLINK("https://rsms.futurehomex.com/lead/39870", "Dtest Aug")</x:f>
      </x:c>
      <x:c r="B1287" t="n" s="2">
        <x:v>33</x:v>
      </x:c>
      <x:c r="C1287" t="str" s="2">
        <x:v/>
      </x:c>
      <x:c r="D1287" t="str" s="2">
        <x:f>=""</x:f>
      </x:c>
      <x:c r="E1287" s="0"/>
      <x:c r="F1287" t="str" s="2">
        <x:v>Walk-in</x:v>
      </x:c>
      <x:c r="G1287" t="str" s="2">
        <x:v>Heritage Housing of Augusta</x:v>
      </x:c>
      <x:c r="H1287" t="str" s="2">
        <x:v>Faye Lively</x:v>
      </x:c>
      <x:c r="I1287" s="0"/>
      <x:c r="J1287" s="0"/>
      <x:c r="K1287" t="n" s="2">
        <x:v>5</x:v>
      </x:c>
      <x:c r="L1287" t="str" s="2">
        <x:v>1.1</x:v>
      </x:c>
      <x:c r="M1287" t="str" s="2">
        <x:v>Tentative</x:v>
      </x:c>
      <x:c r="N1287" t="str" s="2">
        <x:v>Prospect</x:v>
      </x:c>
      <x:c r="O1287" s="0"/>
      <x:c r="P1287" s="6">
        <x:v>46275</x:v>
      </x:c>
      <x:c r="Q1287" s="6">
        <x:v>46282.59759077546</x:v>
      </x:c>
      <x:c r="R1287" s="0"/>
      <x:c r="S1287" s="0"/>
      <x:c r="T1287" s="0"/>
      <x:c r="U1287" s="0"/>
      <x:c r="V1287" s="0"/>
      <x:c r="W1287" s="0"/>
      <x:c r="X1287" t="str" s="2">
        <x:v>9035762158</x:v>
      </x:c>
      <x:c r="Y1287" t="str" s="2">
        <x:v>augtest@nomail.com</x:v>
      </x:c>
      <x:c r="Z1287" s="0"/>
      <x:c r="AA1287" s="0"/>
      <x:c r="AB1287" s="6">
        <x:v>46275.63308611111</x:v>
      </x:c>
      <x:c r="AC1287" t="n" s="2">
        <x:v>39870</x:v>
      </x:c>
      <x:c r="AD1287" s="0"/>
      <x:c r="AE1287" s="0"/>
      <x:c r="AF1287" s="0"/>
      <x:c r="AG1287" s="0"/>
      <x:c r="AH1287" s="0"/>
      <x:c r="AI1287" s="0"/>
      <x:c r="AJ1287" s="0"/>
      <x:c r="AK1287" s="0"/>
    </x:row>
    <x:row r="1288">
      <x:c r="A1288" t="str" s="2">
        <x:f>=HYPERLINK("https://rsms.futurehomex.com/lead/39871", "Daniel Barron")</x:f>
      </x:c>
      <x:c r="B1288" t="n" s="2">
        <x:v>33</x:v>
      </x:c>
      <x:c r="C1288" t="str" s="2">
        <x:v>0/2</x:v>
      </x:c>
      <x:c r="D1288" t="str" s="2">
        <x:f>="REPO"</x:f>
      </x:c>
      <x:c r="E1288" s="0"/>
      <x:c r="F1288" t="str" s="2">
        <x:v>Facebook Messenger</x:v>
      </x:c>
      <x:c r="G1288" t="str" s="2">
        <x:v>Heritage Housing of Greenville</x:v>
      </x:c>
      <x:c r="H1288" t="str" s="2">
        <x:v>Brooklynn Allen</x:v>
      </x:c>
      <x:c r="I1288" s="0"/>
      <x:c r="J1288" t="str" s="2">
        <x:v>Brooklynn Allen</x:v>
      </x:c>
      <x:c r="K1288" t="n" s="2">
        <x:v>100</x:v>
      </x:c>
      <x:c r="L1288" t="str" s="2">
        <x:v>6.2</x:v>
      </x:c>
      <x:c r="M1288" t="str" s="2">
        <x:v>Closed</x:v>
      </x:c>
      <x:c r="N1288" t="str" s="2">
        <x:v>Delivered</x:v>
      </x:c>
      <x:c r="O1288" s="6">
        <x:v>46279</x:v>
      </x:c>
      <x:c r="P1288" s="6">
        <x:v>46275</x:v>
      </x:c>
      <x:c r="Q1288" s="6">
        <x:v>46284.674568553244</x:v>
      </x:c>
      <x:c r="R1288" s="0"/>
      <x:c r="S1288" s="6">
        <x:v>46275</x:v>
      </x:c>
      <x:c r="T1288" s="6">
        <x:v>46275</x:v>
      </x:c>
      <x:c r="U1288" s="6">
        <x:v>46276</x:v>
      </x:c>
      <x:c r="V1288" s="6">
        <x:v>46276</x:v>
      </x:c>
      <x:c r="W1288" s="6">
        <x:v>46286</x:v>
      </x:c>
      <x:c r="X1288" t="str" s="2">
        <x:v>9453319921</x:v>
      </x:c>
      <x:c r="Y1288" t="str" s="2">
        <x:v>dlbarron1989@gmail.com</x:v>
      </x:c>
      <x:c r="Z1288" s="6">
        <x:v>46280.72121744213</x:v>
      </x:c>
      <x:c r="AA1288" t="str" s="2">
        <x:v>Brandie Sartor</x:v>
      </x:c>
      <x:c r="AB1288" s="6">
        <x:v>46275.68498020833</x:v>
      </x:c>
      <x:c r="AC1288" t="n" s="2">
        <x:v>39871</x:v>
      </x:c>
      <x:c r="AD1288" t="str" s="2">
        <x:v>Singlewide</x:v>
      </x:c>
      <x:c r="AE1288" t="str" s="2">
        <x:v>Legacy Housing Corporation</x:v>
      </x:c>
      <x:c r="AF1288" s="7">
        <x:v>6820</x:v>
      </x:c>
      <x:c r="AG1288" s="7">
        <x:v>3400</x:v>
      </x:c>
      <x:c r="AH1288" s="0"/>
      <x:c r="AI1288" t="str" s="2">
        <x:v>594</x:v>
      </x:c>
      <x:c r="AJ1288" s="0"/>
      <x:c r="AK1288" t="str" s="6">
        <x:v>2026-09-17</x:v>
      </x:c>
    </x:row>
    <x:row r="1289">
      <x:c r="A1289" t="str" s="2">
        <x:f>=HYPERLINK("https://rsms.futurehomex.com/lead/39872", "Emory Bennett")</x:f>
      </x:c>
      <x:c r="B1289" t="n" s="2">
        <x:v>33</x:v>
      </x:c>
      <x:c r="C1289" t="str" s="2">
        <x:v>0/2</x:v>
      </x:c>
      <x:c r="D1289" t="str" s="2">
        <x:f>=""</x:f>
      </x:c>
      <x:c r="E1289" s="0"/>
      <x:c r="F1289" t="str" s="2">
        <x:v>Walk-in</x:v>
      </x:c>
      <x:c r="G1289" t="str" s="2">
        <x:v>Heritage Housing of Augusta</x:v>
      </x:c>
      <x:c r="H1289" t="str" s="2">
        <x:v>Jennifer Johnson</x:v>
      </x:c>
      <x:c r="I1289" t="str" s="2">
        <x:v>Karol Romero</x:v>
      </x:c>
      <x:c r="J1289" t="str" s="2">
        <x:v>Jennifer Johnson</x:v>
      </x:c>
      <x:c r="K1289" t="n" s="2">
        <x:v>59</x:v>
      </x:c>
      <x:c r="L1289" t="str" s="2">
        <x:v>4.3</x:v>
      </x:c>
      <x:c r="M1289" t="str" s="2">
        <x:v>Denied</x:v>
      </x:c>
      <x:c r="N1289" t="str" s="2">
        <x:v>Loan Approved</x:v>
      </x:c>
      <x:c r="O1289" s="6">
        <x:v>46356</x:v>
      </x:c>
      <x:c r="P1289" s="6">
        <x:v>46275</x:v>
      </x:c>
      <x:c r="Q1289" s="6">
        <x:v>46300.80037094907</x:v>
      </x:c>
      <x:c r="R1289" s="0"/>
      <x:c r="S1289" s="6">
        <x:v>46275</x:v>
      </x:c>
      <x:c r="T1289" s="6">
        <x:v>46275</x:v>
      </x:c>
      <x:c r="U1289" s="6">
        <x:v>46275</x:v>
      </x:c>
      <x:c r="V1289" s="6">
        <x:v>46276</x:v>
      </x:c>
      <x:c r="W1289" s="0"/>
      <x:c r="X1289" t="str" s="2">
        <x:v>7064219984</x:v>
      </x:c>
      <x:c r="Y1289" t="str" s="2">
        <x:v>ebennett1152@gmail.com</x:v>
      </x:c>
      <x:c r="Z1289" s="6">
        <x:v>46296.833311724535</x:v>
      </x:c>
      <x:c r="AA1289" t="str" s="2">
        <x:v>Jennifer Johnson</x:v>
      </x:c>
      <x:c r="AB1289" s="6">
        <x:v>46288.55885046296</x:v>
      </x:c>
      <x:c r="AC1289" t="n" s="2">
        <x:v>39872</x:v>
      </x:c>
      <x:c r="AD1289" t="str" s="2">
        <x:v>Singlewide</x:v>
      </x:c>
      <x:c r="AE1289" t="str" s="2">
        <x:v>21st Mortgage Corporation</x:v>
      </x:c>
      <x:c r="AF1289" s="7">
        <x:v>3600</x:v>
      </x:c>
      <x:c r="AG1289" s="7">
        <x:v>0</x:v>
      </x:c>
      <x:c r="AH1289" s="7">
        <x:v>500</x:v>
      </x:c>
      <x:c r="AI1289" t="str" s="2">
        <x:v>771</x:v>
      </x:c>
      <x:c r="AJ1289" s="0"/>
      <x:c r="AK1289" s="0"/>
    </x:row>
    <x:row r="1290">
      <x:c r="A1290" t="str" s="2">
        <x:f>=HYPERLINK("https://rsms.futurehomex.com/lead/39873", "Antonio Gerardo Campos Margalli")</x:f>
      </x:c>
      <x:c r="B1290" t="n" s="2">
        <x:v>33</x:v>
      </x:c>
      <x:c r="C1290" t="str" s="2">
        <x:v>0/1</x:v>
      </x:c>
      <x:c r="D1290" t="str" s="2">
        <x:f>="CASH"</x:f>
      </x:c>
      <x:c r="E1290" s="0"/>
      <x:c r="F1290" t="str" s="2">
        <x:v>Referrals</x:v>
      </x:c>
      <x:c r="G1290" t="str" s="2">
        <x:v>Heritage Housing of Jennings</x:v>
      </x:c>
      <x:c r="H1290" t="str" s="2">
        <x:v>Clint O'Neal</x:v>
      </x:c>
      <x:c r="I1290" s="0"/>
      <x:c r="J1290" s="0"/>
      <x:c r="K1290" t="n" s="2">
        <x:v>100</x:v>
      </x:c>
      <x:c r="L1290" t="str" s="2">
        <x:v>6.2</x:v>
      </x:c>
      <x:c r="M1290" t="str" s="2">
        <x:v>Closed</x:v>
      </x:c>
      <x:c r="N1290" t="str" s="2">
        <x:v>Delivered</x:v>
      </x:c>
      <x:c r="O1290" s="6">
        <x:v>46289</x:v>
      </x:c>
      <x:c r="P1290" s="6">
        <x:v>46275</x:v>
      </x:c>
      <x:c r="Q1290" s="6">
        <x:v>46295.88324336806</x:v>
      </x:c>
      <x:c r="R1290" s="0"/>
      <x:c r="S1290" s="6">
        <x:v>46266</x:v>
      </x:c>
      <x:c r="T1290" s="0"/>
      <x:c r="U1290" s="6">
        <x:v>46275</x:v>
      </x:c>
      <x:c r="V1290" s="6">
        <x:v>46286</x:v>
      </x:c>
      <x:c r="W1290" s="6">
        <x:v>46295</x:v>
      </x:c>
      <x:c r="X1290" t="str" s="2">
        <x:v>3373846224</x:v>
      </x:c>
      <x:c r="Y1290" t="str" s="2">
        <x:v>grinvex_ac@prodigy.net.mx</x:v>
      </x:c>
      <x:c r="Z1290" s="6">
        <x:v>46295.882355636575</x:v>
      </x:c>
      <x:c r="AA1290" t="str" s="2">
        <x:v>Tina Dallas</x:v>
      </x:c>
      <x:c r="AB1290" s="6">
        <x:v>46275.65799818287</x:v>
      </x:c>
      <x:c r="AC1290" t="n" s="2">
        <x:v>39873</x:v>
      </x:c>
      <x:c r="AD1290" t="str" s="2">
        <x:v>Doublewide</x:v>
      </x:c>
      <x:c r="AE1290" s="0"/>
      <x:c r="AF1290" s="7">
        <x:v>100</x:v>
      </x:c>
      <x:c r="AG1290" s="7">
        <x:v>100</x:v>
      </x:c>
      <x:c r="AH1290" s="7">
        <x:v>107339.2</x:v>
      </x:c>
      <x:c r="AI1290" s="0"/>
      <x:c r="AJ1290" s="0"/>
      <x:c r="AK1290" t="str" s="6">
        <x:v>2026-09-28</x:v>
      </x:c>
    </x:row>
    <x:row r="1291">
      <x:c r="A1291" t="str" s="2">
        <x:f>=HYPERLINK("https://rsms.futurehomex.com/lead/39875", "Manuel Alejandro Garcia Navarro")</x:f>
      </x:c>
      <x:c r="B1291" t="n" s="2">
        <x:v>33</x:v>
      </x:c>
      <x:c r="C1291" t="str" s="2">
        <x:v>0/2</x:v>
      </x:c>
      <x:c r="D1291" t="str" s="2">
        <x:f>=""</x:f>
      </x:c>
      <x:c r="E1291" s="0"/>
      <x:c r="F1291" t="str" s="2">
        <x:v>TikTok</x:v>
      </x:c>
      <x:c r="G1291" t="str" s="2">
        <x:v>Heritage Housing of Greenville</x:v>
      </x:c>
      <x:c r="H1291" t="str" s="2">
        <x:v>Oscar Osorio</x:v>
      </x:c>
      <x:c r="I1291" s="0"/>
      <x:c r="J1291" t="str" s="2">
        <x:v>Oscar Osorio</x:v>
      </x:c>
      <x:c r="K1291" t="n" s="2">
        <x:v>38</x:v>
      </x:c>
      <x:c r="L1291" t="str" s="2">
        <x:v>3.2</x:v>
      </x:c>
      <x:c r="M1291" t="str" s="2">
        <x:v>Active</x:v>
      </x:c>
      <x:c r="N1291" t="str" s="2">
        <x:v>Application</x:v>
      </x:c>
      <x:c r="O1291" s="6">
        <x:v>46356</x:v>
      </x:c>
      <x:c r="P1291" s="6">
        <x:v>46275</x:v>
      </x:c>
      <x:c r="Q1291" s="6">
        <x:v>46275.76911782407</x:v>
      </x:c>
      <x:c r="R1291" s="0"/>
      <x:c r="S1291" s="6">
        <x:v>46275</x:v>
      </x:c>
      <x:c r="T1291" s="6">
        <x:v>46275</x:v>
      </x:c>
      <x:c r="U1291" s="6">
        <x:v>46275</x:v>
      </x:c>
      <x:c r="V1291" s="0"/>
      <x:c r="W1291" s="0"/>
      <x:c r="X1291" t="str" s="2">
        <x:v>6207040169</x:v>
      </x:c>
      <x:c r="Y1291" t="str" s="2">
        <x:v>malegarcia@live.com.mx</x:v>
      </x:c>
      <x:c r="Z1291" s="6">
        <x:v>46277.67928383102</x:v>
      </x:c>
      <x:c r="AA1291" t="str" s="2">
        <x:v>Brandie Sartor</x:v>
      </x:c>
      <x:c r="AB1291" s="6">
        <x:v>46275.66828996528</x:v>
      </x:c>
      <x:c r="AC1291" t="n" s="2">
        <x:v>39875</x:v>
      </x:c>
      <x:c r="AD1291" t="str" s="2">
        <x:v>Doublewide</x:v>
      </x:c>
      <x:c r="AE1291" t="str" s="2">
        <x:v>Legacy Housing Corporation</x:v>
      </x:c>
      <x:c r="AF1291" s="0"/>
      <x:c r="AG1291" s="7">
        <x:v>18000</x:v>
      </x:c>
      <x:c r="AH1291" s="0"/>
      <x:c r="AI1291" t="str" s="2">
        <x:v>0</x:v>
      </x:c>
      <x:c r="AJ1291" s="0"/>
      <x:c r="AK1291" s="0"/>
    </x:row>
    <x:row r="1292">
      <x:c r="A1292" t="str" s="2">
        <x:f>=HYPERLINK("https://rsms.futurehomex.com/lead/39876", "Milli Hall")</x:f>
      </x:c>
      <x:c r="B1292" t="n" s="2">
        <x:v>33</x:v>
      </x:c>
      <x:c r="C1292" t="str" s="2">
        <x:v/>
      </x:c>
      <x:c r="D1292" t="str" s="2">
        <x:f>=""</x:f>
      </x:c>
      <x:c r="E1292" s="0"/>
      <x:c r="F1292" t="str" s="2">
        <x:v>Walk-in</x:v>
      </x:c>
      <x:c r="G1292" t="str" s="2">
        <x:v>Heritage Housing of Athens</x:v>
      </x:c>
      <x:c r="H1292" t="str" s="2">
        <x:v>Ethan Fossett</x:v>
      </x:c>
      <x:c r="I1292" s="0"/>
      <x:c r="J1292" t="str" s="2">
        <x:v>Ethan Fossett</x:v>
      </x:c>
      <x:c r="K1292" t="n" s="2">
        <x:v>9</x:v>
      </x:c>
      <x:c r="L1292" t="str" s="2">
        <x:v>1.2</x:v>
      </x:c>
      <x:c r="M1292" t="str" s="2">
        <x:v>Tentative</x:v>
      </x:c>
      <x:c r="N1292" t="str" s="2">
        <x:v>Deal Created</x:v>
      </x:c>
      <x:c r="O1292" s="0"/>
      <x:c r="P1292" s="6">
        <x:v>46275</x:v>
      </x:c>
      <x:c r="Q1292" s="6">
        <x:v>46277.6287665162</x:v>
      </x:c>
      <x:c r="R1292" s="0"/>
      <x:c r="S1292" s="6">
        <x:v>46270</x:v>
      </x:c>
      <x:c r="T1292" s="0"/>
      <x:c r="U1292" s="0"/>
      <x:c r="V1292" s="0"/>
      <x:c r="W1292" s="0"/>
      <x:c r="X1292" t="str" s="2">
        <x:v>4042028952</x:v>
      </x:c>
      <x:c r="Y1292" t="str" s="2">
        <x:v>mhall0223@gmail.com</x:v>
      </x:c>
      <x:c r="Z1292" s="0"/>
      <x:c r="AA1292" s="0"/>
      <x:c r="AB1292" s="6">
        <x:v>46277.552720520835</x:v>
      </x:c>
      <x:c r="AC1292" t="n" s="2">
        <x:v>39876</x:v>
      </x:c>
      <x:c r="AD1292" s="0"/>
      <x:c r="AE1292" s="0"/>
      <x:c r="AF1292" s="0"/>
      <x:c r="AG1292" s="0"/>
      <x:c r="AH1292" s="0"/>
      <x:c r="AI1292" s="0"/>
      <x:c r="AJ1292" s="0"/>
      <x:c r="AK1292" s="0"/>
    </x:row>
    <x:row r="1293">
      <x:c r="A1293" t="str" s="2">
        <x:f>=HYPERLINK("https://rsms.futurehomex.com/lead/39877", "Kyle Mouser")</x:f>
      </x:c>
      <x:c r="B1293" t="n" s="2">
        <x:v>33</x:v>
      </x:c>
      <x:c r="C1293" t="str" s="2">
        <x:v>1/1</x:v>
      </x:c>
      <x:c r="D1293" t="str" s="2">
        <x:f>=""</x:f>
      </x:c>
      <x:c r="E1293" s="0"/>
      <x:c r="F1293" t="str" s="2">
        <x:v>LandingPage</x:v>
      </x:c>
      <x:c r="G1293" t="str" s="2">
        <x:v>Heritage Housing of Tulsa</x:v>
      </x:c>
      <x:c r="H1293" t="str" s="2">
        <x:v>Jenna Fransisco</x:v>
      </x:c>
      <x:c r="I1293" s="0"/>
      <x:c r="J1293" s="0"/>
      <x:c r="K1293" t="n" s="2">
        <x:v>5</x:v>
      </x:c>
      <x:c r="L1293" t="str" s="2">
        <x:v>1.1</x:v>
      </x:c>
      <x:c r="M1293" t="str" s="2">
        <x:v>Tentative</x:v>
      </x:c>
      <x:c r="N1293" t="str" s="2">
        <x:v>Prospect</x:v>
      </x:c>
      <x:c r="O1293" s="0"/>
      <x:c r="P1293" s="6">
        <x:v>46275</x:v>
      </x:c>
      <x:c r="Q1293" s="6">
        <x:v>46275.69175443287</x:v>
      </x:c>
      <x:c r="R1293" s="0"/>
      <x:c r="S1293" s="6">
        <x:v>46275</x:v>
      </x:c>
      <x:c r="T1293" s="6">
        <x:v>46275</x:v>
      </x:c>
      <x:c r="U1293" s="0"/>
      <x:c r="V1293" s="0"/>
      <x:c r="W1293" s="0"/>
      <x:c r="X1293" t="str" s="2">
        <x:v>9182644292</x:v>
      </x:c>
      <x:c r="Y1293" t="str" s="2">
        <x:v>workmail2022@gmail.com</x:v>
      </x:c>
      <x:c r="Z1293" s="0"/>
      <x:c r="AA1293" s="0"/>
      <x:c r="AB1293" s="6">
        <x:v>46275.67341284722</x:v>
      </x:c>
      <x:c r="AC1293" t="n" s="2">
        <x:v>39877</x:v>
      </x:c>
      <x:c r="AD1293" s="0"/>
      <x:c r="AE1293" s="0"/>
      <x:c r="AF1293" s="0"/>
      <x:c r="AG1293" s="0"/>
      <x:c r="AH1293" s="0"/>
      <x:c r="AI1293" t="str" s="2">
        <x:v>715</x:v>
      </x:c>
      <x:c r="AJ1293" s="0"/>
      <x:c r="AK1293" s="0"/>
    </x:row>
    <x:row r="1294">
      <x:c r="A1294" t="str" s="2">
        <x:f>=HYPERLINK("https://rsms.futurehomex.com/lead/39878", "VICTORIA Wolverton")</x:f>
      </x:c>
      <x:c r="B1294" t="n" s="2">
        <x:v>33</x:v>
      </x:c>
      <x:c r="C1294" t="str" s="2">
        <x:v>0/1</x:v>
      </x:c>
      <x:c r="D1294" t="str" s="2">
        <x:f>=""</x:f>
      </x:c>
      <x:c r="E1294" s="0"/>
      <x:c r="F1294" t="str" s="2">
        <x:v>Landing_BPM</x:v>
      </x:c>
      <x:c r="G1294" t="str" s="2">
        <x:v>Heritage Housing of Minden</x:v>
      </x:c>
      <x:c r="H1294" t="str" s="2">
        <x:v>Patrick Schuchart</x:v>
      </x:c>
      <x:c r="I1294" t="str" s="2">
        <x:v>Karol Romero</x:v>
      </x:c>
      <x:c r="J1294" s="0"/>
      <x:c r="K1294" t="n" s="2">
        <x:v>5</x:v>
      </x:c>
      <x:c r="L1294" t="str" s="2">
        <x:v>1.1</x:v>
      </x:c>
      <x:c r="M1294" t="str" s="2">
        <x:v>Inactive</x:v>
      </x:c>
      <x:c r="N1294" t="str" s="2">
        <x:v>Prospect</x:v>
      </x:c>
      <x:c r="O1294" s="0"/>
      <x:c r="P1294" s="6">
        <x:v>46275</x:v>
      </x:c>
      <x:c r="Q1294" s="6">
        <x:v>46276.87798217592</x:v>
      </x:c>
      <x:c r="R1294" t="str" s="2">
        <x:v>Patrick Schuchart</x:v>
      </x:c>
      <x:c r="S1294" s="0"/>
      <x:c r="T1294" s="0"/>
      <x:c r="U1294" s="0"/>
      <x:c r="V1294" s="0"/>
      <x:c r="W1294" s="0"/>
      <x:c r="X1294" t="str" s="2">
        <x:v>9402103459</x:v>
      </x:c>
      <x:c r="Y1294" t="str" s="2">
        <x:v>toritsu09@gmail.com</x:v>
      </x:c>
      <x:c r="Z1294" s="6">
        <x:v>46291.64462774306</x:v>
      </x:c>
      <x:c r="AA1294" t="str" s="2">
        <x:v>Patrick Schuchart</x:v>
      </x:c>
      <x:c r="AB1294" s="6">
        <x:v>46275.762406828704</x:v>
      </x:c>
      <x:c r="AC1294" t="n" s="2">
        <x:v>39878</x:v>
      </x:c>
      <x:c r="AD1294" s="0"/>
      <x:c r="AE1294" s="0"/>
      <x:c r="AF1294" s="0"/>
      <x:c r="AG1294" s="7">
        <x:v>10000</x:v>
      </x:c>
      <x:c r="AH1294" s="0"/>
      <x:c r="AI1294" s="0"/>
      <x:c r="AJ1294" s="0"/>
      <x:c r="AK1294" s="0"/>
    </x:row>
    <x:row r="1295">
      <x:c r="A1295" t="str" s="2">
        <x:f>=HYPERLINK("https://rsms.futurehomex.com/lead/39880", "Sylathiel Jones")</x:f>
      </x:c>
      <x:c r="B1295" t="n" s="2">
        <x:v>33</x:v>
      </x:c>
      <x:c r="C1295" t="str" s="2">
        <x:v/>
      </x:c>
      <x:c r="D1295" t="str" s="2">
        <x:f>=""</x:f>
      </x:c>
      <x:c r="E1295" s="0"/>
      <x:c r="F1295" t="str" s="2">
        <x:v>Youtube</x:v>
      </x:c>
      <x:c r="G1295" t="str" s="2">
        <x:v>Heritage Housing of Augusta</x:v>
      </x:c>
      <x:c r="H1295" t="str" s="2">
        <x:v>Alex Jones</x:v>
      </x:c>
      <x:c r="I1295" s="0"/>
      <x:c r="J1295" t="str" s="2">
        <x:v>Alex Jones</x:v>
      </x:c>
      <x:c r="K1295" t="n" s="2">
        <x:v>5</x:v>
      </x:c>
      <x:c r="L1295" t="str" s="2">
        <x:v>1.1</x:v>
      </x:c>
      <x:c r="M1295" t="str" s="2">
        <x:v>Dead</x:v>
      </x:c>
      <x:c r="N1295" t="str" s="2">
        <x:v>Prospect</x:v>
      </x:c>
      <x:c r="O1295" s="0"/>
      <x:c r="P1295" s="6">
        <x:v>46275</x:v>
      </x:c>
      <x:c r="Q1295" s="6">
        <x:v>46280.73227260417</x:v>
      </x:c>
      <x:c r="R1295" s="0"/>
      <x:c r="S1295" s="0"/>
      <x:c r="T1295" s="0"/>
      <x:c r="U1295" s="0"/>
      <x:c r="V1295" s="0"/>
      <x:c r="W1295" s="0"/>
      <x:c r="X1295" t="str" s="2">
        <x:v>7063062884</x:v>
      </x:c>
      <x:c r="Y1295" t="str" s="2">
        <x:v>treveonjj29@gmail.com</x:v>
      </x:c>
      <x:c r="Z1295" s="6">
        <x:v>46280.73485744213</x:v>
      </x:c>
      <x:c r="AA1295" t="str" s="2">
        <x:v>Alex Jones</x:v>
      </x:c>
      <x:c r="AB1295" s="6">
        <x:v>46275.765714664354</x:v>
      </x:c>
      <x:c r="AC1295" t="n" s="2">
        <x:v>39880</x:v>
      </x:c>
      <x:c r="AD1295" s="0"/>
      <x:c r="AE1295" s="0"/>
      <x:c r="AF1295" s="0"/>
      <x:c r="AG1295" s="0"/>
      <x:c r="AH1295" s="0"/>
      <x:c r="AI1295" s="0"/>
      <x:c r="AJ1295" s="0"/>
      <x:c r="AK1295" s="0"/>
    </x:row>
    <x:row r="1296">
      <x:c r="A1296" t="str" s="2">
        <x:f>=HYPERLINK("https://rsms.futurehomex.com/lead/39881", "Justice Giefer")</x:f>
      </x:c>
      <x:c r="B1296" t="n" s="2">
        <x:v>33</x:v>
      </x:c>
      <x:c r="C1296" t="str" s="2">
        <x:v>1/1</x:v>
      </x:c>
      <x:c r="D1296" t="str" s="2">
        <x:f>=""</x:f>
      </x:c>
      <x:c r="E1296" s="0"/>
      <x:c r="F1296" t="str" s="2">
        <x:v>Financing Form</x:v>
      </x:c>
      <x:c r="G1296" t="str" s="2">
        <x:v>Heritage Housing of Tulsa</x:v>
      </x:c>
      <x:c r="H1296" t="str" s="2">
        <x:v>Jenna Fransisco</x:v>
      </x:c>
      <x:c r="I1296" s="0"/>
      <x:c r="J1296" s="0"/>
      <x:c r="K1296" t="n" s="2">
        <x:v>5</x:v>
      </x:c>
      <x:c r="L1296" t="str" s="2">
        <x:v>1.1</x:v>
      </x:c>
      <x:c r="M1296" t="str" s="2">
        <x:v>Tentative</x:v>
      </x:c>
      <x:c r="N1296" t="str" s="2">
        <x:v>Prospect</x:v>
      </x:c>
      <x:c r="O1296" s="0"/>
      <x:c r="P1296" s="6">
        <x:v>46275</x:v>
      </x:c>
      <x:c r="Q1296" s="6">
        <x:v>46275.79025358796</x:v>
      </x:c>
      <x:c r="R1296" s="0"/>
      <x:c r="S1296" s="0"/>
      <x:c r="T1296" s="0"/>
      <x:c r="U1296" s="0"/>
      <x:c r="V1296" s="0"/>
      <x:c r="W1296" s="0"/>
      <x:c r="X1296" t="str" s="2">
        <x:v>9189982846</x:v>
      </x:c>
      <x:c r="Y1296" t="str" s="2">
        <x:v>gieferj1@gmail.com</x:v>
      </x:c>
      <x:c r="Z1296" s="6">
        <x:v>46275.79298310185</x:v>
      </x:c>
      <x:c r="AA1296" t="str" s="2">
        <x:v>Jenna Fransisco</x:v>
      </x:c>
      <x:c r="AB1296" s="6">
        <x:v>46275.790254548614</x:v>
      </x:c>
      <x:c r="AC1296" t="n" s="2">
        <x:v>39881</x:v>
      </x:c>
      <x:c r="AD1296" s="0"/>
      <x:c r="AE1296" s="0"/>
      <x:c r="AF1296" s="0"/>
      <x:c r="AG1296" s="0"/>
      <x:c r="AH1296" s="0"/>
      <x:c r="AI1296" s="0"/>
      <x:c r="AJ1296" s="0"/>
      <x:c r="AK1296" s="0"/>
    </x:row>
    <x:row r="1297">
      <x:c r="A1297" t="str" s="2">
        <x:f>=HYPERLINK("https://rsms.futurehomex.com/lead/39882", "Jennifer Brown Winstead")</x:f>
      </x:c>
      <x:c r="B1297" t="n" s="2">
        <x:v>33</x:v>
      </x:c>
      <x:c r="C1297" t="str" s="2">
        <x:v>0/1</x:v>
      </x:c>
      <x:c r="D1297" t="str" s="2">
        <x:f>=""</x:f>
      </x:c>
      <x:c r="E1297" s="0"/>
      <x:c r="F1297" t="str" s="2">
        <x:v>Walk-in</x:v>
      </x:c>
      <x:c r="G1297" t="str" s="2">
        <x:v>Heritage Housing of Minden</x:v>
      </x:c>
      <x:c r="H1297" t="str" s="2">
        <x:v>Patrick Schuchart</x:v>
      </x:c>
      <x:c r="I1297" t="str" s="2">
        <x:v>Karol Romero</x:v>
      </x:c>
      <x:c r="J1297" s="0"/>
      <x:c r="K1297" t="n" s="2">
        <x:v>5</x:v>
      </x:c>
      <x:c r="L1297" t="str" s="2">
        <x:v>1.1</x:v>
      </x:c>
      <x:c r="M1297" t="str" s="2">
        <x:v>Tentative</x:v>
      </x:c>
      <x:c r="N1297" t="str" s="2">
        <x:v>Prospect</x:v>
      </x:c>
      <x:c r="O1297" s="0"/>
      <x:c r="P1297" s="6">
        <x:v>46275</x:v>
      </x:c>
      <x:c r="Q1297" s="6">
        <x:v>46275.79142306713</x:v>
      </x:c>
      <x:c r="R1297" t="str" s="2">
        <x:v>Patrick Schuchart</x:v>
      </x:c>
      <x:c r="S1297" s="0"/>
      <x:c r="T1297" s="0"/>
      <x:c r="U1297" s="0"/>
      <x:c r="V1297" s="0"/>
      <x:c r="W1297" s="0"/>
      <x:c r="X1297" t="str" s="2">
        <x:v>3185356557</x:v>
      </x:c>
      <x:c r="Y1297" t="str" s="2">
        <x:v>pipersmomma280@gmail.com</x:v>
      </x:c>
      <x:c r="Z1297" s="6">
        <x:v>46295.84137646991</x:v>
      </x:c>
      <x:c r="AA1297" t="str" s="2">
        <x:v>Kyla Brown</x:v>
      </x:c>
      <x:c r="AB1297" s="6">
        <x:v>46275.79142361111</x:v>
      </x:c>
      <x:c r="AC1297" t="n" s="2">
        <x:v>39882</x:v>
      </x:c>
      <x:c r="AD1297" s="0"/>
      <x:c r="AE1297" s="0"/>
      <x:c r="AF1297" s="0"/>
      <x:c r="AG1297" s="0"/>
      <x:c r="AH1297" s="0"/>
      <x:c r="AI1297" s="0"/>
      <x:c r="AJ1297" s="0"/>
      <x:c r="AK1297" s="0"/>
    </x:row>
    <x:row r="1298">
      <x:c r="A1298" t="str" s="2">
        <x:f>=HYPERLINK("https://rsms.futurehomex.com/lead/39883", "Earneast Kellum")</x:f>
      </x:c>
      <x:c r="B1298" t="n" s="2">
        <x:v>33</x:v>
      </x:c>
      <x:c r="C1298" t="str" s="2">
        <x:v/>
      </x:c>
      <x:c r="D1298" t="str" s="2">
        <x:f>=""</x:f>
      </x:c>
      <x:c r="E1298" s="0"/>
      <x:c r="F1298" t="str" s="2">
        <x:v>Walk-in</x:v>
      </x:c>
      <x:c r="G1298" t="str" s="2">
        <x:v>Heritage Housing of Tulsa</x:v>
      </x:c>
      <x:c r="H1298" t="str" s="2">
        <x:v>Jenna Fransisco</x:v>
      </x:c>
      <x:c r="I1298" s="0"/>
      <x:c r="J1298" t="str" s="2">
        <x:v>Jenna Fransisco</x:v>
      </x:c>
      <x:c r="K1298" t="n" s="2">
        <x:v>5</x:v>
      </x:c>
      <x:c r="L1298" t="str" s="2">
        <x:v>1.1</x:v>
      </x:c>
      <x:c r="M1298" t="str" s="2">
        <x:v>Tentative</x:v>
      </x:c>
      <x:c r="N1298" t="str" s="2">
        <x:v>Deal Created</x:v>
      </x:c>
      <x:c r="O1298" s="0"/>
      <x:c r="P1298" s="6">
        <x:v>46275</x:v>
      </x:c>
      <x:c r="Q1298" s="6">
        <x:v>46275.79808001158</x:v>
      </x:c>
      <x:c r="R1298" s="0"/>
      <x:c r="S1298" s="0"/>
      <x:c r="T1298" s="0"/>
      <x:c r="U1298" s="0"/>
      <x:c r="V1298" s="0"/>
      <x:c r="W1298" s="0"/>
      <x:c r="X1298" t="str" s="2">
        <x:v>9188616205</x:v>
      </x:c>
      <x:c r="Y1298" t="str" s="2">
        <x:v>earneastkellum33@gmail.com</x:v>
      </x:c>
      <x:c r="Z1298" s="0"/>
      <x:c r="AA1298" s="0"/>
      <x:c r="AB1298" s="6">
        <x:v>46275.798081712965</x:v>
      </x:c>
      <x:c r="AC1298" t="n" s="2">
        <x:v>39883</x:v>
      </x:c>
      <x:c r="AD1298" s="0"/>
      <x:c r="AE1298" s="0"/>
      <x:c r="AF1298" s="0"/>
      <x:c r="AG1298" s="0"/>
      <x:c r="AH1298" s="0"/>
      <x:c r="AI1298" s="0"/>
      <x:c r="AJ1298" s="0"/>
      <x:c r="AK1298" s="0"/>
    </x:row>
    <x:row r="1299">
      <x:c r="A1299" t="str" s="2">
        <x:f>=HYPERLINK("https://rsms.futurehomex.com/lead/39884", "Glen Knight")</x:f>
      </x:c>
      <x:c r="B1299" t="n" s="2">
        <x:v>33</x:v>
      </x:c>
      <x:c r="C1299" t="str" s="2">
        <x:v>1/1</x:v>
      </x:c>
      <x:c r="D1299" t="str" s="2">
        <x:f>=""</x:f>
      </x:c>
      <x:c r="E1299" s="0"/>
      <x:c r="F1299" t="str" s="2">
        <x:v>Facebook Messenger</x:v>
      </x:c>
      <x:c r="G1299" t="str" s="2">
        <x:v>Heritage Housing of Oklahoma City</x:v>
      </x:c>
      <x:c r="H1299" t="str" s="2">
        <x:v>Steve Castell</x:v>
      </x:c>
      <x:c r="I1299" s="0"/>
      <x:c r="J1299" t="str" s="2">
        <x:v>Steve Castell</x:v>
      </x:c>
      <x:c r="K1299" t="n" s="2">
        <x:v>5</x:v>
      </x:c>
      <x:c r="L1299" t="str" s="2">
        <x:v>1.1</x:v>
      </x:c>
      <x:c r="M1299" t="str" s="2">
        <x:v>Tentative</x:v>
      </x:c>
      <x:c r="N1299" t="str" s="2">
        <x:v>Deal Created</x:v>
      </x:c>
      <x:c r="O1299" s="0"/>
      <x:c r="P1299" s="6">
        <x:v>46275</x:v>
      </x:c>
      <x:c r="Q1299" s="6">
        <x:v>46275.85405833333</x:v>
      </x:c>
      <x:c r="R1299" t="str" s="2">
        <x:v>Steve Castell</x:v>
      </x:c>
      <x:c r="S1299" s="6">
        <x:v>46275</x:v>
      </x:c>
      <x:c r="T1299" s="0"/>
      <x:c r="U1299" s="0"/>
      <x:c r="V1299" s="0"/>
      <x:c r="W1299" s="0"/>
      <x:c r="X1299" t="str" s="2">
        <x:v>4055853608</x:v>
      </x:c>
      <x:c r="Y1299" t="str" s="2">
        <x:v>gknight6011@yahoo.com</x:v>
      </x:c>
      <x:c r="Z1299" s="6">
        <x:v>46275.85544204861</x:v>
      </x:c>
      <x:c r="AA1299" t="str" s="2">
        <x:v>Steve Castell</x:v>
      </x:c>
      <x:c r="AB1299" s="6">
        <x:v>46300.75399575231</x:v>
      </x:c>
      <x:c r="AC1299" t="n" s="2">
        <x:v>39884</x:v>
      </x:c>
      <x:c r="AD1299" s="0"/>
      <x:c r="AE1299" s="0"/>
      <x:c r="AF1299" s="0"/>
      <x:c r="AG1299" s="0"/>
      <x:c r="AH1299" s="0"/>
      <x:c r="AI1299" s="0"/>
      <x:c r="AJ1299" s="0"/>
      <x:c r="AK1299" s="0"/>
    </x:row>
    <x:row r="1300">
      <x:c r="A1300" t="str" s="2">
        <x:f>=HYPERLINK("https://rsms.futurehomex.com/lead/39885", "Colton Johnston")</x:f>
      </x:c>
      <x:c r="B1300" t="n" s="2">
        <x:v>33</x:v>
      </x:c>
      <x:c r="C1300" t="str" s="2">
        <x:v>0/2</x:v>
      </x:c>
      <x:c r="D1300" t="str" s="2">
        <x:f>=""</x:f>
      </x:c>
      <x:c r="E1300" s="0"/>
      <x:c r="F1300" t="str" s="2">
        <x:v>Meta Ads - Messenger</x:v>
      </x:c>
      <x:c r="G1300" t="str" s="2">
        <x:v>Heritage Housing of Oklahoma City</x:v>
      </x:c>
      <x:c r="H1300" t="str" s="2">
        <x:v>Alejandra Calderon</x:v>
      </x:c>
      <x:c r="I1300" t="str" s="2">
        <x:v>Karol Romero</x:v>
      </x:c>
      <x:c r="J1300" s="0"/>
      <x:c r="K1300" t="n" s="2">
        <x:v>5</x:v>
      </x:c>
      <x:c r="L1300" t="str" s="2">
        <x:v>1.1</x:v>
      </x:c>
      <x:c r="M1300" t="str" s="2">
        <x:v>Tentative</x:v>
      </x:c>
      <x:c r="N1300" t="str" s="2">
        <x:v>Prospect</x:v>
      </x:c>
      <x:c r="O1300" s="0"/>
      <x:c r="P1300" s="6">
        <x:v>46275</x:v>
      </x:c>
      <x:c r="Q1300" s="6">
        <x:v>46275.859086840275</x:v>
      </x:c>
      <x:c r="R1300" s="0"/>
      <x:c r="S1300" s="0"/>
      <x:c r="T1300" s="0"/>
      <x:c r="U1300" s="0"/>
      <x:c r="V1300" s="0"/>
      <x:c r="W1300" s="0"/>
      <x:c r="X1300" t="str" s="2">
        <x:v>4055847670</x:v>
      </x:c>
      <x:c r="Y1300" t="str" s="2">
        <x:v>4055847670</x:v>
      </x:c>
      <x:c r="Z1300" s="6">
        <x:v>46298.83787789352</x:v>
      </x:c>
      <x:c r="AA1300" t="str" s="2">
        <x:v>Alejandra Calderon</x:v>
      </x:c>
      <x:c r="AB1300" s="6">
        <x:v>46275.85908854166</x:v>
      </x:c>
      <x:c r="AC1300" t="n" s="2">
        <x:v>39885</x:v>
      </x:c>
      <x:c r="AD1300" s="0"/>
      <x:c r="AE1300" s="0"/>
      <x:c r="AF1300" s="0"/>
      <x:c r="AG1300" s="0"/>
      <x:c r="AH1300" s="0"/>
      <x:c r="AI1300" s="0"/>
      <x:c r="AJ1300" s="0"/>
      <x:c r="AK1300" s="0"/>
    </x:row>
    <x:row r="1301">
      <x:c r="A1301" t="str" s="2">
        <x:f>=HYPERLINK("https://rsms.futurehomex.com/lead/39886", "Nathan Daniel")</x:f>
      </x:c>
      <x:c r="B1301" t="n" s="2">
        <x:v>33</x:v>
      </x:c>
      <x:c r="C1301" t="str" s="2">
        <x:v>0/3</x:v>
      </x:c>
      <x:c r="D1301" t="str" s="2">
        <x:f>=""</x:f>
      </x:c>
      <x:c r="E1301" s="0"/>
      <x:c r="F1301" t="str" s="2">
        <x:v>Office Hot Calls</x:v>
      </x:c>
      <x:c r="G1301" t="str" s="2">
        <x:v>Heritage Housing of Oklahoma City</x:v>
      </x:c>
      <x:c r="H1301" t="str" s="2">
        <x:v>Alejandra Calderon</x:v>
      </x:c>
      <x:c r="I1301" t="str" s="2">
        <x:v>Karol Romero</x:v>
      </x:c>
      <x:c r="J1301" s="0"/>
      <x:c r="K1301" t="n" s="2">
        <x:v>5</x:v>
      </x:c>
      <x:c r="L1301" t="str" s="2">
        <x:v>1.1</x:v>
      </x:c>
      <x:c r="M1301" t="str" s="2">
        <x:v>Dead</x:v>
      </x:c>
      <x:c r="N1301" t="str" s="2">
        <x:v>Prospect</x:v>
      </x:c>
      <x:c r="O1301" s="0"/>
      <x:c r="P1301" s="6">
        <x:v>46275</x:v>
      </x:c>
      <x:c r="Q1301" s="6">
        <x:v>46275.86368148148</x:v>
      </x:c>
      <x:c r="R1301" s="0"/>
      <x:c r="S1301" s="0"/>
      <x:c r="T1301" s="0"/>
      <x:c r="U1301" s="0"/>
      <x:c r="V1301" s="0"/>
      <x:c r="W1301" s="0"/>
      <x:c r="X1301" t="str" s="2">
        <x:v>4054392662</x:v>
      </x:c>
      <x:c r="Y1301" t="str" s="2">
        <x:v>4054392662</x:v>
      </x:c>
      <x:c r="Z1301" s="6">
        <x:v>46297.93569209491</x:v>
      </x:c>
      <x:c r="AA1301" t="str" s="2">
        <x:v>Alejandra Calderon</x:v>
      </x:c>
      <x:c r="AB1301" s="6">
        <x:v>46275.863683483796</x:v>
      </x:c>
      <x:c r="AC1301" t="n" s="2">
        <x:v>39886</x:v>
      </x:c>
      <x:c r="AD1301" s="0"/>
      <x:c r="AE1301" s="0"/>
      <x:c r="AF1301" s="0"/>
      <x:c r="AG1301" s="0"/>
      <x:c r="AH1301" s="0"/>
      <x:c r="AI1301" s="0"/>
      <x:c r="AJ1301" s="0"/>
      <x:c r="AK1301" s="0"/>
    </x:row>
    <x:row r="1302">
      <x:c r="A1302" t="str" s="2">
        <x:f>=HYPERLINK("https://rsms.futurehomex.com/lead/39888", "Linda Davis")</x:f>
      </x:c>
      <x:c r="B1302" t="n" s="2">
        <x:v>33</x:v>
      </x:c>
      <x:c r="C1302" t="str" s="2">
        <x:v>0/1</x:v>
      </x:c>
      <x:c r="D1302" t="str" s="2">
        <x:f>=""</x:f>
      </x:c>
      <x:c r="E1302" s="0"/>
      <x:c r="F1302" t="str" s="2">
        <x:v>Facebook Messenger</x:v>
      </x:c>
      <x:c r="G1302" t="str" s="2">
        <x:v>Heritage Housing of Oklahoma City</x:v>
      </x:c>
      <x:c r="H1302" t="str" s="2">
        <x:v>Steve Castell</x:v>
      </x:c>
      <x:c r="I1302" s="0"/>
      <x:c r="J1302" t="str" s="2">
        <x:v>Steve Castell</x:v>
      </x:c>
      <x:c r="K1302" t="n" s="2">
        <x:v>5</x:v>
      </x:c>
      <x:c r="L1302" t="str" s="2">
        <x:v>1.1</x:v>
      </x:c>
      <x:c r="M1302" t="str" s="2">
        <x:v>Dead</x:v>
      </x:c>
      <x:c r="N1302" t="str" s="2">
        <x:v>Deal Created</x:v>
      </x:c>
      <x:c r="O1302" s="0"/>
      <x:c r="P1302" s="6">
        <x:v>46275</x:v>
      </x:c>
      <x:c r="Q1302" s="6">
        <x:v>46275.879700150464</x:v>
      </x:c>
      <x:c r="R1302" s="0"/>
      <x:c r="S1302" s="0"/>
      <x:c r="T1302" s="0"/>
      <x:c r="U1302" s="0"/>
      <x:c r="V1302" s="0"/>
      <x:c r="W1302" s="0"/>
      <x:c r="X1302" t="str" s="2">
        <x:v>4056844648</x:v>
      </x:c>
      <x:c r="Y1302" t="str" s="2">
        <x:v>nomail@mail.com</x:v>
      </x:c>
      <x:c r="Z1302" s="6">
        <x:v>46275.88400211806</x:v>
      </x:c>
      <x:c r="AA1302" t="str" s="2">
        <x:v>Steve Castell</x:v>
      </x:c>
      <x:c r="AB1302" s="6">
        <x:v>46275.879700729165</x:v>
      </x:c>
      <x:c r="AC1302" t="n" s="2">
        <x:v>39888</x:v>
      </x:c>
      <x:c r="AD1302" s="0"/>
      <x:c r="AE1302" s="0"/>
      <x:c r="AF1302" s="0"/>
      <x:c r="AG1302" s="0"/>
      <x:c r="AH1302" s="0"/>
      <x:c r="AI1302" s="0"/>
      <x:c r="AJ1302" s="0"/>
      <x:c r="AK1302" s="0"/>
    </x:row>
    <x:row r="1303">
      <x:c r="A1303" t="str" s="2">
        <x:f>=HYPERLINK("https://rsms.futurehomex.com/lead/39890", "Jeff Ward")</x:f>
      </x:c>
      <x:c r="B1303" t="n" s="2">
        <x:v>32</x:v>
      </x:c>
      <x:c r="C1303" t="str" s="2">
        <x:v>0/2</x:v>
      </x:c>
      <x:c r="D1303" t="str" s="2">
        <x:f>=""</x:f>
      </x:c>
      <x:c r="E1303" s="0"/>
      <x:c r="F1303" t="str" s="2">
        <x:v>Office Hot Calls</x:v>
      </x:c>
      <x:c r="G1303" t="str" s="2">
        <x:v>Heritage Housing of Oklahoma City</x:v>
      </x:c>
      <x:c r="H1303" t="str" s="2">
        <x:v>Trey Rixleben</x:v>
      </x:c>
      <x:c r="I1303" t="str" s="2">
        <x:v>Karol Romero</x:v>
      </x:c>
      <x:c r="J1303" t="str" s="2">
        <x:v>Trey Rixleben</x:v>
      </x:c>
      <x:c r="K1303" t="n" s="2">
        <x:v>5</x:v>
      </x:c>
      <x:c r="L1303" t="str" s="2">
        <x:v>1.1</x:v>
      </x:c>
      <x:c r="M1303" t="str" s="2">
        <x:v>Dead</x:v>
      </x:c>
      <x:c r="N1303" t="str" s="2">
        <x:v>Deal Created</x:v>
      </x:c>
      <x:c r="O1303" s="0"/>
      <x:c r="P1303" s="6">
        <x:v>46276</x:v>
      </x:c>
      <x:c r="Q1303" s="6">
        <x:v>46295.93840940972</x:v>
      </x:c>
      <x:c r="R1303" s="0"/>
      <x:c r="S1303" s="0"/>
      <x:c r="T1303" s="0"/>
      <x:c r="U1303" s="0"/>
      <x:c r="V1303" s="0"/>
      <x:c r="W1303" s="0"/>
      <x:c r="X1303" t="str" s="2">
        <x:v>4056133127</x:v>
      </x:c>
      <x:c r="Y1303" t="str" s="2">
        <x:v>wardjeff1984@gmail.com</x:v>
      </x:c>
      <x:c r="Z1303" s="6">
        <x:v>46296.962214085645</x:v>
      </x:c>
      <x:c r="AA1303" t="str" s="2">
        <x:v>Richard Bell</x:v>
      </x:c>
      <x:c r="AB1303" s="6">
        <x:v>46276.593461226854</x:v>
      </x:c>
      <x:c r="AC1303" t="n" s="2">
        <x:v>39890</x:v>
      </x:c>
      <x:c r="AD1303" s="0"/>
      <x:c r="AE1303" s="0"/>
      <x:c r="AF1303" s="0"/>
      <x:c r="AG1303" s="0"/>
      <x:c r="AH1303" s="0"/>
      <x:c r="AI1303" s="0"/>
      <x:c r="AJ1303" s="0"/>
      <x:c r="AK1303" s="0"/>
    </x:row>
    <x:row r="1304">
      <x:c r="A1304" t="str" s="2">
        <x:f>=HYPERLINK("https://rsms.futurehomex.com/lead/39891", "Kelsi Carrier")</x:f>
      </x:c>
      <x:c r="B1304" t="n" s="2">
        <x:v>32</x:v>
      </x:c>
      <x:c r="C1304" t="str" s="2">
        <x:v/>
      </x:c>
      <x:c r="D1304" t="str" s="2">
        <x:f>=""</x:f>
      </x:c>
      <x:c r="E1304" s="0"/>
      <x:c r="F1304" t="str" s="2">
        <x:v>Landing_BPM</x:v>
      </x:c>
      <x:c r="G1304" t="str" s="2">
        <x:v>Legacy Housing Corp. DBA Americasa</x:v>
      </x:c>
      <x:c r="H1304" t="str" s="2">
        <x:v>Jose Parada</x:v>
      </x:c>
      <x:c r="I1304" t="str" s="2">
        <x:v>Karol Romero</x:v>
      </x:c>
      <x:c r="J1304" s="0"/>
      <x:c r="K1304" t="n" s="2">
        <x:v>5</x:v>
      </x:c>
      <x:c r="L1304" t="str" s="2">
        <x:v>1.1</x:v>
      </x:c>
      <x:c r="M1304" t="str" s="2">
        <x:v>Tentative</x:v>
      </x:c>
      <x:c r="N1304" t="str" s="2">
        <x:v>Prospect</x:v>
      </x:c>
      <x:c r="O1304" s="0"/>
      <x:c r="P1304" s="6">
        <x:v>46276</x:v>
      </x:c>
      <x:c r="Q1304" s="6">
        <x:v>46276.59365234954</x:v>
      </x:c>
      <x:c r="R1304" s="0"/>
      <x:c r="S1304" s="0"/>
      <x:c r="T1304" s="0"/>
      <x:c r="U1304" s="0"/>
      <x:c r="V1304" s="0"/>
      <x:c r="W1304" s="0"/>
      <x:c r="X1304" t="str" s="2">
        <x:v>8326541364</x:v>
      </x:c>
      <x:c r="Y1304" t="str" s="2">
        <x:v>kelsi.carrier.306@gmail.com</x:v>
      </x:c>
      <x:c r="Z1304" s="0"/>
      <x:c r="AA1304" s="0"/>
      <x:c r="AB1304" s="6">
        <x:v>46276.59365636574</x:v>
      </x:c>
      <x:c r="AC1304" t="n" s="2">
        <x:v>39891</x:v>
      </x:c>
      <x:c r="AD1304" s="0"/>
      <x:c r="AE1304" s="0"/>
      <x:c r="AF1304" s="0"/>
      <x:c r="AG1304" s="0"/>
      <x:c r="AH1304" s="0"/>
      <x:c r="AI1304" s="0"/>
      <x:c r="AJ1304" s="0"/>
      <x:c r="AK1304" s="0"/>
    </x:row>
    <x:row r="1305">
      <x:c r="A1305" t="str" s="2">
        <x:f>=HYPERLINK("https://rsms.futurehomex.com/lead/39892", "Scott Rose")</x:f>
      </x:c>
      <x:c r="B1305" t="n" s="2">
        <x:v>32</x:v>
      </x:c>
      <x:c r="C1305" t="str" s="2">
        <x:v>1/1</x:v>
      </x:c>
      <x:c r="D1305" t="str" s="2">
        <x:f>=""</x:f>
      </x:c>
      <x:c r="E1305" s="0"/>
      <x:c r="F1305" t="str" s="2">
        <x:v>Office Hot Calls</x:v>
      </x:c>
      <x:c r="G1305" t="str" s="2">
        <x:v>Heritage Housing of Oklahoma City</x:v>
      </x:c>
      <x:c r="H1305" t="str" s="2">
        <x:v>Trey Rixleben</x:v>
      </x:c>
      <x:c r="I1305" t="str" s="2">
        <x:v>Karol Romero</x:v>
      </x:c>
      <x:c r="J1305" t="str" s="2">
        <x:v>Trey Rixleben</x:v>
      </x:c>
      <x:c r="K1305" t="n" s="2">
        <x:v>5</x:v>
      </x:c>
      <x:c r="L1305" t="str" s="2">
        <x:v>1.1</x:v>
      </x:c>
      <x:c r="M1305" t="str" s="2">
        <x:v>Tentative</x:v>
      </x:c>
      <x:c r="N1305" t="str" s="2">
        <x:v>Deal Created</x:v>
      </x:c>
      <x:c r="O1305" s="0"/>
      <x:c r="P1305" s="6">
        <x:v>46276</x:v>
      </x:c>
      <x:c r="Q1305" s="6">
        <x:v>46276.59571894676</x:v>
      </x:c>
      <x:c r="R1305" s="0"/>
      <x:c r="S1305" s="0"/>
      <x:c r="T1305" s="0"/>
      <x:c r="U1305" s="0"/>
      <x:c r="V1305" s="0"/>
      <x:c r="W1305" s="0"/>
      <x:c r="X1305" t="str" s="2">
        <x:v>4056239276</x:v>
      </x:c>
      <x:c r="Y1305" t="str" s="2">
        <x:v>4056239276</x:v>
      </x:c>
      <x:c r="Z1305" s="6">
        <x:v>46289.93293900463</x:v>
      </x:c>
      <x:c r="AA1305" t="str" s="2">
        <x:v>Trey Rixleben</x:v>
      </x:c>
      <x:c r="AB1305" s="6">
        <x:v>46276.59572091435</x:v>
      </x:c>
      <x:c r="AC1305" t="n" s="2">
        <x:v>39892</x:v>
      </x:c>
      <x:c r="AD1305" s="0"/>
      <x:c r="AE1305" s="0"/>
      <x:c r="AF1305" s="0"/>
      <x:c r="AG1305" s="0"/>
      <x:c r="AH1305" s="0"/>
      <x:c r="AI1305" s="0"/>
      <x:c r="AJ1305" s="0"/>
      <x:c r="AK1305" s="0"/>
    </x:row>
    <x:row r="1306">
      <x:c r="A1306" t="str" s="2">
        <x:f>=HYPERLINK("https://rsms.futurehomex.com/lead/39893", "Michael Edwards")</x:f>
      </x:c>
      <x:c r="B1306" t="n" s="2">
        <x:v>32</x:v>
      </x:c>
      <x:c r="C1306" t="str" s="2">
        <x:v>0/2</x:v>
      </x:c>
      <x:c r="D1306" t="str" s="2">
        <x:f>=""</x:f>
      </x:c>
      <x:c r="E1306" s="0"/>
      <x:c r="F1306" t="str" s="2">
        <x:v>Landing_BPM</x:v>
      </x:c>
      <x:c r="G1306" t="str" s="2">
        <x:v>Heritage Housing of Oklahoma City</x:v>
      </x:c>
      <x:c r="H1306" t="str" s="2">
        <x:v>Trey Rixleben</x:v>
      </x:c>
      <x:c r="I1306" s="0"/>
      <x:c r="J1306" t="str" s="2">
        <x:v>Trey Rixleben</x:v>
      </x:c>
      <x:c r="K1306" t="n" s="2">
        <x:v>5</x:v>
      </x:c>
      <x:c r="L1306" t="str" s="2">
        <x:v>1.1</x:v>
      </x:c>
      <x:c r="M1306" t="str" s="2">
        <x:v>Dead</x:v>
      </x:c>
      <x:c r="N1306" t="str" s="2">
        <x:v>Deal Created</x:v>
      </x:c>
      <x:c r="O1306" s="0"/>
      <x:c r="P1306" s="6">
        <x:v>46276</x:v>
      </x:c>
      <x:c r="Q1306" s="6">
        <x:v>46279.98717392361</x:v>
      </x:c>
      <x:c r="R1306" s="0"/>
      <x:c r="S1306" s="0"/>
      <x:c r="T1306" s="0"/>
      <x:c r="U1306" s="0"/>
      <x:c r="V1306" s="0"/>
      <x:c r="W1306" s="0"/>
      <x:c r="X1306" t="str" s="2">
        <x:v>4059204421</x:v>
      </x:c>
      <x:c r="Y1306" t="str" s="2">
        <x:v>Edwrdturf@gmail.com</x:v>
      </x:c>
      <x:c r="Z1306" s="6">
        <x:v>46282.846306099535</x:v>
      </x:c>
      <x:c r="AA1306" t="str" s="2">
        <x:v>Richard Bell</x:v>
      </x:c>
      <x:c r="AB1306" s="6">
        <x:v>46276.59777418982</x:v>
      </x:c>
      <x:c r="AC1306" t="n" s="2">
        <x:v>39893</x:v>
      </x:c>
      <x:c r="AD1306" s="0"/>
      <x:c r="AE1306" s="0"/>
      <x:c r="AF1306" s="0"/>
      <x:c r="AG1306" s="0"/>
      <x:c r="AH1306" s="0"/>
      <x:c r="AI1306" s="0"/>
      <x:c r="AJ1306" s="0"/>
      <x:c r="AK1306" s="0"/>
    </x:row>
    <x:row r="1307">
      <x:c r="A1307" t="str" s="2">
        <x:f>=HYPERLINK("https://rsms.futurehomex.com/lead/39894", "Chelsea Freeman")</x:f>
      </x:c>
      <x:c r="B1307" t="n" s="2">
        <x:v>32</x:v>
      </x:c>
      <x:c r="C1307" t="str" s="2">
        <x:v/>
      </x:c>
      <x:c r="D1307" t="str" s="2">
        <x:f>=""</x:f>
      </x:c>
      <x:c r="E1307" s="0"/>
      <x:c r="F1307" t="str" s="2">
        <x:v>Walk-in</x:v>
      </x:c>
      <x:c r="G1307" t="str" s="2">
        <x:v>Heritage Housing of Athens</x:v>
      </x:c>
      <x:c r="H1307" t="str" s="2">
        <x:v>Nathan Bishop</x:v>
      </x:c>
      <x:c r="I1307" s="0"/>
      <x:c r="J1307" s="0"/>
      <x:c r="K1307" t="n" s="2">
        <x:v>5</x:v>
      </x:c>
      <x:c r="L1307" t="str" s="2">
        <x:v>1.1</x:v>
      </x:c>
      <x:c r="M1307" t="str" s="2">
        <x:v>Tentative</x:v>
      </x:c>
      <x:c r="N1307" t="str" s="2">
        <x:v>Prospect</x:v>
      </x:c>
      <x:c r="O1307" s="0"/>
      <x:c r="P1307" s="6">
        <x:v>46276</x:v>
      </x:c>
      <x:c r="Q1307" s="6">
        <x:v>46276.60667341435</x:v>
      </x:c>
      <x:c r="R1307" s="0"/>
      <x:c r="S1307" s="6">
        <x:v>46276</x:v>
      </x:c>
      <x:c r="T1307" s="0"/>
      <x:c r="U1307" s="0"/>
      <x:c r="V1307" s="0"/>
      <x:c r="W1307" s="0"/>
      <x:c r="X1307" t="str" s="2">
        <x:v>7068185406</x:v>
      </x:c>
      <x:c r="Y1307" t="str" s="2">
        <x:v>chet0388@gmail.com</x:v>
      </x:c>
      <x:c r="Z1307" s="0"/>
      <x:c r="AA1307" s="0"/>
      <x:c r="AB1307" s="6">
        <x:v>46276.60667403935</x:v>
      </x:c>
      <x:c r="AC1307" t="n" s="2">
        <x:v>39894</x:v>
      </x:c>
      <x:c r="AD1307" s="0"/>
      <x:c r="AE1307" s="0"/>
      <x:c r="AF1307" s="0"/>
      <x:c r="AG1307" s="0"/>
      <x:c r="AH1307" s="0"/>
      <x:c r="AI1307" s="0"/>
      <x:c r="AJ1307" s="0"/>
      <x:c r="AK1307" s="0"/>
    </x:row>
    <x:row r="1308">
      <x:c r="A1308" t="str" s="2">
        <x:f>=HYPERLINK("https://rsms.futurehomex.com/lead/39895", "Lindsay Vanbuskirk")</x:f>
      </x:c>
      <x:c r="B1308" t="n" s="2">
        <x:v>32</x:v>
      </x:c>
      <x:c r="C1308" t="str" s="2">
        <x:v>1/5</x:v>
      </x:c>
      <x:c r="D1308" t="str" s="2">
        <x:f>=""</x:f>
      </x:c>
      <x:c r="E1308" s="0"/>
      <x:c r="F1308" t="str" s="2">
        <x:v>Landing_BPM</x:v>
      </x:c>
      <x:c r="G1308" t="str" s="2">
        <x:v>Heritage Housing of Oklahoma City</x:v>
      </x:c>
      <x:c r="H1308" t="str" s="2">
        <x:v>Steve Castell</x:v>
      </x:c>
      <x:c r="I1308" s="0"/>
      <x:c r="J1308" t="str" s="2">
        <x:v>Steve Castell</x:v>
      </x:c>
      <x:c r="K1308" t="n" s="2">
        <x:v>5</x:v>
      </x:c>
      <x:c r="L1308" t="str" s="2">
        <x:v>1.1</x:v>
      </x:c>
      <x:c r="M1308" t="str" s="2">
        <x:v>Tentative</x:v>
      </x:c>
      <x:c r="N1308" t="str" s="2">
        <x:v>Deal Created</x:v>
      </x:c>
      <x:c r="O1308" s="0"/>
      <x:c r="P1308" s="6">
        <x:v>46276</x:v>
      </x:c>
      <x:c r="Q1308" s="6">
        <x:v>46276.60967673611</x:v>
      </x:c>
      <x:c r="R1308" s="0"/>
      <x:c r="S1308" s="0"/>
      <x:c r="T1308" s="0"/>
      <x:c r="U1308" s="0"/>
      <x:c r="V1308" s="0"/>
      <x:c r="W1308" s="0"/>
      <x:c r="X1308" t="str" s="2">
        <x:v>5806302729</x:v>
      </x:c>
      <x:c r="Y1308" t="str" s="2">
        <x:v>vlindsay860@gmail.com</x:v>
      </x:c>
      <x:c r="Z1308" s="6">
        <x:v>46303.9709065625</x:v>
      </x:c>
      <x:c r="AA1308" t="str" s="2">
        <x:v>Steve Castell</x:v>
      </x:c>
      <x:c r="AB1308" s="6">
        <x:v>46276.609677280096</x:v>
      </x:c>
      <x:c r="AC1308" t="n" s="2">
        <x:v>39895</x:v>
      </x:c>
      <x:c r="AD1308" s="0"/>
      <x:c r="AE1308" s="0"/>
      <x:c r="AF1308" s="0"/>
      <x:c r="AG1308" s="0"/>
      <x:c r="AH1308" s="0"/>
      <x:c r="AI1308" s="0"/>
      <x:c r="AJ1308" s="0"/>
      <x:c r="AK1308" s="0"/>
    </x:row>
    <x:row r="1309">
      <x:c r="A1309" t="str" s="2">
        <x:f>=HYPERLINK("https://rsms.futurehomex.com/lead/39896", "Georgia Bussey")</x:f>
      </x:c>
      <x:c r="B1309" t="n" s="2">
        <x:v>32</x:v>
      </x:c>
      <x:c r="C1309" t="str" s="2">
        <x:v>1/1</x:v>
      </x:c>
      <x:c r="D1309" t="str" s="2">
        <x:f>=""</x:f>
      </x:c>
      <x:c r="E1309" s="0"/>
      <x:c r="F1309" t="str" s="2">
        <x:v>Youtube</x:v>
      </x:c>
      <x:c r="G1309" t="str" s="2">
        <x:v>Heritage Housing of Oklahoma City</x:v>
      </x:c>
      <x:c r="H1309" t="str" s="2">
        <x:v>Trey Rixleben</x:v>
      </x:c>
      <x:c r="I1309" s="0"/>
      <x:c r="J1309" t="str" s="2">
        <x:v>Trey Rixleben</x:v>
      </x:c>
      <x:c r="K1309" t="n" s="2">
        <x:v>5</x:v>
      </x:c>
      <x:c r="L1309" t="str" s="2">
        <x:v>1.1</x:v>
      </x:c>
      <x:c r="M1309" t="str" s="2">
        <x:v>Tentative</x:v>
      </x:c>
      <x:c r="N1309" t="str" s="2">
        <x:v>Deal Created</x:v>
      </x:c>
      <x:c r="O1309" s="0"/>
      <x:c r="P1309" s="6">
        <x:v>46276</x:v>
      </x:c>
      <x:c r="Q1309" s="6">
        <x:v>46290.93322885417</x:v>
      </x:c>
      <x:c r="R1309" s="0"/>
      <x:c r="S1309" s="0"/>
      <x:c r="T1309" s="0"/>
      <x:c r="U1309" s="0"/>
      <x:c r="V1309" s="0"/>
      <x:c r="W1309" s="0"/>
      <x:c r="X1309" t="str" s="2">
        <x:v>5394249129</x:v>
      </x:c>
      <x:c r="Y1309" t="str" s="2">
        <x:v>georgiatran536@gmail.com</x:v>
      </x:c>
      <x:c r="Z1309" s="6">
        <x:v>46290.93443730324</x:v>
      </x:c>
      <x:c r="AA1309" t="str" s="2">
        <x:v>Trey Rixleben</x:v>
      </x:c>
      <x:c r="AB1309" s="6">
        <x:v>46276.622675659724</x:v>
      </x:c>
      <x:c r="AC1309" t="n" s="2">
        <x:v>39896</x:v>
      </x:c>
      <x:c r="AD1309" s="0"/>
      <x:c r="AE1309" s="0"/>
      <x:c r="AF1309" s="0"/>
      <x:c r="AG1309" s="0"/>
      <x:c r="AH1309" s="0"/>
      <x:c r="AI1309" s="0"/>
      <x:c r="AJ1309" s="0"/>
      <x:c r="AK1309" s="0"/>
    </x:row>
    <x:row r="1310">
      <x:c r="A1310" t="str" s="2">
        <x:f>=HYPERLINK("https://rsms.futurehomex.com/lead/39897", "Felipe Herrera")</x:f>
      </x:c>
      <x:c r="B1310" t="n" s="2">
        <x:v>32</x:v>
      </x:c>
      <x:c r="C1310" t="str" s="2">
        <x:v/>
      </x:c>
      <x:c r="D1310" t="str" s="2">
        <x:f>=""</x:f>
      </x:c>
      <x:c r="E1310" s="0"/>
      <x:c r="F1310" t="str" s="2">
        <x:v>Website</x:v>
      </x:c>
      <x:c r="G1310" t="str" s="2">
        <x:v>Heritage Housing Marble Falls</x:v>
      </x:c>
      <x:c r="H1310" t="str" s="2">
        <x:v>Garrett Riedesel</x:v>
      </x:c>
      <x:c r="I1310" s="0"/>
      <x:c r="J1310" t="str" s="2">
        <x:v>Garrett Riedesel</x:v>
      </x:c>
      <x:c r="K1310" t="n" s="2">
        <x:v>38</x:v>
      </x:c>
      <x:c r="L1310" t="str" s="2">
        <x:v>3.2</x:v>
      </x:c>
      <x:c r="M1310" t="str" s="2">
        <x:v>Active</x:v>
      </x:c>
      <x:c r="N1310" t="str" s="2">
        <x:v>Application</x:v>
      </x:c>
      <x:c r="O1310" s="0"/>
      <x:c r="P1310" s="6">
        <x:v>46276</x:v>
      </x:c>
      <x:c r="Q1310" s="6">
        <x:v>46282.775977233796</x:v>
      </x:c>
      <x:c r="R1310" s="0"/>
      <x:c r="S1310" s="0"/>
      <x:c r="T1310" s="0"/>
      <x:c r="U1310" s="0"/>
      <x:c r="V1310" s="0"/>
      <x:c r="W1310" s="0"/>
      <x:c r="X1310" t="str" s="2">
        <x:v>13615103647</x:v>
      </x:c>
      <x:c r="Y1310" t="str" s="2">
        <x:v>herrerajrf@gmail.com</x:v>
      </x:c>
      <x:c r="Z1310" s="6">
        <x:v>46280.7634787037</x:v>
      </x:c>
      <x:c r="AA1310" t="str" s="2">
        <x:v>Dane Lara</x:v>
      </x:c>
      <x:c r="AB1310" s="6">
        <x:v>46276.62873116898</x:v>
      </x:c>
      <x:c r="AC1310" t="n" s="2">
        <x:v>39897</x:v>
      </x:c>
      <x:c r="AD1310" t="str" s="2">
        <x:v>Doublewide</x:v>
      </x:c>
      <x:c r="AE1310" t="str" s="2">
        <x:v>21st Mortgage Corporation</x:v>
      </x:c>
      <x:c r="AF1310" s="7">
        <x:v>8000</x:v>
      </x:c>
      <x:c r="AG1310" s="7">
        <x:v>8000</x:v>
      </x:c>
      <x:c r="AH1310" s="0"/>
      <x:c r="AI1310" s="0"/>
      <x:c r="AJ1310" s="0"/>
      <x:c r="AK1310" s="0"/>
    </x:row>
    <x:row r="1311">
      <x:c r="A1311" t="str" s="2">
        <x:f>=HYPERLINK("https://rsms.futurehomex.com/lead/39898", "Chad Page")</x:f>
      </x:c>
      <x:c r="B1311" t="n" s="2">
        <x:v>32</x:v>
      </x:c>
      <x:c r="C1311" t="str" s="2">
        <x:v/>
      </x:c>
      <x:c r="D1311" t="str" s="2">
        <x:f>=""</x:f>
      </x:c>
      <x:c r="E1311" s="0"/>
      <x:c r="F1311" t="str" s="2">
        <x:v>Landing_BPM</x:v>
      </x:c>
      <x:c r="G1311" t="str" s="2">
        <x:v>Heritage Housing of Athens</x:v>
      </x:c>
      <x:c r="H1311" t="str" s="2">
        <x:v>Nathan Bishop</x:v>
      </x:c>
      <x:c r="I1311" s="0"/>
      <x:c r="J1311" s="0"/>
      <x:c r="K1311" t="n" s="2">
        <x:v>5</x:v>
      </x:c>
      <x:c r="L1311" t="str" s="2">
        <x:v>1.1</x:v>
      </x:c>
      <x:c r="M1311" t="str" s="2">
        <x:v>Tentative</x:v>
      </x:c>
      <x:c r="N1311" t="str" s="2">
        <x:v>Prospect</x:v>
      </x:c>
      <x:c r="O1311" s="0"/>
      <x:c r="P1311" s="6">
        <x:v>46276</x:v>
      </x:c>
      <x:c r="Q1311" s="6">
        <x:v>46276.78722827546</x:v>
      </x:c>
      <x:c r="R1311" s="0"/>
      <x:c r="S1311" s="0"/>
      <x:c r="T1311" s="0"/>
      <x:c r="U1311" s="0"/>
      <x:c r="V1311" s="0"/>
      <x:c r="W1311" s="0"/>
      <x:c r="X1311" t="str" s="2">
        <x:v>7069739750</x:v>
      </x:c>
      <x:c r="Y1311" t="str" s="2">
        <x:v>jcpage30534@gmail.com</x:v>
      </x:c>
      <x:c r="Z1311" s="0"/>
      <x:c r="AA1311" s="0"/>
      <x:c r="AB1311" s="6">
        <x:v>46276.64128969907</x:v>
      </x:c>
      <x:c r="AC1311" t="n" s="2">
        <x:v>39898</x:v>
      </x:c>
      <x:c r="AD1311" s="0"/>
      <x:c r="AE1311" s="0"/>
      <x:c r="AF1311" s="0"/>
      <x:c r="AG1311" s="0"/>
      <x:c r="AH1311" s="0"/>
      <x:c r="AI1311" t="str" s="2">
        <x:v>434</x:v>
      </x:c>
      <x:c r="AJ1311" s="0"/>
      <x:c r="AK1311" s="0"/>
    </x:row>
    <x:row r="1312">
      <x:c r="A1312" t="str" s="2">
        <x:f>=HYPERLINK("https://rsms.futurehomex.com/lead/39899", "Jennifer Clark")</x:f>
      </x:c>
      <x:c r="B1312" t="n" s="2">
        <x:v>32</x:v>
      </x:c>
      <x:c r="C1312" t="str" s="2">
        <x:v/>
      </x:c>
      <x:c r="D1312" t="str" s="2">
        <x:f>=""</x:f>
      </x:c>
      <x:c r="E1312" s="0"/>
      <x:c r="F1312" t="str" s="2">
        <x:v>Walk-in</x:v>
      </x:c>
      <x:c r="G1312" t="str" s="2">
        <x:v>Heritage Housing of Augusta</x:v>
      </x:c>
      <x:c r="H1312" t="str" s="2">
        <x:v>Jennifer Johnson</x:v>
      </x:c>
      <x:c r="I1312" s="0"/>
      <x:c r="J1312" s="0"/>
      <x:c r="K1312" t="n" s="2">
        <x:v>5</x:v>
      </x:c>
      <x:c r="L1312" t="str" s="2">
        <x:v>1.1</x:v>
      </x:c>
      <x:c r="M1312" t="str" s="2">
        <x:v>Tentative</x:v>
      </x:c>
      <x:c r="N1312" t="str" s="2">
        <x:v>Prospect</x:v>
      </x:c>
      <x:c r="O1312" s="0"/>
      <x:c r="P1312" s="6">
        <x:v>46276</x:v>
      </x:c>
      <x:c r="Q1312" s="6">
        <x:v>46295.88087476852</x:v>
      </x:c>
      <x:c r="R1312" s="0"/>
      <x:c r="S1312" s="0"/>
      <x:c r="T1312" s="0"/>
      <x:c r="U1312" s="0"/>
      <x:c r="V1312" s="0"/>
      <x:c r="W1312" s="0"/>
      <x:c r="X1312" t="str" s="2">
        <x:v>7063733416</x:v>
      </x:c>
      <x:c r="Y1312" t="str" s="2">
        <x:v>jennygirl1972@yahoo.com</x:v>
      </x:c>
      <x:c r="Z1312" s="0"/>
      <x:c r="AA1312" s="0"/>
      <x:c r="AB1312" s="6">
        <x:v>46276.64325289352</x:v>
      </x:c>
      <x:c r="AC1312" t="n" s="2">
        <x:v>39899</x:v>
      </x:c>
      <x:c r="AD1312" s="0"/>
      <x:c r="AE1312" s="0"/>
      <x:c r="AF1312" s="0"/>
      <x:c r="AG1312" s="0"/>
      <x:c r="AH1312" s="0"/>
      <x:c r="AI1312" s="0"/>
      <x:c r="AJ1312" s="0"/>
      <x:c r="AK1312" s="0"/>
    </x:row>
    <x:row r="1313">
      <x:c r="A1313" t="str" s="2">
        <x:f>=HYPERLINK("https://rsms.futurehomex.com/lead/39900", "Junna Glenn")</x:f>
      </x:c>
      <x:c r="B1313" t="n" s="2">
        <x:v>32</x:v>
      </x:c>
      <x:c r="C1313" t="str" s="2">
        <x:v/>
      </x:c>
      <x:c r="D1313" t="str" s="2">
        <x:f>=""</x:f>
      </x:c>
      <x:c r="E1313" s="0"/>
      <x:c r="F1313" t="str" s="2">
        <x:v>Walk-in</x:v>
      </x:c>
      <x:c r="G1313" t="str" s="2">
        <x:v>Heritage Housing of Athens</x:v>
      </x:c>
      <x:c r="H1313" t="str" s="2">
        <x:v>Ethan Fossett</x:v>
      </x:c>
      <x:c r="I1313" s="0"/>
      <x:c r="J1313" s="0"/>
      <x:c r="K1313" t="n" s="2">
        <x:v>38</x:v>
      </x:c>
      <x:c r="L1313" t="str" s="2">
        <x:v>3.2</x:v>
      </x:c>
      <x:c r="M1313" t="str" s="2">
        <x:v>Active</x:v>
      </x:c>
      <x:c r="N1313" t="str" s="2">
        <x:v>Application</x:v>
      </x:c>
      <x:c r="O1313" s="0"/>
      <x:c r="P1313" s="6">
        <x:v>46276</x:v>
      </x:c>
      <x:c r="Q1313" s="6">
        <x:v>46296.69690829861</x:v>
      </x:c>
      <x:c r="R1313" s="0"/>
      <x:c r="S1313" s="6">
        <x:v>46276</x:v>
      </x:c>
      <x:c r="T1313" s="0"/>
      <x:c r="U1313" s="0"/>
      <x:c r="V1313" s="0"/>
      <x:c r="W1313" s="0"/>
      <x:c r="X1313" t="str" s="2">
        <x:v>7062246969</x:v>
      </x:c>
      <x:c r="Y1313" t="str" s="2">
        <x:v>glennjuanna2@gmail.com</x:v>
      </x:c>
      <x:c r="Z1313" s="6">
        <x:v>46280.872411689816</x:v>
      </x:c>
      <x:c r="AA1313" t="str" s="2">
        <x:v>Dane Lara</x:v>
      </x:c>
      <x:c r="AB1313" s="6">
        <x:v>46276.645586956016</x:v>
      </x:c>
      <x:c r="AC1313" t="n" s="2">
        <x:v>39900</x:v>
      </x:c>
      <x:c r="AD1313" t="str" s="2">
        <x:v>Doublewide</x:v>
      </x:c>
      <x:c r="AE1313" t="str" s="2">
        <x:v>21st Mortgage Corporation</x:v>
      </x:c>
      <x:c r="AF1313" s="0"/>
      <x:c r="AG1313" s="0"/>
      <x:c r="AH1313" s="0"/>
      <x:c r="AI1313" s="0"/>
      <x:c r="AJ1313" s="0"/>
      <x:c r="AK1313" s="0"/>
    </x:row>
    <x:row r="1314">
      <x:c r="A1314" t="str" s="2">
        <x:f>=HYPERLINK("https://rsms.futurehomex.com/lead/39901", "Michael Hope")</x:f>
      </x:c>
      <x:c r="B1314" t="n" s="2">
        <x:v>32</x:v>
      </x:c>
      <x:c r="C1314" t="str" s="2">
        <x:v>1/3</x:v>
      </x:c>
      <x:c r="D1314" t="str" s="2">
        <x:f>=""</x:f>
      </x:c>
      <x:c r="E1314" s="0"/>
      <x:c r="F1314" t="str" s="2">
        <x:v>Landing_BPM</x:v>
      </x:c>
      <x:c r="G1314" t="str" s="2">
        <x:v>Heritage Housing of Albany</x:v>
      </x:c>
      <x:c r="H1314" t="str" s="2">
        <x:v>Alexander Bryant</x:v>
      </x:c>
      <x:c r="I1314" t="str" s="2">
        <x:v>Karol Romero</x:v>
      </x:c>
      <x:c r="J1314" s="0"/>
      <x:c r="K1314" t="n" s="2">
        <x:v>5</x:v>
      </x:c>
      <x:c r="L1314" t="str" s="2">
        <x:v>1.1</x:v>
      </x:c>
      <x:c r="M1314" t="str" s="2">
        <x:v>Tentative</x:v>
      </x:c>
      <x:c r="N1314" t="str" s="2">
        <x:v>Prospect</x:v>
      </x:c>
      <x:c r="O1314" s="0"/>
      <x:c r="P1314" s="6">
        <x:v>46276</x:v>
      </x:c>
      <x:c r="Q1314" s="6">
        <x:v>46276.664589699074</x:v>
      </x:c>
      <x:c r="R1314" s="0"/>
      <x:c r="S1314" s="6">
        <x:v>46276</x:v>
      </x:c>
      <x:c r="T1314" s="0"/>
      <x:c r="U1314" s="0"/>
      <x:c r="V1314" s="0"/>
      <x:c r="W1314" s="0"/>
      <x:c r="X1314" t="str" s="2">
        <x:v>2293760589</x:v>
      </x:c>
      <x:c r="Y1314" t="str" s="2">
        <x:v>mikehope2954@gmail.com</x:v>
      </x:c>
      <x:c r="Z1314" s="6">
        <x:v>46302.90237847222</x:v>
      </x:c>
      <x:c r="AA1314" t="str" s="2">
        <x:v>Justin Johnson</x:v>
      </x:c>
      <x:c r="AB1314" s="6">
        <x:v>46276.664590740744</x:v>
      </x:c>
      <x:c r="AC1314" t="n" s="2">
        <x:v>39901</x:v>
      </x:c>
      <x:c r="AD1314" s="0"/>
      <x:c r="AE1314" s="0"/>
      <x:c r="AF1314" s="0"/>
      <x:c r="AG1314" s="0"/>
      <x:c r="AH1314" s="0"/>
      <x:c r="AI1314" s="0"/>
      <x:c r="AJ1314" s="0"/>
      <x:c r="AK1314" s="0"/>
    </x:row>
    <x:row r="1315">
      <x:c r="A1315" t="str" s="2">
        <x:f>=HYPERLINK("https://rsms.futurehomex.com/lead/39902", "norman silkey")</x:f>
      </x:c>
      <x:c r="B1315" t="n" s="2">
        <x:v>32</x:v>
      </x:c>
      <x:c r="C1315" t="str" s="2">
        <x:v/>
      </x:c>
      <x:c r="D1315" t="str" s="2">
        <x:f>=""</x:f>
      </x:c>
      <x:c r="E1315" s="0"/>
      <x:c r="F1315" t="str" s="2">
        <x:v>Financing Form</x:v>
      </x:c>
      <x:c r="G1315" t="str" s="2">
        <x:v>Heritage Housing of Tulsa</x:v>
      </x:c>
      <x:c r="H1315" t="str" s="2">
        <x:v>Derek Searcy</x:v>
      </x:c>
      <x:c r="I1315" s="0"/>
      <x:c r="J1315" t="str" s="2">
        <x:v>Derek Searcy</x:v>
      </x:c>
      <x:c r="K1315" t="n" s="2">
        <x:v>5</x:v>
      </x:c>
      <x:c r="L1315" t="str" s="2">
        <x:v>1.1</x:v>
      </x:c>
      <x:c r="M1315" t="str" s="2">
        <x:v>Tentative</x:v>
      </x:c>
      <x:c r="N1315" t="str" s="2">
        <x:v>Deal Created</x:v>
      </x:c>
      <x:c r="O1315" s="0"/>
      <x:c r="P1315" s="6">
        <x:v>46276</x:v>
      </x:c>
      <x:c r="Q1315" s="6">
        <x:v>46276.707559525465</x:v>
      </x:c>
      <x:c r="R1315" s="0"/>
      <x:c r="S1315" s="0"/>
      <x:c r="T1315" s="0"/>
      <x:c r="U1315" s="0"/>
      <x:c r="V1315" s="0"/>
      <x:c r="W1315" s="0"/>
      <x:c r="X1315" t="str" s="2">
        <x:v>9182138354</x:v>
      </x:c>
      <x:c r="Y1315" t="str" s="2">
        <x:v>normansilkey165@gmail.com</x:v>
      </x:c>
      <x:c r="Z1315" s="0"/>
      <x:c r="AA1315" s="0"/>
      <x:c r="AB1315" s="6">
        <x:v>46276.70756030093</x:v>
      </x:c>
      <x:c r="AC1315" t="n" s="2">
        <x:v>39902</x:v>
      </x:c>
      <x:c r="AD1315" s="0"/>
      <x:c r="AE1315" s="0"/>
      <x:c r="AF1315" s="0"/>
      <x:c r="AG1315" s="0"/>
      <x:c r="AH1315" s="0"/>
      <x:c r="AI1315" s="0"/>
      <x:c r="AJ1315" s="0"/>
      <x:c r="AK1315" s="0"/>
    </x:row>
    <x:row r="1316">
      <x:c r="A1316" t="str" s="2">
        <x:f>=HYPERLINK("https://rsms.futurehomex.com/lead/39903", "Tammy Chidester")</x:f>
      </x:c>
      <x:c r="B1316" t="n" s="2">
        <x:v>32</x:v>
      </x:c>
      <x:c r="C1316" t="str" s="2">
        <x:v/>
      </x:c>
      <x:c r="D1316" t="str" s="2">
        <x:f>=""</x:f>
      </x:c>
      <x:c r="E1316" s="0"/>
      <x:c r="F1316" t="str" s="2">
        <x:v>Youtube</x:v>
      </x:c>
      <x:c r="G1316" t="str" s="2">
        <x:v>Heritage Housing of Tulsa</x:v>
      </x:c>
      <x:c r="H1316" t="str" s="2">
        <x:v>Derek Searcy</x:v>
      </x:c>
      <x:c r="I1316" s="0"/>
      <x:c r="J1316" t="str" s="2">
        <x:v>Derek Searcy</x:v>
      </x:c>
      <x:c r="K1316" t="n" s="2">
        <x:v>5</x:v>
      </x:c>
      <x:c r="L1316" t="str" s="2">
        <x:v>1.1</x:v>
      </x:c>
      <x:c r="M1316" t="str" s="2">
        <x:v>Tentative</x:v>
      </x:c>
      <x:c r="N1316" t="str" s="2">
        <x:v>Deal Created</x:v>
      </x:c>
      <x:c r="O1316" s="0"/>
      <x:c r="P1316" s="6">
        <x:v>46276</x:v>
      </x:c>
      <x:c r="Q1316" s="6">
        <x:v>46276.71638414352</x:v>
      </x:c>
      <x:c r="R1316" s="0"/>
      <x:c r="S1316" s="0"/>
      <x:c r="T1316" s="0"/>
      <x:c r="U1316" s="0"/>
      <x:c r="V1316" s="0"/>
      <x:c r="W1316" s="0"/>
      <x:c r="X1316" t="str" s="2">
        <x:v>9188947681</x:v>
      </x:c>
      <x:c r="Y1316" t="str" s="2">
        <x:v>wilsontammy1989@gmail.com</x:v>
      </x:c>
      <x:c r="Z1316" s="0"/>
      <x:c r="AA1316" s="0"/>
      <x:c r="AB1316" s="6">
        <x:v>46276.716384756946</x:v>
      </x:c>
      <x:c r="AC1316" t="n" s="2">
        <x:v>39903</x:v>
      </x:c>
      <x:c r="AD1316" s="0"/>
      <x:c r="AE1316" s="0"/>
      <x:c r="AF1316" s="0"/>
      <x:c r="AG1316" s="0"/>
      <x:c r="AH1316" s="0"/>
      <x:c r="AI1316" s="0"/>
      <x:c r="AJ1316" s="0"/>
      <x:c r="AK1316" s="0"/>
    </x:row>
    <x:row r="1317">
      <x:c r="A1317" t="str" s="2">
        <x:f>=HYPERLINK("https://rsms.futurehomex.com/lead/39904", "Joey Reed")</x:f>
      </x:c>
      <x:c r="B1317" t="n" s="2">
        <x:v>32</x:v>
      </x:c>
      <x:c r="C1317" t="str" s="2">
        <x:v>1/9</x:v>
      </x:c>
      <x:c r="D1317" t="str" s="2">
        <x:f>=""</x:f>
      </x:c>
      <x:c r="E1317" s="0"/>
      <x:c r="F1317" t="str" s="2">
        <x:v>Facebook Messenger</x:v>
      </x:c>
      <x:c r="G1317" t="str" s="2">
        <x:v>Heritage Housing of Oklahoma City</x:v>
      </x:c>
      <x:c r="H1317" t="str" s="2">
        <x:v>Steve Castell</x:v>
      </x:c>
      <x:c r="I1317" s="0"/>
      <x:c r="J1317" t="str" s="2">
        <x:v>Steve Castell</x:v>
      </x:c>
      <x:c r="K1317" t="n" s="2">
        <x:v>5</x:v>
      </x:c>
      <x:c r="L1317" t="str" s="2">
        <x:v>1.1</x:v>
      </x:c>
      <x:c r="M1317" t="str" s="2">
        <x:v>Tentative</x:v>
      </x:c>
      <x:c r="N1317" t="str" s="2">
        <x:v>Deal Created</x:v>
      </x:c>
      <x:c r="O1317" s="0"/>
      <x:c r="P1317" s="6">
        <x:v>46276</x:v>
      </x:c>
      <x:c r="Q1317" s="6">
        <x:v>46276.72796554398</x:v>
      </x:c>
      <x:c r="R1317" s="0"/>
      <x:c r="S1317" s="0"/>
      <x:c r="T1317" s="0"/>
      <x:c r="U1317" s="0"/>
      <x:c r="V1317" s="0"/>
      <x:c r="W1317" s="0"/>
      <x:c r="X1317" t="str" s="2">
        <x:v>9189825904</x:v>
      </x:c>
      <x:c r="Y1317" t="str" s="2">
        <x:v>ryzenconstructionllc@gmail.com</x:v>
      </x:c>
      <x:c r="Z1317" s="6">
        <x:v>46306.794542627315</x:v>
      </x:c>
      <x:c r="AA1317" t="str" s="2">
        <x:v>Steve Castell</x:v>
      </x:c>
      <x:c r="AB1317" s="6">
        <x:v>46276.727966122686</x:v>
      </x:c>
      <x:c r="AC1317" t="n" s="2">
        <x:v>39904</x:v>
      </x:c>
      <x:c r="AD1317" s="0"/>
      <x:c r="AE1317" s="0"/>
      <x:c r="AF1317" s="0"/>
      <x:c r="AG1317" s="0"/>
      <x:c r="AH1317" s="0"/>
      <x:c r="AI1317" s="0"/>
      <x:c r="AJ1317" s="0"/>
      <x:c r="AK1317" s="0"/>
    </x:row>
    <x:row r="1318">
      <x:c r="A1318" t="str" s="2">
        <x:f>=HYPERLINK("https://rsms.futurehomex.com/lead/39905", "Alexandria Bowie")</x:f>
      </x:c>
      <x:c r="B1318" t="n" s="2">
        <x:v>32</x:v>
      </x:c>
      <x:c r="C1318" t="str" s="2">
        <x:v/>
      </x:c>
      <x:c r="D1318" t="str" s="2">
        <x:f>=""</x:f>
      </x:c>
      <x:c r="E1318" s="0"/>
      <x:c r="F1318" t="str" s="2">
        <x:v>Youtube</x:v>
      </x:c>
      <x:c r="G1318" t="str" s="2">
        <x:v>Heritage Housing of Tulsa</x:v>
      </x:c>
      <x:c r="H1318" t="str" s="2">
        <x:v>Jenna Fransisco</x:v>
      </x:c>
      <x:c r="I1318" s="0"/>
      <x:c r="J1318" t="str" s="2">
        <x:v>Derek Searcy</x:v>
      </x:c>
      <x:c r="K1318" t="n" s="2">
        <x:v>5</x:v>
      </x:c>
      <x:c r="L1318" t="str" s="2">
        <x:v>1.1</x:v>
      </x:c>
      <x:c r="M1318" t="str" s="2">
        <x:v>Tentative</x:v>
      </x:c>
      <x:c r="N1318" t="str" s="2">
        <x:v>Prospect</x:v>
      </x:c>
      <x:c r="O1318" s="0"/>
      <x:c r="P1318" s="6">
        <x:v>46276</x:v>
      </x:c>
      <x:c r="Q1318" s="6">
        <x:v>46276.737443715276</x:v>
      </x:c>
      <x:c r="R1318" s="0"/>
      <x:c r="S1318" s="0"/>
      <x:c r="T1318" s="0"/>
      <x:c r="U1318" s="0"/>
      <x:c r="V1318" s="0"/>
      <x:c r="W1318" s="0"/>
      <x:c r="X1318" t="str" s="2">
        <x:v>9182869083</x:v>
      </x:c>
      <x:c r="Y1318" t="str" s="2">
        <x:v>alexbowie1984@gmail.com</x:v>
      </x:c>
      <x:c r="Z1318" s="0"/>
      <x:c r="AA1318" s="0"/>
      <x:c r="AB1318" s="6">
        <x:v>46276.73744424769</x:v>
      </x:c>
      <x:c r="AC1318" t="n" s="2">
        <x:v>39905</x:v>
      </x:c>
      <x:c r="AD1318" s="0"/>
      <x:c r="AE1318" s="0"/>
      <x:c r="AF1318" s="0"/>
      <x:c r="AG1318" s="0"/>
      <x:c r="AH1318" s="0"/>
      <x:c r="AI1318" s="0"/>
      <x:c r="AJ1318" s="0"/>
      <x:c r="AK1318" s="0"/>
    </x:row>
    <x:row r="1319">
      <x:c r="A1319" t="str" s="2">
        <x:f>=HYPERLINK("https://rsms.futurehomex.com/lead/39907", "Ethan Test")</x:f>
      </x:c>
      <x:c r="B1319" t="n" s="2">
        <x:v>32</x:v>
      </x:c>
      <x:c r="C1319" t="str" s="2">
        <x:v/>
      </x:c>
      <x:c r="D1319" t="str" s="2">
        <x:f>=""</x:f>
      </x:c>
      <x:c r="E1319" s="0"/>
      <x:c r="F1319" t="str" s="2">
        <x:v>Walk-in</x:v>
      </x:c>
      <x:c r="G1319" t="str" s="2">
        <x:v>Heritage Housing of Athens</x:v>
      </x:c>
      <x:c r="H1319" t="str" s="2">
        <x:v>Ethan Fossett</x:v>
      </x:c>
      <x:c r="I1319" s="0"/>
      <x:c r="J1319" s="0"/>
      <x:c r="K1319" t="n" s="2">
        <x:v>9</x:v>
      </x:c>
      <x:c r="L1319" t="str" s="2">
        <x:v>1.2</x:v>
      </x:c>
      <x:c r="M1319" t="str" s="2">
        <x:v>Dead</x:v>
      </x:c>
      <x:c r="N1319" t="str" s="2">
        <x:v>Prospect</x:v>
      </x:c>
      <x:c r="O1319" s="0"/>
      <x:c r="P1319" s="6">
        <x:v>46276</x:v>
      </x:c>
      <x:c r="Q1319" s="6">
        <x:v>46276.7567258912</x:v>
      </x:c>
      <x:c r="R1319" s="0"/>
      <x:c r="S1319" s="6">
        <x:v>46276</x:v>
      </x:c>
      <x:c r="T1319" s="6">
        <x:v>46276</x:v>
      </x:c>
      <x:c r="U1319" s="6">
        <x:v>46276</x:v>
      </x:c>
      <x:c r="V1319" s="0"/>
      <x:c r="W1319" s="0"/>
      <x:c r="X1319" t="str" s="2">
        <x:v>5550005555</x:v>
      </x:c>
      <x:c r="Y1319" t="str" s="2">
        <x:v>efossett@heritagehousing.net</x:v>
      </x:c>
      <x:c r="Z1319" s="0"/>
      <x:c r="AA1319" s="0"/>
      <x:c r="AB1319" s="6">
        <x:v>46276.74888359954</x:v>
      </x:c>
      <x:c r="AC1319" t="n" s="2">
        <x:v>39907</x:v>
      </x:c>
      <x:c r="AD1319" s="0"/>
      <x:c r="AE1319" s="0"/>
      <x:c r="AF1319" s="0"/>
      <x:c r="AG1319" s="7">
        <x:v>20000</x:v>
      </x:c>
      <x:c r="AH1319" s="0"/>
      <x:c r="AI1319" s="0"/>
      <x:c r="AJ1319" s="0"/>
      <x:c r="AK1319" s="0"/>
    </x:row>
    <x:row r="1320">
      <x:c r="A1320" t="str" s="2">
        <x:f>=HYPERLINK("https://rsms.futurehomex.com/lead/39908", "Joey Marquez")</x:f>
      </x:c>
      <x:c r="B1320" t="n" s="2">
        <x:v>32</x:v>
      </x:c>
      <x:c r="C1320" t="str" s="2">
        <x:v/>
      </x:c>
      <x:c r="D1320" t="str" s="2">
        <x:f>=""</x:f>
      </x:c>
      <x:c r="E1320" s="0"/>
      <x:c r="F1320" t="str" s="2">
        <x:v>Other</x:v>
      </x:c>
      <x:c r="G1320" t="str" s="2">
        <x:v>Legacy Housing Corp. DBA Americasa</x:v>
      </x:c>
      <x:c r="H1320" t="str" s="2">
        <x:v>Joey Marquez</x:v>
      </x:c>
      <x:c r="I1320" s="0"/>
      <x:c r="J1320" t="str" s="2">
        <x:v>Joey Marquez</x:v>
      </x:c>
      <x:c r="K1320" t="n" s="2">
        <x:v>5</x:v>
      </x:c>
      <x:c r="L1320" t="str" s="2">
        <x:v>1.1</x:v>
      </x:c>
      <x:c r="M1320" t="str" s="2">
        <x:v>Tentative</x:v>
      </x:c>
      <x:c r="N1320" t="str" s="2">
        <x:v>Deal Created</x:v>
      </x:c>
      <x:c r="O1320" s="0"/>
      <x:c r="P1320" s="6">
        <x:v>46276</x:v>
      </x:c>
      <x:c r="Q1320" s="6">
        <x:v>46276.79580983796</x:v>
      </x:c>
      <x:c r="R1320" s="0"/>
      <x:c r="S1320" s="0"/>
      <x:c r="T1320" s="0"/>
      <x:c r="U1320" s="0"/>
      <x:c r="V1320" s="0"/>
      <x:c r="W1320" s="0"/>
      <x:c r="X1320" t="str" s="2">
        <x:v>3108060381</x:v>
      </x:c>
      <x:c r="Y1320" t="str" s="2">
        <x:v>marquezriverajoey@gmail.com</x:v>
      </x:c>
      <x:c r="Z1320" s="0"/>
      <x:c r="AA1320" s="0"/>
      <x:c r="AB1320" s="6">
        <x:v>46276.795811689815</x:v>
      </x:c>
      <x:c r="AC1320" t="n" s="2">
        <x:v>39908</x:v>
      </x:c>
      <x:c r="AD1320" s="0"/>
      <x:c r="AE1320" s="0"/>
      <x:c r="AF1320" s="0"/>
      <x:c r="AG1320" s="0"/>
      <x:c r="AH1320" s="0"/>
      <x:c r="AI1320" s="0"/>
      <x:c r="AJ1320" s="0"/>
      <x:c r="AK1320" s="0"/>
    </x:row>
    <x:row r="1321">
      <x:c r="A1321" t="str" s="2">
        <x:f>=HYPERLINK("https://rsms.futurehomex.com/lead/39909", "Gary Hall")</x:f>
      </x:c>
      <x:c r="B1321" t="n" s="2">
        <x:v>32</x:v>
      </x:c>
      <x:c r="C1321" t="str" s="2">
        <x:v>1/1</x:v>
      </x:c>
      <x:c r="D1321" t="str" s="2">
        <x:f>=""</x:f>
      </x:c>
      <x:c r="E1321" s="0"/>
      <x:c r="F1321" t="str" s="2">
        <x:v>Walk-in</x:v>
      </x:c>
      <x:c r="G1321" t="str" s="2">
        <x:v>Heritage Housing of Oklahoma City</x:v>
      </x:c>
      <x:c r="H1321" t="str" s="2">
        <x:v>Trey Rixleben</x:v>
      </x:c>
      <x:c r="I1321" s="0"/>
      <x:c r="J1321" s="0"/>
      <x:c r="K1321" t="n" s="2">
        <x:v>5</x:v>
      </x:c>
      <x:c r="L1321" t="str" s="2">
        <x:v>1.1</x:v>
      </x:c>
      <x:c r="M1321" t="str" s="2">
        <x:v>Tentative</x:v>
      </x:c>
      <x:c r="N1321" t="str" s="2">
        <x:v>Deal Created</x:v>
      </x:c>
      <x:c r="O1321" s="0"/>
      <x:c r="P1321" s="6">
        <x:v>46276</x:v>
      </x:c>
      <x:c r="Q1321" s="6">
        <x:v>46290.97594221065</x:v>
      </x:c>
      <x:c r="R1321" s="0"/>
      <x:c r="S1321" s="6">
        <x:v>46276</x:v>
      </x:c>
      <x:c r="T1321" s="0"/>
      <x:c r="U1321" s="0"/>
      <x:c r="V1321" s="0"/>
      <x:c r="W1321" s="0"/>
      <x:c r="X1321" t="str" s="2">
        <x:v>4054260201</x:v>
      </x:c>
      <x:c r="Y1321" t="str" s="2">
        <x:v>sinix6868@gmail.com</x:v>
      </x:c>
      <x:c r="Z1321" s="6">
        <x:v>46290.97649644676</x:v>
      </x:c>
      <x:c r="AA1321" t="str" s="2">
        <x:v>Trey Rixleben</x:v>
      </x:c>
      <x:c r="AB1321" s="6">
        <x:v>46276.79834537037</x:v>
      </x:c>
      <x:c r="AC1321" t="n" s="2">
        <x:v>39909</x:v>
      </x:c>
      <x:c r="AD1321" s="0"/>
      <x:c r="AE1321" s="0"/>
      <x:c r="AF1321" s="0"/>
      <x:c r="AG1321" s="0"/>
      <x:c r="AH1321" s="0"/>
      <x:c r="AI1321" s="0"/>
      <x:c r="AJ1321" s="0"/>
      <x:c r="AK1321" s="0"/>
    </x:row>
    <x:row r="1322">
      <x:c r="A1322" t="str" s="2">
        <x:f>=HYPERLINK("https://rsms.futurehomex.com/lead/39910", "Miesha Villagomez")</x:f>
      </x:c>
      <x:c r="B1322" t="n" s="2">
        <x:v>32</x:v>
      </x:c>
      <x:c r="C1322" t="str" s="2">
        <x:v>0/1</x:v>
      </x:c>
      <x:c r="D1322" t="str" s="2">
        <x:f>=""</x:f>
      </x:c>
      <x:c r="E1322" s="0"/>
      <x:c r="F1322" t="str" s="2">
        <x:v>Bing - Search</x:v>
      </x:c>
      <x:c r="G1322" t="str" s="2">
        <x:v>Heritage Housing of Athens</x:v>
      </x:c>
      <x:c r="H1322" t="str" s="2">
        <x:v>Nathan Bishop</x:v>
      </x:c>
      <x:c r="I1322" s="0"/>
      <x:c r="J1322" s="0"/>
      <x:c r="K1322" t="n" s="2">
        <x:v>5</x:v>
      </x:c>
      <x:c r="L1322" t="str" s="2">
        <x:v>1.1</x:v>
      </x:c>
      <x:c r="M1322" t="str" s="2">
        <x:v>Dead</x:v>
      </x:c>
      <x:c r="N1322" t="str" s="2">
        <x:v>Prospect</x:v>
      </x:c>
      <x:c r="O1322" s="0"/>
      <x:c r="P1322" s="6">
        <x:v>46276</x:v>
      </x:c>
      <x:c r="Q1322" s="6">
        <x:v>46276.80471068287</x:v>
      </x:c>
      <x:c r="R1322" s="0"/>
      <x:c r="S1322" s="0"/>
      <x:c r="T1322" s="0"/>
      <x:c r="U1322" s="0"/>
      <x:c r="V1322" s="0"/>
      <x:c r="W1322" s="0"/>
      <x:c r="X1322" t="str" s="2">
        <x:v>9106338233</x:v>
      </x:c>
      <x:c r="Y1322" t="str" s="2">
        <x:v>mieshavillagomez2017@gmail.com</x:v>
      </x:c>
      <x:c r="Z1322" s="6">
        <x:v>46288.83539332176</x:v>
      </x:c>
      <x:c r="AA1322" t="str" s="2">
        <x:v>Nathan Bishop</x:v>
      </x:c>
      <x:c r="AB1322" s="6">
        <x:v>46276.804711689816</x:v>
      </x:c>
      <x:c r="AC1322" t="n" s="2">
        <x:v>39910</x:v>
      </x:c>
      <x:c r="AD1322" s="0"/>
      <x:c r="AE1322" s="0"/>
      <x:c r="AF1322" s="0"/>
      <x:c r="AG1322" s="0"/>
      <x:c r="AH1322" s="0"/>
      <x:c r="AI1322" s="0"/>
      <x:c r="AJ1322" s="0"/>
      <x:c r="AK1322" s="0"/>
    </x:row>
    <x:row r="1323">
      <x:c r="A1323" t="str" s="2">
        <x:f>=HYPERLINK("https://rsms.futurehomex.com/lead/39911", "Kara Smith")</x:f>
      </x:c>
      <x:c r="B1323" t="n" s="2">
        <x:v>32</x:v>
      </x:c>
      <x:c r="C1323" t="str" s="2">
        <x:v>1/3</x:v>
      </x:c>
      <x:c r="D1323" t="str" s="2">
        <x:f>=""</x:f>
      </x:c>
      <x:c r="E1323" s="0"/>
      <x:c r="F1323" t="str" s="2">
        <x:v>Landing_BPM</x:v>
      </x:c>
      <x:c r="G1323" t="str" s="2">
        <x:v>Heritage Housing of Oklahoma City</x:v>
      </x:c>
      <x:c r="H1323" t="str" s="2">
        <x:v>Steve Castell</x:v>
      </x:c>
      <x:c r="I1323" s="0"/>
      <x:c r="J1323" t="str" s="2">
        <x:v>Steve Castell</x:v>
      </x:c>
      <x:c r="K1323" t="n" s="2">
        <x:v>5</x:v>
      </x:c>
      <x:c r="L1323" t="str" s="2">
        <x:v>1.1</x:v>
      </x:c>
      <x:c r="M1323" t="str" s="2">
        <x:v>Tentative</x:v>
      </x:c>
      <x:c r="N1323" t="str" s="2">
        <x:v>Deal Created</x:v>
      </x:c>
      <x:c r="O1323" s="0"/>
      <x:c r="P1323" s="6">
        <x:v>46276</x:v>
      </x:c>
      <x:c r="Q1323" s="6">
        <x:v>46277.84997681713</x:v>
      </x:c>
      <x:c r="R1323" s="0"/>
      <x:c r="S1323" s="0"/>
      <x:c r="T1323" s="0"/>
      <x:c r="U1323" s="0"/>
      <x:c r="V1323" s="0"/>
      <x:c r="W1323" s="0"/>
      <x:c r="X1323" t="str" s="2">
        <x:v>4057041866</x:v>
      </x:c>
      <x:c r="Y1323" t="str" s="2">
        <x:v>karawashburnfreedom@gmail.com</x:v>
      </x:c>
      <x:c r="Z1323" s="6">
        <x:v>46292.92169244213</x:v>
      </x:c>
      <x:c r="AA1323" t="str" s="2">
        <x:v>Eva Misheva</x:v>
      </x:c>
      <x:c r="AB1323" s="6">
        <x:v>46276.809646608795</x:v>
      </x:c>
      <x:c r="AC1323" t="n" s="2">
        <x:v>39911</x:v>
      </x:c>
      <x:c r="AD1323" s="0"/>
      <x:c r="AE1323" s="0"/>
      <x:c r="AF1323" s="0"/>
      <x:c r="AG1323" s="0"/>
      <x:c r="AH1323" s="0"/>
      <x:c r="AI1323" s="0"/>
      <x:c r="AJ1323" s="0"/>
      <x:c r="AK1323" s="0"/>
    </x:row>
    <x:row r="1324">
      <x:c r="A1324" t="str" s="2">
        <x:f>=HYPERLINK("https://rsms.futurehomex.com/lead/39913", "Brook York")</x:f>
      </x:c>
      <x:c r="B1324" t="n" s="2">
        <x:v>32</x:v>
      </x:c>
      <x:c r="C1324" t="str" s="2">
        <x:v/>
      </x:c>
      <x:c r="D1324" t="str" s="2">
        <x:f>=""</x:f>
      </x:c>
      <x:c r="E1324" s="0"/>
      <x:c r="F1324" t="str" s="2">
        <x:v>Walk-in</x:v>
      </x:c>
      <x:c r="G1324" t="str" s="2">
        <x:v>Heritage Housing of Athens</x:v>
      </x:c>
      <x:c r="H1324" t="str" s="2">
        <x:v>Nathan Bishop</x:v>
      </x:c>
      <x:c r="I1324" s="0"/>
      <x:c r="J1324" s="0"/>
      <x:c r="K1324" t="n" s="2">
        <x:v>38</x:v>
      </x:c>
      <x:c r="L1324" t="str" s="2">
        <x:v>3.2</x:v>
      </x:c>
      <x:c r="M1324" t="str" s="2">
        <x:v>Active</x:v>
      </x:c>
      <x:c r="N1324" t="str" s="2">
        <x:v>Application</x:v>
      </x:c>
      <x:c r="O1324" s="6">
        <x:v>46356</x:v>
      </x:c>
      <x:c r="P1324" s="6">
        <x:v>46276</x:v>
      </x:c>
      <x:c r="Q1324" s="6">
        <x:v>46278.635033252314</x:v>
      </x:c>
      <x:c r="R1324" s="0"/>
      <x:c r="S1324" s="6">
        <x:v>46276</x:v>
      </x:c>
      <x:c r="T1324" s="0"/>
      <x:c r="U1324" s="0"/>
      <x:c r="V1324" s="0"/>
      <x:c r="W1324" s="0"/>
      <x:c r="X1324" t="str" s="2">
        <x:v>4049441574</x:v>
      </x:c>
      <x:c r="Y1324" t="str" s="2">
        <x:v>bedurde@yahoo.com</x:v>
      </x:c>
      <x:c r="Z1324" s="6">
        <x:v>46297.594398877314</x:v>
      </x:c>
      <x:c r="AA1324" t="str" s="2">
        <x:v>Nathan Bishop</x:v>
      </x:c>
      <x:c r="AB1324" s="6">
        <x:v>46276.813478854165</x:v>
      </x:c>
      <x:c r="AC1324" t="n" s="2">
        <x:v>39913</x:v>
      </x:c>
      <x:c r="AD1324" t="str" s="2">
        <x:v>Doublewide</x:v>
      </x:c>
      <x:c r="AE1324" s="0"/>
      <x:c r="AF1324" s="0"/>
      <x:c r="AG1324" s="0"/>
      <x:c r="AH1324" s="0"/>
      <x:c r="AI1324" s="0"/>
      <x:c r="AJ1324" s="0"/>
      <x:c r="AK1324" s="0"/>
    </x:row>
    <x:row r="1325">
      <x:c r="A1325" t="str" s="2">
        <x:f>=HYPERLINK("https://rsms.futurehomex.com/lead/39914", "Darren Poole")</x:f>
      </x:c>
      <x:c r="B1325" t="n" s="2">
        <x:v>32</x:v>
      </x:c>
      <x:c r="C1325" t="str" s="2">
        <x:v/>
      </x:c>
      <x:c r="D1325" t="str" s="2">
        <x:f>=""</x:f>
      </x:c>
      <x:c r="E1325" s="0"/>
      <x:c r="F1325" t="str" s="2">
        <x:v>Walk-in</x:v>
      </x:c>
      <x:c r="G1325" t="str" s="2">
        <x:v>Heritage Housing of Athens</x:v>
      </x:c>
      <x:c r="H1325" t="str" s="2">
        <x:v>Alexander Bryant</x:v>
      </x:c>
      <x:c r="I1325" s="0"/>
      <x:c r="J1325" s="0"/>
      <x:c r="K1325" t="n" s="2">
        <x:v>40</x:v>
      </x:c>
      <x:c r="L1325" t="str" s="2">
        <x:v>3.3</x:v>
      </x:c>
      <x:c r="M1325" t="str" s="2">
        <x:v>Active</x:v>
      </x:c>
      <x:c r="N1325" t="str" s="2">
        <x:v>Application</x:v>
      </x:c>
      <x:c r="O1325" s="0"/>
      <x:c r="P1325" s="6">
        <x:v>46276</x:v>
      </x:c>
      <x:c r="Q1325" s="6">
        <x:v>46286.805299039355</x:v>
      </x:c>
      <x:c r="R1325" s="0"/>
      <x:c r="S1325" s="0"/>
      <x:c r="T1325" s="0"/>
      <x:c r="U1325" s="0"/>
      <x:c r="V1325" s="0"/>
      <x:c r="W1325" s="0"/>
      <x:c r="X1325" t="str" s="2">
        <x:v>7622349659</x:v>
      </x:c>
      <x:c r="Y1325" t="str" s="2">
        <x:v>asazapoole@gmail.com</x:v>
      </x:c>
      <x:c r="Z1325" s="6">
        <x:v>46278.638188460645</x:v>
      </x:c>
      <x:c r="AA1325" t="str" s="2">
        <x:v>Anastasia Vincent</x:v>
      </x:c>
      <x:c r="AB1325" s="6">
        <x:v>46276.815244363424</x:v>
      </x:c>
      <x:c r="AC1325" t="n" s="2">
        <x:v>39914</x:v>
      </x:c>
      <x:c r="AD1325" t="str" s="2">
        <x:v>Doublewide</x:v>
      </x:c>
      <x:c r="AE1325" t="str" s="2">
        <x:v>21st Mortgage Corporation</x:v>
      </x:c>
      <x:c r="AF1325" s="0"/>
      <x:c r="AG1325" s="7">
        <x:v>0</x:v>
      </x:c>
      <x:c r="AH1325" s="0"/>
      <x:c r="AI1325" t="str" s="2">
        <x:v>541</x:v>
      </x:c>
      <x:c r="AJ1325" s="0"/>
      <x:c r="AK1325" s="0"/>
    </x:row>
    <x:row r="1326">
      <x:c r="A1326" t="str" s="2">
        <x:f>=HYPERLINK("https://rsms.futurehomex.com/lead/39915", "Michael Craft")</x:f>
      </x:c>
      <x:c r="B1326" t="n" s="2">
        <x:v>32</x:v>
      </x:c>
      <x:c r="C1326" t="str" s="2">
        <x:v>0/5</x:v>
      </x:c>
      <x:c r="D1326" t="str" s="2">
        <x:f>=""</x:f>
      </x:c>
      <x:c r="E1326" s="0"/>
      <x:c r="F1326" t="str" s="2">
        <x:v>Youtube</x:v>
      </x:c>
      <x:c r="G1326" t="str" s="2">
        <x:v>Heritage Housing of Oklahoma City</x:v>
      </x:c>
      <x:c r="H1326" t="str" s="2">
        <x:v>Steve Castell</x:v>
      </x:c>
      <x:c r="I1326" s="0"/>
      <x:c r="J1326" t="str" s="2">
        <x:v>Steve Castell</x:v>
      </x:c>
      <x:c r="K1326" t="n" s="2">
        <x:v>5</x:v>
      </x:c>
      <x:c r="L1326" t="str" s="2">
        <x:v>1.1</x:v>
      </x:c>
      <x:c r="M1326" t="str" s="2">
        <x:v>Inactive</x:v>
      </x:c>
      <x:c r="N1326" t="str" s="2">
        <x:v>Deal Created</x:v>
      </x:c>
      <x:c r="O1326" s="0"/>
      <x:c r="P1326" s="6">
        <x:v>46276</x:v>
      </x:c>
      <x:c r="Q1326" s="6">
        <x:v>46276.89456126157</x:v>
      </x:c>
      <x:c r="R1326" s="0"/>
      <x:c r="S1326" s="0"/>
      <x:c r="T1326" s="0"/>
      <x:c r="U1326" s="0"/>
      <x:c r="V1326" s="0"/>
      <x:c r="W1326" s="0"/>
      <x:c r="X1326" t="str" s="2">
        <x:v>4056041615</x:v>
      </x:c>
      <x:c r="Y1326" t="str" s="2">
        <x:v>craftywerks@gmail.com</x:v>
      </x:c>
      <x:c r="Z1326" s="6">
        <x:v>46294.68927403935</x:v>
      </x:c>
      <x:c r="AA1326" t="str" s="2">
        <x:v>Steve Castell</x:v>
      </x:c>
      <x:c r="AB1326" s="6">
        <x:v>46276.87324201389</x:v>
      </x:c>
      <x:c r="AC1326" t="n" s="2">
        <x:v>39915</x:v>
      </x:c>
      <x:c r="AD1326" s="0"/>
      <x:c r="AE1326" s="0"/>
      <x:c r="AF1326" s="0"/>
      <x:c r="AG1326" s="0"/>
      <x:c r="AH1326" s="0"/>
      <x:c r="AI1326" s="0"/>
      <x:c r="AJ1326" s="0"/>
      <x:c r="AK1326" s="0"/>
    </x:row>
    <x:row r="1327">
      <x:c r="A1327" t="str" s="2">
        <x:f>=HYPERLINK("https://rsms.futurehomex.com/lead/39916", "Dana Garner")</x:f>
      </x:c>
      <x:c r="B1327" t="n" s="2">
        <x:v>32</x:v>
      </x:c>
      <x:c r="C1327" t="str" s="2">
        <x:v/>
      </x:c>
      <x:c r="D1327" t="str" s="2">
        <x:f>=""</x:f>
      </x:c>
      <x:c r="E1327" s="0"/>
      <x:c r="F1327" t="str" s="2">
        <x:v>Walk-in</x:v>
      </x:c>
      <x:c r="G1327" t="str" s="2">
        <x:v>Heritage Housing of Augusta</x:v>
      </x:c>
      <x:c r="H1327" t="str" s="2">
        <x:v>Jennifer Johnson</x:v>
      </x:c>
      <x:c r="I1327" t="str" s="2">
        <x:v>Karol Romero</x:v>
      </x:c>
      <x:c r="J1327" t="str" s="2">
        <x:v>Jennifer Johnson</x:v>
      </x:c>
      <x:c r="K1327" t="n" s="2">
        <x:v>9</x:v>
      </x:c>
      <x:c r="L1327" t="str" s="2">
        <x:v>1.2</x:v>
      </x:c>
      <x:c r="M1327" t="str" s="2">
        <x:v>Active</x:v>
      </x:c>
      <x:c r="N1327" t="str" s="2">
        <x:v>Prospect</x:v>
      </x:c>
      <x:c r="O1327" s="0"/>
      <x:c r="P1327" s="6">
        <x:v>46276</x:v>
      </x:c>
      <x:c r="Q1327" s="6">
        <x:v>46276.902733020834</x:v>
      </x:c>
      <x:c r="R1327" t="str" s="2">
        <x:v>Jennifer Johnson</x:v>
      </x:c>
      <x:c r="S1327" s="6">
        <x:v>46276</x:v>
      </x:c>
      <x:c r="T1327" s="0"/>
      <x:c r="U1327" s="0"/>
      <x:c r="V1327" s="0"/>
      <x:c r="W1327" s="0"/>
      <x:c r="X1327" t="str" s="2">
        <x:v>4782329881</x:v>
      </x:c>
      <x:c r="Y1327" t="str" s="2">
        <x:v>garnerd60@yahoo.com</x:v>
      </x:c>
      <x:c r="Z1327" s="6">
        <x:v>46280.729716898146</x:v>
      </x:c>
      <x:c r="AA1327" t="str" s="2">
        <x:v>Alex Jones</x:v>
      </x:c>
      <x:c r="AB1327" s="6">
        <x:v>46276.8908340625</x:v>
      </x:c>
      <x:c r="AC1327" t="n" s="2">
        <x:v>39916</x:v>
      </x:c>
      <x:c r="AD1327" s="0"/>
      <x:c r="AE1327" s="0"/>
      <x:c r="AF1327" s="0"/>
      <x:c r="AG1327" s="7">
        <x:v>0</x:v>
      </x:c>
      <x:c r="AH1327" s="0"/>
      <x:c r="AI1327" s="0"/>
      <x:c r="AJ1327" s="0"/>
      <x:c r="AK1327" s="0"/>
    </x:row>
    <x:row r="1328">
      <x:c r="A1328" t="str" s="2">
        <x:f>=HYPERLINK("https://rsms.futurehomex.com/lead/39918", "Melissa Clemons")</x:f>
      </x:c>
      <x:c r="B1328" t="n" s="2">
        <x:v>32</x:v>
      </x:c>
      <x:c r="C1328" t="str" s="2">
        <x:v>1/1</x:v>
      </x:c>
      <x:c r="D1328" t="str" s="2">
        <x:f>="CASH"</x:f>
      </x:c>
      <x:c r="E1328" s="0"/>
      <x:c r="F1328" t="str" s="2">
        <x:v>Walk-in</x:v>
      </x:c>
      <x:c r="G1328" t="str" s="2">
        <x:v>Heritage Housing of Athens</x:v>
      </x:c>
      <x:c r="H1328" t="str" s="2">
        <x:v>Nathan Bishop</x:v>
      </x:c>
      <x:c r="I1328" s="0"/>
      <x:c r="J1328" s="0"/>
      <x:c r="K1328" t="n" s="2">
        <x:v>38</x:v>
      </x:c>
      <x:c r="L1328" t="str" s="2">
        <x:v>3.2</x:v>
      </x:c>
      <x:c r="M1328" t="str" s="2">
        <x:v>Inactive</x:v>
      </x:c>
      <x:c r="N1328" t="str" s="2">
        <x:v>Application</x:v>
      </x:c>
      <x:c r="O1328" s="0"/>
      <x:c r="P1328" s="6">
        <x:v>46276</x:v>
      </x:c>
      <x:c r="Q1328" s="6">
        <x:v>46278.63631623842</x:v>
      </x:c>
      <x:c r="R1328" s="0"/>
      <x:c r="S1328" s="6">
        <x:v>46276</x:v>
      </x:c>
      <x:c r="T1328" s="0"/>
      <x:c r="U1328" s="0"/>
      <x:c r="V1328" s="0"/>
      <x:c r="W1328" s="0"/>
      <x:c r="X1328" t="str" s="2">
        <x:v>7708733796</x:v>
      </x:c>
      <x:c r="Y1328" t="str" s="2">
        <x:v>mclemons23@yahoo.com</x:v>
      </x:c>
      <x:c r="Z1328" s="6">
        <x:v>46296.86609012732</x:v>
      </x:c>
      <x:c r="AA1328" t="str" s="2">
        <x:v>Dane Lara</x:v>
      </x:c>
      <x:c r="AB1328" s="6">
        <x:v>46276.920980787036</x:v>
      </x:c>
      <x:c r="AC1328" t="n" s="2">
        <x:v>39918</x:v>
      </x:c>
      <x:c r="AD1328" t="str" s="2">
        <x:v>Doublewide</x:v>
      </x:c>
      <x:c r="AE1328" s="0"/>
      <x:c r="AF1328" s="0"/>
      <x:c r="AG1328" s="0"/>
      <x:c r="AH1328" s="0"/>
      <x:c r="AI1328" s="0"/>
      <x:c r="AJ1328" s="0"/>
      <x:c r="AK1328" s="0"/>
    </x:row>
    <x:row r="1329">
      <x:c r="A1329" t="str" s="2">
        <x:f>=HYPERLINK("https://rsms.futurehomex.com/lead/39919", "KaTisha Turner")</x:f>
      </x:c>
      <x:c r="B1329" t="n" s="2">
        <x:v>32</x:v>
      </x:c>
      <x:c r="C1329" t="str" s="2">
        <x:v/>
      </x:c>
      <x:c r="D1329" t="str" s="2">
        <x:f>=""</x:f>
      </x:c>
      <x:c r="E1329" s="0"/>
      <x:c r="F1329" t="str" s="2">
        <x:v>Financing Form</x:v>
      </x:c>
      <x:c r="G1329" t="str" s="2">
        <x:v>Heritage Housing of Oklahoma City</x:v>
      </x:c>
      <x:c r="H1329" t="str" s="2">
        <x:v>Steve Castell</x:v>
      </x:c>
      <x:c r="I1329" s="0"/>
      <x:c r="J1329" t="str" s="2">
        <x:v>Steve Castell</x:v>
      </x:c>
      <x:c r="K1329" t="n" s="2">
        <x:v>5</x:v>
      </x:c>
      <x:c r="L1329" t="str" s="2">
        <x:v>1.1</x:v>
      </x:c>
      <x:c r="M1329" t="str" s="2">
        <x:v>Dead</x:v>
      </x:c>
      <x:c r="N1329" t="str" s="2">
        <x:v>Deal Created</x:v>
      </x:c>
      <x:c r="O1329" s="0"/>
      <x:c r="P1329" s="6">
        <x:v>46276</x:v>
      </x:c>
      <x:c r="Q1329" s="6">
        <x:v>46276.92174826389</x:v>
      </x:c>
      <x:c r="R1329" s="0"/>
      <x:c r="S1329" s="0"/>
      <x:c r="T1329" s="0"/>
      <x:c r="U1329" s="0"/>
      <x:c r="V1329" s="0"/>
      <x:c r="W1329" s="0"/>
      <x:c r="X1329" t="str" s="2">
        <x:v>4059204484</x:v>
      </x:c>
      <x:c r="Y1329" t="str" s="2">
        <x:v>katishaturner2019@gmail.com</x:v>
      </x:c>
      <x:c r="Z1329" s="6">
        <x:v>46276.92279390046</x:v>
      </x:c>
      <x:c r="AA1329" t="str" s="2">
        <x:v>Steve Castell</x:v>
      </x:c>
      <x:c r="AB1329" s="6">
        <x:v>46276.92174980324</x:v>
      </x:c>
      <x:c r="AC1329" t="n" s="2">
        <x:v>39919</x:v>
      </x:c>
      <x:c r="AD1329" s="0"/>
      <x:c r="AE1329" s="0"/>
      <x:c r="AF1329" s="0"/>
      <x:c r="AG1329" s="0"/>
      <x:c r="AH1329" s="0"/>
      <x:c r="AI1329" s="0"/>
      <x:c r="AJ1329" s="0"/>
      <x:c r="AK1329" s="0"/>
    </x:row>
    <x:row r="1330">
      <x:c r="A1330" t="str" s="2">
        <x:f>=HYPERLINK("https://rsms.futurehomex.com/lead/39920", "Trevor McNulty")</x:f>
      </x:c>
      <x:c r="B1330" t="n" s="2">
        <x:v>32</x:v>
      </x:c>
      <x:c r="C1330" t="str" s="2">
        <x:v>1/1</x:v>
      </x:c>
      <x:c r="D1330" t="str" s="2">
        <x:f>=""</x:f>
      </x:c>
      <x:c r="E1330" s="0"/>
      <x:c r="F1330" t="str" s="2">
        <x:v>LandingPage</x:v>
      </x:c>
      <x:c r="G1330" t="str" s="2">
        <x:v>Heritage Housing of Oklahoma City</x:v>
      </x:c>
      <x:c r="H1330" t="str" s="2">
        <x:v>Trey Rixleben</x:v>
      </x:c>
      <x:c r="I1330" s="0"/>
      <x:c r="J1330" t="str" s="2">
        <x:v>Trey Rixleben</x:v>
      </x:c>
      <x:c r="K1330" t="n" s="2">
        <x:v>5</x:v>
      </x:c>
      <x:c r="L1330" t="str" s="2">
        <x:v>1.1</x:v>
      </x:c>
      <x:c r="M1330" t="str" s="2">
        <x:v>Tentative</x:v>
      </x:c>
      <x:c r="N1330" t="str" s="2">
        <x:v>Deal Created</x:v>
      </x:c>
      <x:c r="O1330" s="0"/>
      <x:c r="P1330" s="6">
        <x:v>46276</x:v>
      </x:c>
      <x:c r="Q1330" s="6">
        <x:v>46290.87974444444</x:v>
      </x:c>
      <x:c r="R1330" s="0"/>
      <x:c r="S1330" s="0"/>
      <x:c r="T1330" s="0"/>
      <x:c r="U1330" s="0"/>
      <x:c r="V1330" s="0"/>
      <x:c r="W1330" s="0"/>
      <x:c r="X1330" t="str" s="2">
        <x:v>4057475337</x:v>
      </x:c>
      <x:c r="Y1330" t="str" s="2">
        <x:v>TREVORS.MCNULTY@YAHOO.COM</x:v>
      </x:c>
      <x:c r="Z1330" s="6">
        <x:v>46290.88222820602</x:v>
      </x:c>
      <x:c r="AA1330" t="str" s="2">
        <x:v>Trey Rixleben</x:v>
      </x:c>
      <x:c r="AB1330" s="6">
        <x:v>46276.936214699075</x:v>
      </x:c>
      <x:c r="AC1330" t="n" s="2">
        <x:v>39920</x:v>
      </x:c>
      <x:c r="AD1330" s="0"/>
      <x:c r="AE1330" s="0"/>
      <x:c r="AF1330" s="0"/>
      <x:c r="AG1330" s="0"/>
      <x:c r="AH1330" s="0"/>
      <x:c r="AI1330" s="0"/>
      <x:c r="AJ1330" s="0"/>
      <x:c r="AK1330" s="0"/>
    </x:row>
    <x:row r="1331">
      <x:c r="A1331" t="str" s="2">
        <x:f>=HYPERLINK("https://rsms.futurehomex.com/lead/39921", "Clay Nye")</x:f>
      </x:c>
      <x:c r="B1331" t="n" s="2">
        <x:v>32</x:v>
      </x:c>
      <x:c r="C1331" t="str" s="2">
        <x:v>0/1</x:v>
      </x:c>
      <x:c r="D1331" t="str" s="2">
        <x:f>=""</x:f>
      </x:c>
      <x:c r="E1331" s="0"/>
      <x:c r="F1331" t="str" s="2">
        <x:v>Youtube</x:v>
      </x:c>
      <x:c r="G1331" t="str" s="2">
        <x:v>Heritage Housing of Oklahoma City</x:v>
      </x:c>
      <x:c r="H1331" t="str" s="2">
        <x:v>Trey Rixleben</x:v>
      </x:c>
      <x:c r="I1331" s="0"/>
      <x:c r="J1331" t="str" s="2">
        <x:v>Trey Rixleben</x:v>
      </x:c>
      <x:c r="K1331" t="n" s="2">
        <x:v>5</x:v>
      </x:c>
      <x:c r="L1331" t="str" s="2">
        <x:v>1.1</x:v>
      </x:c>
      <x:c r="M1331" t="str" s="2">
        <x:v>Tentative</x:v>
      </x:c>
      <x:c r="N1331" t="str" s="2">
        <x:v>Deal Created</x:v>
      </x:c>
      <x:c r="O1331" s="0"/>
      <x:c r="P1331" s="6">
        <x:v>46276</x:v>
      </x:c>
      <x:c r="Q1331" s="6">
        <x:v>46276.93828105324</x:v>
      </x:c>
      <x:c r="R1331" s="0"/>
      <x:c r="S1331" s="0"/>
      <x:c r="T1331" s="0"/>
      <x:c r="U1331" s="0"/>
      <x:c r="V1331" s="0"/>
      <x:c r="W1331" s="0"/>
      <x:c r="X1331" t="str" s="2">
        <x:v>5805717845</x:v>
      </x:c>
      <x:c r="Y1331" t="str" s="2">
        <x:v>nyeclay75@gmail.com</x:v>
      </x:c>
      <x:c r="Z1331" s="6">
        <x:v>46277.853864930556</x:v>
      </x:c>
      <x:c r="AA1331" t="str" s="2">
        <x:v>Trey Rixleben</x:v>
      </x:c>
      <x:c r="AB1331" s="6">
        <x:v>46276.93809834491</x:v>
      </x:c>
      <x:c r="AC1331" t="n" s="2">
        <x:v>39921</x:v>
      </x:c>
      <x:c r="AD1331" s="0"/>
      <x:c r="AE1331" s="0"/>
      <x:c r="AF1331" s="0"/>
      <x:c r="AG1331" s="0"/>
      <x:c r="AH1331" s="0"/>
      <x:c r="AI1331" s="0"/>
      <x:c r="AJ1331" s="0"/>
      <x:c r="AK1331" s="0"/>
    </x:row>
    <x:row r="1332">
      <x:c r="A1332" t="str" s="2">
        <x:f>=HYPERLINK("https://rsms.futurehomex.com/lead/39923", "Nohemi Monroy")</x:f>
      </x:c>
      <x:c r="B1332" t="n" s="2">
        <x:v>32</x:v>
      </x:c>
      <x:c r="C1332" t="str" s="2">
        <x:v/>
      </x:c>
      <x:c r="D1332" t="str" s="2">
        <x:f>=""</x:f>
      </x:c>
      <x:c r="E1332" s="0"/>
      <x:c r="F1332" t="str" s="2">
        <x:v>TikTok</x:v>
      </x:c>
      <x:c r="G1332" t="str" s="2">
        <x:v>Heritage Housing Mt Pleasant</x:v>
      </x:c>
      <x:c r="H1332" t="str" s="2">
        <x:v>Yarelis Torres</x:v>
      </x:c>
      <x:c r="I1332" s="0"/>
      <x:c r="J1332" t="str" s="2">
        <x:v>Yarelis Torres</x:v>
      </x:c>
      <x:c r="K1332" t="n" s="2">
        <x:v>5</x:v>
      </x:c>
      <x:c r="L1332" t="str" s="2">
        <x:v>1.1</x:v>
      </x:c>
      <x:c r="M1332" t="str" s="2">
        <x:v>Tentative</x:v>
      </x:c>
      <x:c r="N1332" t="str" s="2">
        <x:v>Deal Created</x:v>
      </x:c>
      <x:c r="O1332" s="0"/>
      <x:c r="P1332" s="6">
        <x:v>46276</x:v>
      </x:c>
      <x:c r="Q1332" s="6">
        <x:v>46276.98062954861</x:v>
      </x:c>
      <x:c r="R1332" s="0"/>
      <x:c r="S1332" s="0"/>
      <x:c r="T1332" s="0"/>
      <x:c r="U1332" s="0"/>
      <x:c r="V1332" s="0"/>
      <x:c r="W1332" s="0"/>
      <x:c r="X1332" t="str" s="2">
        <x:v>9037171581</x:v>
      </x:c>
      <x:c r="Y1332" t="str" s="2">
        <x:v>9037171581</x:v>
      </x:c>
      <x:c r="Z1332" s="6">
        <x:v>46277.962869525465</x:v>
      </x:c>
      <x:c r="AA1332" t="str" s="2">
        <x:v>Yarelis Torres</x:v>
      </x:c>
      <x:c r="AB1332" s="6">
        <x:v>46276.980631516206</x:v>
      </x:c>
      <x:c r="AC1332" t="n" s="2">
        <x:v>39923</x:v>
      </x:c>
      <x:c r="AD1332" s="0"/>
      <x:c r="AE1332" s="0"/>
      <x:c r="AF1332" s="0"/>
      <x:c r="AG1332" s="0"/>
      <x:c r="AH1332" s="0"/>
      <x:c r="AI1332" s="0"/>
      <x:c r="AJ1332" s="0"/>
      <x:c r="AK1332" s="0"/>
    </x:row>
    <x:row r="1333">
      <x:c r="A1333" t="str" s="2">
        <x:f>=HYPERLINK("https://rsms.futurehomex.com/lead/39924", "cristine alcon-walker")</x:f>
      </x:c>
      <x:c r="B1333" t="n" s="2">
        <x:v>32</x:v>
      </x:c>
      <x:c r="C1333" t="str" s="2">
        <x:v>0/2</x:v>
      </x:c>
      <x:c r="D1333" t="str" s="2">
        <x:f>=""</x:f>
      </x:c>
      <x:c r="E1333" s="0"/>
      <x:c r="F1333" t="str" s="2">
        <x:v>Website</x:v>
      </x:c>
      <x:c r="G1333" t="str" s="2">
        <x:v>Heritage Housing of Oklahoma City</x:v>
      </x:c>
      <x:c r="H1333" t="str" s="2">
        <x:v>Trey Rixleben</x:v>
      </x:c>
      <x:c r="I1333" s="0"/>
      <x:c r="J1333" t="str" s="2">
        <x:v>Trey Rixleben</x:v>
      </x:c>
      <x:c r="K1333" t="n" s="2">
        <x:v>5</x:v>
      </x:c>
      <x:c r="L1333" t="str" s="2">
        <x:v>1.1</x:v>
      </x:c>
      <x:c r="M1333" t="str" s="2">
        <x:v>Dead</x:v>
      </x:c>
      <x:c r="N1333" t="str" s="2">
        <x:v>Deal Created</x:v>
      </x:c>
      <x:c r="O1333" s="0"/>
      <x:c r="P1333" s="6">
        <x:v>46276</x:v>
      </x:c>
      <x:c r="Q1333" s="6">
        <x:v>46291.76525853009</x:v>
      </x:c>
      <x:c r="R1333" s="0"/>
      <x:c r="S1333" s="0"/>
      <x:c r="T1333" s="0"/>
      <x:c r="U1333" s="0"/>
      <x:c r="V1333" s="0"/>
      <x:c r="W1333" s="0"/>
      <x:c r="X1333" t="str" s="2">
        <x:v>4058028063</x:v>
      </x:c>
      <x:c r="Y1333" t="str" s="2">
        <x:v>cristine.bridges12@gmail.com</x:v>
      </x:c>
      <x:c r="Z1333" s="6">
        <x:v>46295.681281400466</x:v>
      </x:c>
      <x:c r="AA1333" t="str" s="2">
        <x:v>Richard Bell</x:v>
      </x:c>
      <x:c r="AB1333" s="6">
        <x:v>46276.98646114583</x:v>
      </x:c>
      <x:c r="AC1333" t="n" s="2">
        <x:v>39924</x:v>
      </x:c>
      <x:c r="AD1333" s="0"/>
      <x:c r="AE1333" s="0"/>
      <x:c r="AF1333" s="0"/>
      <x:c r="AG1333" s="0"/>
      <x:c r="AH1333" s="0"/>
      <x:c r="AI1333" s="0"/>
      <x:c r="AJ1333" s="0"/>
      <x:c r="AK1333" s="0"/>
    </x:row>
    <x:row r="1334">
      <x:c r="A1334" t="str" s="2">
        <x:f>=HYPERLINK("https://rsms.futurehomex.com/lead/39925", "Roxanna Gray")</x:f>
      </x:c>
      <x:c r="B1334" t="n" s="2">
        <x:v>32</x:v>
      </x:c>
      <x:c r="C1334" t="str" s="2">
        <x:v>1/1</x:v>
      </x:c>
      <x:c r="D1334" t="str" s="2">
        <x:f>=""</x:f>
      </x:c>
      <x:c r="E1334" s="0"/>
      <x:c r="F1334" t="str" s="2">
        <x:v>Youtube</x:v>
      </x:c>
      <x:c r="G1334" t="str" s="2">
        <x:v>Heritage Housing of Oklahoma City</x:v>
      </x:c>
      <x:c r="H1334" t="str" s="2">
        <x:v>Trey Rixleben</x:v>
      </x:c>
      <x:c r="I1334" s="0"/>
      <x:c r="J1334" t="str" s="2">
        <x:v>Trey Rixleben</x:v>
      </x:c>
      <x:c r="K1334" t="n" s="2">
        <x:v>5</x:v>
      </x:c>
      <x:c r="L1334" t="str" s="2">
        <x:v>1.1</x:v>
      </x:c>
      <x:c r="M1334" t="str" s="2">
        <x:v>Tentative</x:v>
      </x:c>
      <x:c r="N1334" t="str" s="2">
        <x:v>Deal Created</x:v>
      </x:c>
      <x:c r="O1334" s="0"/>
      <x:c r="P1334" s="6">
        <x:v>46276</x:v>
      </x:c>
      <x:c r="Q1334" s="6">
        <x:v>46290.7605397338</x:v>
      </x:c>
      <x:c r="R1334" s="0"/>
      <x:c r="S1334" s="0"/>
      <x:c r="T1334" s="0"/>
      <x:c r="U1334" s="0"/>
      <x:c r="V1334" s="0"/>
      <x:c r="W1334" s="0"/>
      <x:c r="X1334" t="str" s="2">
        <x:v>7753383450</x:v>
      </x:c>
      <x:c r="Y1334" t="str" s="2">
        <x:v>grayrosanna3129@gmail.com</x:v>
      </x:c>
      <x:c r="Z1334" s="6">
        <x:v>46290.76207037037</x:v>
      </x:c>
      <x:c r="AA1334" t="str" s="2">
        <x:v>Trey Rixleben</x:v>
      </x:c>
      <x:c r="AB1334" s="6">
        <x:v>46276.98966940972</x:v>
      </x:c>
      <x:c r="AC1334" t="n" s="2">
        <x:v>39925</x:v>
      </x:c>
      <x:c r="AD1334" s="0"/>
      <x:c r="AE1334" s="0"/>
      <x:c r="AF1334" s="0"/>
      <x:c r="AG1334" s="0"/>
      <x:c r="AH1334" s="0"/>
      <x:c r="AI1334" s="0"/>
      <x:c r="AJ1334" s="0"/>
      <x:c r="AK1334" s="0"/>
    </x:row>
    <x:row r="1335">
      <x:c r="A1335" t="str" s="2">
        <x:f>=HYPERLINK("https://rsms.futurehomex.com/lead/39926", "Darlene LaMar")</x:f>
      </x:c>
      <x:c r="B1335" t="n" s="2">
        <x:v>31</x:v>
      </x:c>
      <x:c r="C1335" t="str" s="2">
        <x:v/>
      </x:c>
      <x:c r="D1335" t="str" s="2">
        <x:f>=""</x:f>
      </x:c>
      <x:c r="E1335" s="0"/>
      <x:c r="F1335" t="str" s="2">
        <x:v>Youtube</x:v>
      </x:c>
      <x:c r="G1335" t="str" s="2">
        <x:v>Heritage Housing of Oklahoma City</x:v>
      </x:c>
      <x:c r="H1335" t="str" s="2">
        <x:v>Steve Castell</x:v>
      </x:c>
      <x:c r="I1335" s="0"/>
      <x:c r="J1335" t="str" s="2">
        <x:v>Steve Castell</x:v>
      </x:c>
      <x:c r="K1335" t="n" s="2">
        <x:v>5</x:v>
      </x:c>
      <x:c r="L1335" t="str" s="2">
        <x:v>1.1</x:v>
      </x:c>
      <x:c r="M1335" t="str" s="2">
        <x:v>Inactive</x:v>
      </x:c>
      <x:c r="N1335" t="str" s="2">
        <x:v>Deal Created</x:v>
      </x:c>
      <x:c r="O1335" s="0"/>
      <x:c r="P1335" s="6">
        <x:v>46277</x:v>
      </x:c>
      <x:c r="Q1335" s="6">
        <x:v>46277.06897630787</x:v>
      </x:c>
      <x:c r="R1335" s="0"/>
      <x:c r="S1335" s="0"/>
      <x:c r="T1335" s="0"/>
      <x:c r="U1335" s="0"/>
      <x:c r="V1335" s="0"/>
      <x:c r="W1335" s="0"/>
      <x:c r="X1335" t="str" s="2">
        <x:v>4793538821</x:v>
      </x:c>
      <x:c r="Y1335" t="str" s="2">
        <x:v>arts_lamar_1999@yahoo.com</x:v>
      </x:c>
      <x:c r="Z1335" s="6">
        <x:v>46277.07482144676</x:v>
      </x:c>
      <x:c r="AA1335" t="str" s="2">
        <x:v>Steve Castell</x:v>
      </x:c>
      <x:c r="AB1335" s="6">
        <x:v>46277.06897719907</x:v>
      </x:c>
      <x:c r="AC1335" t="n" s="2">
        <x:v>39926</x:v>
      </x:c>
      <x:c r="AD1335" s="0"/>
      <x:c r="AE1335" s="0"/>
      <x:c r="AF1335" s="0"/>
      <x:c r="AG1335" s="0"/>
      <x:c r="AH1335" s="0"/>
      <x:c r="AI1335" s="0"/>
      <x:c r="AJ1335" s="0"/>
      <x:c r="AK1335" s="0"/>
    </x:row>
    <x:row r="1336">
      <x:c r="A1336" t="str" s="2">
        <x:f>=HYPERLINK("https://rsms.futurehomex.com/lead/39927", "Sarah Grifiin")</x:f>
      </x:c>
      <x:c r="B1336" t="n" s="2">
        <x:v>31</x:v>
      </x:c>
      <x:c r="C1336" t="str" s="2">
        <x:v>1/1</x:v>
      </x:c>
      <x:c r="D1336" t="str" s="2">
        <x:f>=""</x:f>
      </x:c>
      <x:c r="E1336" s="0"/>
      <x:c r="F1336" t="str" s="2">
        <x:v>Landing_BPM</x:v>
      </x:c>
      <x:c r="G1336" t="str" s="2">
        <x:v>Heritage Housing of Oklahoma City</x:v>
      </x:c>
      <x:c r="H1336" t="str" s="2">
        <x:v>Trey Rixleben</x:v>
      </x:c>
      <x:c r="I1336" s="0"/>
      <x:c r="J1336" s="0"/>
      <x:c r="K1336" t="n" s="2">
        <x:v>5</x:v>
      </x:c>
      <x:c r="L1336" t="str" s="2">
        <x:v>1.1</x:v>
      </x:c>
      <x:c r="M1336" t="str" s="2">
        <x:v>Tentative</x:v>
      </x:c>
      <x:c r="N1336" t="str" s="2">
        <x:v>Deal Created</x:v>
      </x:c>
      <x:c r="O1336" s="0"/>
      <x:c r="P1336" s="6">
        <x:v>46277</x:v>
      </x:c>
      <x:c r="Q1336" s="6">
        <x:v>46304.74483217593</x:v>
      </x:c>
      <x:c r="R1336" s="0"/>
      <x:c r="S1336" s="0"/>
      <x:c r="T1336" s="0"/>
      <x:c r="U1336" s="0"/>
      <x:c r="V1336" s="0"/>
      <x:c r="W1336" s="0"/>
      <x:c r="X1336" t="str" s="2">
        <x:v>4055967667</x:v>
      </x:c>
      <x:c r="Y1336" t="str" s="2">
        <x:v>sarahgrifiin@gmail.com</x:v>
      </x:c>
      <x:c r="Z1336" s="6">
        <x:v>46296.89082855324</x:v>
      </x:c>
      <x:c r="AA1336" t="str" s="2">
        <x:v>Trey Rixleben</x:v>
      </x:c>
      <x:c r="AB1336" s="6">
        <x:v>46277.56606273148</x:v>
      </x:c>
      <x:c r="AC1336" t="n" s="2">
        <x:v>39927</x:v>
      </x:c>
      <x:c r="AD1336" s="0"/>
      <x:c r="AE1336" s="0"/>
      <x:c r="AF1336" s="0"/>
      <x:c r="AG1336" s="0"/>
      <x:c r="AH1336" s="0"/>
      <x:c r="AI1336" s="0"/>
      <x:c r="AJ1336" s="0"/>
      <x:c r="AK1336" s="0"/>
    </x:row>
    <x:row r="1337">
      <x:c r="A1337" t="str" s="2">
        <x:f>=HYPERLINK("https://rsms.futurehomex.com/lead/39928", "Timothy jones")</x:f>
      </x:c>
      <x:c r="B1337" t="n" s="2">
        <x:v>31</x:v>
      </x:c>
      <x:c r="C1337" t="str" s="2">
        <x:v>1/1</x:v>
      </x:c>
      <x:c r="D1337" t="str" s="2">
        <x:f>=""</x:f>
      </x:c>
      <x:c r="E1337" s="0"/>
      <x:c r="F1337" t="str" s="2">
        <x:v>Landing_BPM</x:v>
      </x:c>
      <x:c r="G1337" t="str" s="2">
        <x:v>Heritage Housing of Oklahoma City</x:v>
      </x:c>
      <x:c r="H1337" t="str" s="2">
        <x:v>Trey Rixleben</x:v>
      </x:c>
      <x:c r="I1337" s="0"/>
      <x:c r="J1337" t="str" s="2">
        <x:v>Trey Rixleben</x:v>
      </x:c>
      <x:c r="K1337" t="n" s="2">
        <x:v>5</x:v>
      </x:c>
      <x:c r="L1337" t="str" s="2">
        <x:v>1.1</x:v>
      </x:c>
      <x:c r="M1337" t="str" s="2">
        <x:v>Tentative</x:v>
      </x:c>
      <x:c r="N1337" t="str" s="2">
        <x:v>Deal Created</x:v>
      </x:c>
      <x:c r="O1337" s="0"/>
      <x:c r="P1337" s="6">
        <x:v>46277</x:v>
      </x:c>
      <x:c r="Q1337" s="6">
        <x:v>46303.9783278125</x:v>
      </x:c>
      <x:c r="R1337" s="0"/>
      <x:c r="S1337" s="0"/>
      <x:c r="T1337" s="0"/>
      <x:c r="U1337" s="0"/>
      <x:c r="V1337" s="0"/>
      <x:c r="W1337" s="0"/>
      <x:c r="X1337" t="str" s="2">
        <x:v>8036160298</x:v>
      </x:c>
      <x:c r="Y1337" t="str" s="2">
        <x:v>t47012651@gmail.com</x:v>
      </x:c>
      <x:c r="Z1337" s="6">
        <x:v>46303.979048761576</x:v>
      </x:c>
      <x:c r="AA1337" t="str" s="2">
        <x:v>Trey Rixleben</x:v>
      </x:c>
      <x:c r="AB1337" s="6">
        <x:v>46277.56861327546</x:v>
      </x:c>
      <x:c r="AC1337" t="n" s="2">
        <x:v>39928</x:v>
      </x:c>
      <x:c r="AD1337" s="0"/>
      <x:c r="AE1337" s="0"/>
      <x:c r="AF1337" s="0"/>
      <x:c r="AG1337" s="0"/>
      <x:c r="AH1337" s="0"/>
      <x:c r="AI1337" s="0"/>
      <x:c r="AJ1337" s="0"/>
      <x:c r="AK1337" s="0"/>
    </x:row>
    <x:row r="1338">
      <x:c r="A1338" t="str" s="2">
        <x:f>=HYPERLINK("https://rsms.futurehomex.com/lead/39929", "Cristian Vasquez")</x:f>
      </x:c>
      <x:c r="B1338" t="n" s="2">
        <x:v>31</x:v>
      </x:c>
      <x:c r="C1338" t="str" s="2">
        <x:v>1/5</x:v>
      </x:c>
      <x:c r="D1338" t="str" s="2">
        <x:f>=""</x:f>
      </x:c>
      <x:c r="E1338" t="str" s="2">
        <x:v>FLORICELDA FUENTES</x:v>
      </x:c>
      <x:c r="F1338" t="str" s="2">
        <x:v>Walk-in</x:v>
      </x:c>
      <x:c r="G1338" t="str" s="2">
        <x:v>Heritage Housing of Asheboro</x:v>
      </x:c>
      <x:c r="H1338" t="str" s="2">
        <x:v>Maria Lopez</x:v>
      </x:c>
      <x:c r="I1338" s="0"/>
      <x:c r="J1338" t="str" s="2">
        <x:v>Maria Lopez</x:v>
      </x:c>
      <x:c r="K1338" t="n" s="2">
        <x:v>38</x:v>
      </x:c>
      <x:c r="L1338" t="str" s="2">
        <x:v>3.2</x:v>
      </x:c>
      <x:c r="M1338" t="str" s="2">
        <x:v>Tentative</x:v>
      </x:c>
      <x:c r="N1338" t="str" s="2">
        <x:v>Application</x:v>
      </x:c>
      <x:c r="O1338" s="0"/>
      <x:c r="P1338" s="6">
        <x:v>46277</x:v>
      </x:c>
      <x:c r="Q1338" s="6">
        <x:v>46307.65924806713</x:v>
      </x:c>
      <x:c r="R1338" s="0"/>
      <x:c r="S1338" s="0"/>
      <x:c r="T1338" s="0"/>
      <x:c r="U1338" s="0"/>
      <x:c r="V1338" s="0"/>
      <x:c r="W1338" s="0"/>
      <x:c r="X1338" t="str" s="2">
        <x:v>9197014918</x:v>
      </x:c>
      <x:c r="Y1338" t="str" s="2">
        <x:v>Cv204374@gmail.com</x:v>
      </x:c>
      <x:c r="Z1338" s="6">
        <x:v>46308.67498283565</x:v>
      </x:c>
      <x:c r="AA1338" t="str" s="2">
        <x:v>Meliza Banda</x:v>
      </x:c>
      <x:c r="AB1338" s="6">
        <x:v>46277.58214077546</x:v>
      </x:c>
      <x:c r="AC1338" t="n" s="2">
        <x:v>39929</x:v>
      </x:c>
      <x:c r="AD1338" s="0"/>
      <x:c r="AE1338" s="0"/>
      <x:c r="AF1338" s="0"/>
      <x:c r="AG1338" s="7">
        <x:v>12300</x:v>
      </x:c>
      <x:c r="AH1338" s="0"/>
      <x:c r="AI1338" t="str" s="2">
        <x:v>771</x:v>
      </x:c>
      <x:c r="AJ1338" s="0"/>
      <x:c r="AK1338" s="0"/>
    </x:row>
    <x:row r="1339">
      <x:c r="A1339" t="str" s="2">
        <x:f>=HYPERLINK("https://rsms.futurehomex.com/lead/39931", "Cheline Harris")</x:f>
      </x:c>
      <x:c r="B1339" t="n" s="2">
        <x:v>31</x:v>
      </x:c>
      <x:c r="C1339" t="str" s="2">
        <x:v>0/1</x:v>
      </x:c>
      <x:c r="D1339" t="str" s="2">
        <x:f>=""</x:f>
      </x:c>
      <x:c r="E1339" s="0"/>
      <x:c r="F1339" t="str" s="2">
        <x:v>Youtube</x:v>
      </x:c>
      <x:c r="G1339" t="str" s="2">
        <x:v>Heritage Housing of Oklahoma City</x:v>
      </x:c>
      <x:c r="H1339" t="str" s="2">
        <x:v>Steve Castell</x:v>
      </x:c>
      <x:c r="I1339" s="0"/>
      <x:c r="J1339" t="str" s="2">
        <x:v>Steve Castell</x:v>
      </x:c>
      <x:c r="K1339" t="n" s="2">
        <x:v>5</x:v>
      </x:c>
      <x:c r="L1339" t="str" s="2">
        <x:v>1.1</x:v>
      </x:c>
      <x:c r="M1339" t="str" s="2">
        <x:v>Inactive</x:v>
      </x:c>
      <x:c r="N1339" t="str" s="2">
        <x:v>Deal Created</x:v>
      </x:c>
      <x:c r="O1339" s="0"/>
      <x:c r="P1339" s="6">
        <x:v>46277</x:v>
      </x:c>
      <x:c r="Q1339" s="6">
        <x:v>46277.58553449074</x:v>
      </x:c>
      <x:c r="R1339" s="0"/>
      <x:c r="S1339" s="0"/>
      <x:c r="T1339" s="0"/>
      <x:c r="U1339" s="0"/>
      <x:c r="V1339" s="0"/>
      <x:c r="W1339" s="0"/>
      <x:c r="X1339" t="str" s="2">
        <x:v>5804575537</x:v>
      </x:c>
      <x:c r="Y1339" t="str" s="2">
        <x:v>cheline292@gmail.com</x:v>
      </x:c>
      <x:c r="Z1339" s="6">
        <x:v>46280.995489583336</x:v>
      </x:c>
      <x:c r="AA1339" t="str" s="2">
        <x:v>Steve Castell</x:v>
      </x:c>
      <x:c r="AB1339" s="6">
        <x:v>46277.58553503472</x:v>
      </x:c>
      <x:c r="AC1339" t="n" s="2">
        <x:v>39931</x:v>
      </x:c>
      <x:c r="AD1339" s="0"/>
      <x:c r="AE1339" s="0"/>
      <x:c r="AF1339" s="0"/>
      <x:c r="AG1339" s="0"/>
      <x:c r="AH1339" s="0"/>
      <x:c r="AI1339" s="0"/>
      <x:c r="AJ1339" s="0"/>
      <x:c r="AK1339" s="0"/>
    </x:row>
    <x:row r="1340">
      <x:c r="A1340" t="str" s="2">
        <x:f>=HYPERLINK("https://rsms.futurehomex.com/lead/39933", "Luis Vasquez")</x:f>
      </x:c>
      <x:c r="B1340" t="n" s="2">
        <x:v>31</x:v>
      </x:c>
      <x:c r="C1340" t="str" s="2">
        <x:v>1/3</x:v>
      </x:c>
      <x:c r="D1340" t="str" s="2">
        <x:f>=""</x:f>
      </x:c>
      <x:c r="E1340" t="str" s="2">
        <x:v>FLORICELDA FUENTES</x:v>
      </x:c>
      <x:c r="F1340" t="str" s="2">
        <x:v>Facebook Messenger</x:v>
      </x:c>
      <x:c r="G1340" t="str" s="2">
        <x:v>Heritage Housing of Asheboro</x:v>
      </x:c>
      <x:c r="H1340" t="str" s="2">
        <x:v>Maria Lopez</x:v>
      </x:c>
      <x:c r="I1340" t="str" s="2">
        <x:v>Karol Romero</x:v>
      </x:c>
      <x:c r="J1340" t="str" s="2">
        <x:v>Maria Lopez</x:v>
      </x:c>
      <x:c r="K1340" t="n" s="2">
        <x:v>38</x:v>
      </x:c>
      <x:c r="L1340" t="str" s="2">
        <x:v>3.2</x:v>
      </x:c>
      <x:c r="M1340" t="str" s="2">
        <x:v>Dead</x:v>
      </x:c>
      <x:c r="N1340" t="str" s="2">
        <x:v>Application</x:v>
      </x:c>
      <x:c r="O1340" s="0"/>
      <x:c r="P1340" s="6">
        <x:v>46277</x:v>
      </x:c>
      <x:c r="Q1340" s="6">
        <x:v>46287.85886134259</x:v>
      </x:c>
      <x:c r="R1340" s="0"/>
      <x:c r="S1340" s="6">
        <x:v>46277</x:v>
      </x:c>
      <x:c r="T1340" s="0"/>
      <x:c r="U1340" s="0"/>
      <x:c r="V1340" s="0"/>
      <x:c r="W1340" s="0"/>
      <x:c r="X1340" t="str" s="2">
        <x:v>9196382751</x:v>
      </x:c>
      <x:c r="Y1340" t="str" s="2">
        <x:v>estuardofuentes2000@gmail.com</x:v>
      </x:c>
      <x:c r="Z1340" s="6">
        <x:v>46289.80113179398</x:v>
      </x:c>
      <x:c r="AA1340" t="str" s="2">
        <x:v>Sarahi Vazquez</x:v>
      </x:c>
      <x:c r="AB1340" s="6">
        <x:v>46277.609536655094</x:v>
      </x:c>
      <x:c r="AC1340" t="n" s="2">
        <x:v>39933</x:v>
      </x:c>
      <x:c r="AD1340" t="str" s="2">
        <x:v>Singlewide</x:v>
      </x:c>
      <x:c r="AE1340" s="0"/>
      <x:c r="AF1340" s="0"/>
      <x:c r="AG1340" s="7">
        <x:v>12200</x:v>
      </x:c>
      <x:c r="AH1340" s="0"/>
      <x:c r="AI1340" t="str" s="2">
        <x:v>524</x:v>
      </x:c>
      <x:c r="AJ1340" s="0"/>
      <x:c r="AK1340" s="0"/>
    </x:row>
    <x:row r="1341">
      <x:c r="A1341" t="str" s="2">
        <x:f>=HYPERLINK("https://rsms.futurehomex.com/lead/39935", "Cy Baker")</x:f>
      </x:c>
      <x:c r="B1341" t="n" s="2">
        <x:v>31</x:v>
      </x:c>
      <x:c r="C1341" t="str" s="2">
        <x:v/>
      </x:c>
      <x:c r="D1341" t="str" s="2">
        <x:f>="CASH"</x:f>
      </x:c>
      <x:c r="E1341" s="0"/>
      <x:c r="F1341" t="str" s="2">
        <x:v>Google Ads</x:v>
      </x:c>
      <x:c r="G1341" t="str" s="2">
        <x:v>Heritage Housing of Athens</x:v>
      </x:c>
      <x:c r="H1341" t="str" s="2">
        <x:v>Ethan Fossett</x:v>
      </x:c>
      <x:c r="I1341" s="0"/>
      <x:c r="J1341" s="0"/>
      <x:c r="K1341" t="n" s="2">
        <x:v>38</x:v>
      </x:c>
      <x:c r="L1341" t="str" s="2">
        <x:v>3.2</x:v>
      </x:c>
      <x:c r="M1341" t="str" s="2">
        <x:v>Inactive</x:v>
      </x:c>
      <x:c r="N1341" t="str" s="2">
        <x:v>Application</x:v>
      </x:c>
      <x:c r="O1341" s="0"/>
      <x:c r="P1341" s="6">
        <x:v>46277</x:v>
      </x:c>
      <x:c r="Q1341" s="6">
        <x:v>46290.78708607639</x:v>
      </x:c>
      <x:c r="R1341" s="0"/>
      <x:c r="S1341" s="6">
        <x:v>46277</x:v>
      </x:c>
      <x:c r="T1341" s="0"/>
      <x:c r="U1341" s="0"/>
      <x:c r="V1341" s="0"/>
      <x:c r="W1341" s="0"/>
      <x:c r="X1341" t="str" s="2">
        <x:v>6782498304</x:v>
      </x:c>
      <x:c r="Y1341" t="str" s="2">
        <x:v>cymercer@msn.com</x:v>
      </x:c>
      <x:c r="Z1341" s="6">
        <x:v>46280.71109201389</x:v>
      </x:c>
      <x:c r="AA1341" t="str" s="2">
        <x:v>Dane Lara</x:v>
      </x:c>
      <x:c r="AB1341" s="6">
        <x:v>46277.64070729167</x:v>
      </x:c>
      <x:c r="AC1341" t="n" s="2">
        <x:v>39935</x:v>
      </x:c>
      <x:c r="AD1341" t="str" s="2">
        <x:v>Singlewide</x:v>
      </x:c>
      <x:c r="AE1341" s="0"/>
      <x:c r="AF1341" s="0"/>
      <x:c r="AG1341" s="0"/>
      <x:c r="AH1341" s="0"/>
      <x:c r="AI1341" s="0"/>
      <x:c r="AJ1341" s="0"/>
      <x:c r="AK1341" s="0"/>
    </x:row>
    <x:row r="1342">
      <x:c r="A1342" t="str" s="2">
        <x:f>=HYPERLINK("https://rsms.futurehomex.com/lead/39936", "Angie Kellogg")</x:f>
      </x:c>
      <x:c r="B1342" t="n" s="2">
        <x:v>31</x:v>
      </x:c>
      <x:c r="C1342" t="str" s="2">
        <x:v>1/1</x:v>
      </x:c>
      <x:c r="D1342" t="str" s="2">
        <x:f>=""</x:f>
      </x:c>
      <x:c r="E1342" s="0"/>
      <x:c r="F1342" t="str" s="2">
        <x:v>Facebook Messenger</x:v>
      </x:c>
      <x:c r="G1342" t="str" s="2">
        <x:v>Heritage Housing of Oklahoma City</x:v>
      </x:c>
      <x:c r="H1342" t="str" s="2">
        <x:v>Eva Misheva</x:v>
      </x:c>
      <x:c r="I1342" s="0"/>
      <x:c r="J1342" s="0"/>
      <x:c r="K1342" t="n" s="2">
        <x:v>5</x:v>
      </x:c>
      <x:c r="L1342" t="str" s="2">
        <x:v>1.1</x:v>
      </x:c>
      <x:c r="M1342" t="str" s="2">
        <x:v>Tentative</x:v>
      </x:c>
      <x:c r="N1342" t="str" s="2">
        <x:v>Prospect</x:v>
      </x:c>
      <x:c r="O1342" s="0"/>
      <x:c r="P1342" s="6">
        <x:v>46277</x:v>
      </x:c>
      <x:c r="Q1342" s="6">
        <x:v>46277.64156832176</x:v>
      </x:c>
      <x:c r="R1342" s="0"/>
      <x:c r="S1342" s="0"/>
      <x:c r="T1342" s="0"/>
      <x:c r="U1342" s="0"/>
      <x:c r="V1342" s="0"/>
      <x:c r="W1342" s="0"/>
      <x:c r="X1342" t="str" s="2">
        <x:v>4054054058</x:v>
      </x:c>
      <x:c r="Y1342" t="str" s="2">
        <x:v>SANDILEWALLEN22@GMAIL.COM</x:v>
      </x:c>
      <x:c r="Z1342" s="6">
        <x:v>46285.828051122684</x:v>
      </x:c>
      <x:c r="AA1342" t="str" s="2">
        <x:v>Eva Misheva</x:v>
      </x:c>
      <x:c r="AB1342" s="6">
        <x:v>46277.64156975695</x:v>
      </x:c>
      <x:c r="AC1342" t="n" s="2">
        <x:v>39936</x:v>
      </x:c>
      <x:c r="AD1342" s="0"/>
      <x:c r="AE1342" s="0"/>
      <x:c r="AF1342" s="0"/>
      <x:c r="AG1342" s="0"/>
      <x:c r="AH1342" s="0"/>
      <x:c r="AI1342" s="0"/>
      <x:c r="AJ1342" s="0"/>
      <x:c r="AK1342" s="0"/>
    </x:row>
    <x:row r="1343">
      <x:c r="A1343" t="str" s="2">
        <x:f>=HYPERLINK("https://rsms.futurehomex.com/lead/39937", "Laderron Cooper")</x:f>
      </x:c>
      <x:c r="B1343" t="n" s="2">
        <x:v>31</x:v>
      </x:c>
      <x:c r="C1343" t="str" s="2">
        <x:v/>
      </x:c>
      <x:c r="D1343" t="str" s="2">
        <x:f>=""</x:f>
      </x:c>
      <x:c r="E1343" s="0"/>
      <x:c r="F1343" t="str" s="2">
        <x:v>Walk-in</x:v>
      </x:c>
      <x:c r="G1343" t="str" s="2">
        <x:v>Heritage Housing of Minden</x:v>
      </x:c>
      <x:c r="H1343" t="str" s="2">
        <x:v>Patrick Schuchart</x:v>
      </x:c>
      <x:c r="I1343" s="0"/>
      <x:c r="J1343" s="0"/>
      <x:c r="K1343" t="n" s="2">
        <x:v>5</x:v>
      </x:c>
      <x:c r="L1343" t="str" s="2">
        <x:v>1.1</x:v>
      </x:c>
      <x:c r="M1343" t="str" s="2">
        <x:v>Dead</x:v>
      </x:c>
      <x:c r="N1343" t="str" s="2">
        <x:v>Prospect</x:v>
      </x:c>
      <x:c r="O1343" s="0"/>
      <x:c r="P1343" s="6">
        <x:v>46277</x:v>
      </x:c>
      <x:c r="Q1343" s="6">
        <x:v>46277.66075292824</x:v>
      </x:c>
      <x:c r="R1343" s="0"/>
      <x:c r="S1343" s="0"/>
      <x:c r="T1343" s="0"/>
      <x:c r="U1343" s="0"/>
      <x:c r="V1343" s="0"/>
      <x:c r="W1343" s="0"/>
      <x:c r="X1343" t="str" s="2">
        <x:v>3187160788</x:v>
      </x:c>
      <x:c r="Y1343" t="str" s="2">
        <x:v>laderranc@yahoo.com</x:v>
      </x:c>
      <x:c r="Z1343" s="0"/>
      <x:c r="AA1343" s="0"/>
      <x:c r="AB1343" s="6">
        <x:v>46277.66075350694</x:v>
      </x:c>
      <x:c r="AC1343" t="n" s="2">
        <x:v>39937</x:v>
      </x:c>
      <x:c r="AD1343" s="0"/>
      <x:c r="AE1343" s="0"/>
      <x:c r="AF1343" s="0"/>
      <x:c r="AG1343" s="0"/>
      <x:c r="AH1343" s="0"/>
      <x:c r="AI1343" s="0"/>
      <x:c r="AJ1343" s="0"/>
      <x:c r="AK1343" s="0"/>
    </x:row>
    <x:row r="1344">
      <x:c r="A1344" t="str" s="2">
        <x:f>=HYPERLINK("https://rsms.futurehomex.com/lead/39938", "Laderron Cooper")</x:f>
      </x:c>
      <x:c r="B1344" t="n" s="2">
        <x:v>31</x:v>
      </x:c>
      <x:c r="C1344" t="str" s="2">
        <x:v>0/1</x:v>
      </x:c>
      <x:c r="D1344" t="str" s="2">
        <x:f>=""</x:f>
      </x:c>
      <x:c r="E1344" s="0"/>
      <x:c r="F1344" t="str" s="2">
        <x:v>Walk-in</x:v>
      </x:c>
      <x:c r="G1344" t="str" s="2">
        <x:v>Heritage Housing of Minden</x:v>
      </x:c>
      <x:c r="H1344" t="str" s="2">
        <x:v>Patrick Schuchart</x:v>
      </x:c>
      <x:c r="I1344" t="str" s="2">
        <x:v>Karol Romero</x:v>
      </x:c>
      <x:c r="J1344" s="0"/>
      <x:c r="K1344" t="n" s="2">
        <x:v>5</x:v>
      </x:c>
      <x:c r="L1344" t="str" s="2">
        <x:v>1.1</x:v>
      </x:c>
      <x:c r="M1344" t="str" s="2">
        <x:v>Tentative</x:v>
      </x:c>
      <x:c r="N1344" t="str" s="2">
        <x:v>Prospect</x:v>
      </x:c>
      <x:c r="O1344" s="0"/>
      <x:c r="P1344" s="6">
        <x:v>46277</x:v>
      </x:c>
      <x:c r="Q1344" s="6">
        <x:v>46277.665490625</x:v>
      </x:c>
      <x:c r="R1344" t="str" s="2">
        <x:v>Patrick Schuchart</x:v>
      </x:c>
      <x:c r="S1344" s="0"/>
      <x:c r="T1344" s="0"/>
      <x:c r="U1344" s="0"/>
      <x:c r="V1344" s="0"/>
      <x:c r="W1344" s="0"/>
      <x:c r="X1344" t="str" s="2">
        <x:v>3187160788</x:v>
      </x:c>
      <x:c r="Y1344" t="str" s="2">
        <x:v>laderranc@yahoo.com</x:v>
      </x:c>
      <x:c r="Z1344" s="6">
        <x:v>46295.829753935184</x:v>
      </x:c>
      <x:c r="AA1344" t="str" s="2">
        <x:v>Kyla Brown</x:v>
      </x:c>
      <x:c r="AB1344" s="6">
        <x:v>46277.66549158565</x:v>
      </x:c>
      <x:c r="AC1344" t="n" s="2">
        <x:v>39938</x:v>
      </x:c>
      <x:c r="AD1344" s="0"/>
      <x:c r="AE1344" s="0"/>
      <x:c r="AF1344" s="0"/>
      <x:c r="AG1344" s="0"/>
      <x:c r="AH1344" s="0"/>
      <x:c r="AI1344" s="0"/>
      <x:c r="AJ1344" s="0"/>
      <x:c r="AK1344" s="0"/>
    </x:row>
    <x:row r="1345">
      <x:c r="A1345" t="str" s="2">
        <x:f>=HYPERLINK("https://rsms.futurehomex.com/lead/39939", "Prescott Hayden")</x:f>
      </x:c>
      <x:c r="B1345" t="n" s="2">
        <x:v>31</x:v>
      </x:c>
      <x:c r="C1345" t="str" s="2">
        <x:v/>
      </x:c>
      <x:c r="D1345" t="str" s="2">
        <x:f>=""</x:f>
      </x:c>
      <x:c r="E1345" s="0"/>
      <x:c r="F1345" t="str" s="2">
        <x:v>Walk-in</x:v>
      </x:c>
      <x:c r="G1345" t="str" s="2">
        <x:v>Heritage Housing of Athens</x:v>
      </x:c>
      <x:c r="H1345" t="str" s="2">
        <x:v>Nathan Bishop</x:v>
      </x:c>
      <x:c r="I1345" s="0"/>
      <x:c r="J1345" t="str" s="2">
        <x:v>Nathan Bishop</x:v>
      </x:c>
      <x:c r="K1345" t="n" s="2">
        <x:v>5</x:v>
      </x:c>
      <x:c r="L1345" t="str" s="2">
        <x:v>1.1</x:v>
      </x:c>
      <x:c r="M1345" t="str" s="2">
        <x:v>Tentative</x:v>
      </x:c>
      <x:c r="N1345" t="str" s="2">
        <x:v>Deal Created</x:v>
      </x:c>
      <x:c r="O1345" s="0"/>
      <x:c r="P1345" s="6">
        <x:v>46277</x:v>
      </x:c>
      <x:c r="Q1345" s="6">
        <x:v>46277.67337739583</x:v>
      </x:c>
      <x:c r="R1345" s="0"/>
      <x:c r="S1345" s="6">
        <x:v>46277</x:v>
      </x:c>
      <x:c r="T1345" s="0"/>
      <x:c r="U1345" s="0"/>
      <x:c r="V1345" s="0"/>
      <x:c r="W1345" s="0"/>
      <x:c r="X1345" t="str" s="2">
        <x:v>4044686407</x:v>
      </x:c>
      <x:c r="Y1345" t="str" s="2">
        <x:v>4044686407</x:v>
      </x:c>
      <x:c r="Z1345" s="0"/>
      <x:c r="AA1345" s="0"/>
      <x:c r="AB1345" s="6">
        <x:v>46277.673379085645</x:v>
      </x:c>
      <x:c r="AC1345" t="n" s="2">
        <x:v>39939</x:v>
      </x:c>
      <x:c r="AD1345" s="0"/>
      <x:c r="AE1345" s="0"/>
      <x:c r="AF1345" s="0"/>
      <x:c r="AG1345" s="0"/>
      <x:c r="AH1345" s="0"/>
      <x:c r="AI1345" s="0"/>
      <x:c r="AJ1345" s="0"/>
      <x:c r="AK1345" s="0"/>
    </x:row>
    <x:row r="1346">
      <x:c r="A1346" t="str" s="2">
        <x:f>=HYPERLINK("https://rsms.futurehomex.com/lead/39940", "Ricardo Sanchez")</x:f>
      </x:c>
      <x:c r="B1346" t="n" s="2">
        <x:v>31</x:v>
      </x:c>
      <x:c r="C1346" t="str" s="2">
        <x:v/>
      </x:c>
      <x:c r="D1346" t="str" s="2">
        <x:f>=""</x:f>
      </x:c>
      <x:c r="E1346" s="0"/>
      <x:c r="F1346" t="str" s="2">
        <x:v>Meta Ads - Traffic</x:v>
      </x:c>
      <x:c r="G1346" t="str" s="2">
        <x:v>Heritage Housing of Athens</x:v>
      </x:c>
      <x:c r="H1346" t="str" s="2">
        <x:v>Nathan Bishop</x:v>
      </x:c>
      <x:c r="I1346" s="0"/>
      <x:c r="J1346" s="0"/>
      <x:c r="K1346" t="n" s="2">
        <x:v>34</x:v>
      </x:c>
      <x:c r="L1346" t="str" s="2">
        <x:v>2.4</x:v>
      </x:c>
      <x:c r="M1346" t="str" s="2">
        <x:v>Tentative</x:v>
      </x:c>
      <x:c r="N1346" t="str" s="2">
        <x:v>Deal approval</x:v>
      </x:c>
      <x:c r="O1346" s="0"/>
      <x:c r="P1346" s="6">
        <x:v>46277</x:v>
      </x:c>
      <x:c r="Q1346" s="6">
        <x:v>46294.86140234954</x:v>
      </x:c>
      <x:c r="R1346" s="0"/>
      <x:c r="S1346" s="6">
        <x:v>46277</x:v>
      </x:c>
      <x:c r="T1346" s="0"/>
      <x:c r="U1346" s="0"/>
      <x:c r="V1346" s="0"/>
      <x:c r="W1346" s="0"/>
      <x:c r="X1346" t="str" s="2">
        <x:v>7067689345</x:v>
      </x:c>
      <x:c r="Y1346" t="str" s="2">
        <x:v>Richanchez@gmail.com</x:v>
      </x:c>
      <x:c r="Z1346" s="6">
        <x:v>46279.82494047454</x:v>
      </x:c>
      <x:c r="AA1346" t="str" s="2">
        <x:v>Iris McKinley</x:v>
      </x:c>
      <x:c r="AB1346" s="6">
        <x:v>46277.68600829861</x:v>
      </x:c>
      <x:c r="AC1346" t="n" s="2">
        <x:v>39940</x:v>
      </x:c>
      <x:c r="AD1346" t="str" s="2">
        <x:v>Singlewide</x:v>
      </x:c>
      <x:c r="AE1346" s="0"/>
      <x:c r="AF1346" s="0"/>
      <x:c r="AG1346" s="7">
        <x:v>1000</x:v>
      </x:c>
      <x:c r="AH1346" s="0"/>
      <x:c r="AI1346" t="str" s="2">
        <x:v>600</x:v>
      </x:c>
      <x:c r="AJ1346" s="0"/>
      <x:c r="AK1346" s="0"/>
    </x:row>
    <x:row r="1347">
      <x:c r="A1347" t="str" s="2">
        <x:f>=HYPERLINK("https://rsms.futurehomex.com/lead/39941", "Ashly Kelley")</x:f>
      </x:c>
      <x:c r="B1347" t="n" s="2">
        <x:v>31</x:v>
      </x:c>
      <x:c r="C1347" t="str" s="2">
        <x:v/>
      </x:c>
      <x:c r="D1347" t="str" s="2">
        <x:f>=""</x:f>
      </x:c>
      <x:c r="E1347" s="0"/>
      <x:c r="F1347" t="str" s="2">
        <x:v>Walk-in</x:v>
      </x:c>
      <x:c r="G1347" t="str" s="2">
        <x:v>Heritage Housing of Athens</x:v>
      </x:c>
      <x:c r="H1347" t="str" s="2">
        <x:v>Iris McKinley</x:v>
      </x:c>
      <x:c r="I1347" s="0"/>
      <x:c r="J1347" s="0"/>
      <x:c r="K1347" t="n" s="2">
        <x:v>5</x:v>
      </x:c>
      <x:c r="L1347" t="str" s="2">
        <x:v>1.1</x:v>
      </x:c>
      <x:c r="M1347" t="str" s="2">
        <x:v>Tentative</x:v>
      </x:c>
      <x:c r="N1347" t="str" s="2">
        <x:v>Prospect</x:v>
      </x:c>
      <x:c r="O1347" s="0"/>
      <x:c r="P1347" s="6">
        <x:v>46277</x:v>
      </x:c>
      <x:c r="Q1347" s="6">
        <x:v>46277.693563078705</x:v>
      </x:c>
      <x:c r="R1347" s="0"/>
      <x:c r="S1347" s="0"/>
      <x:c r="T1347" s="0"/>
      <x:c r="U1347" s="0"/>
      <x:c r="V1347" s="0"/>
      <x:c r="W1347" s="0"/>
      <x:c r="X1347" t="str" s="2">
        <x:v>7062241250</x:v>
      </x:c>
      <x:c r="Y1347" t="str" s="2">
        <x:v>ronniesgirl51@gmail.com</x:v>
      </x:c>
      <x:c r="Z1347" s="0"/>
      <x:c r="AA1347" s="0"/>
      <x:c r="AB1347" s="6">
        <x:v>46277.69356373842</x:v>
      </x:c>
      <x:c r="AC1347" t="n" s="2">
        <x:v>39941</x:v>
      </x:c>
      <x:c r="AD1347" s="0"/>
      <x:c r="AE1347" s="0"/>
      <x:c r="AF1347" s="0"/>
      <x:c r="AG1347" s="0"/>
      <x:c r="AH1347" s="0"/>
      <x:c r="AI1347" s="0"/>
      <x:c r="AJ1347" s="0"/>
      <x:c r="AK1347" s="0"/>
    </x:row>
    <x:row r="1348">
      <x:c r="A1348" t="str" s="2">
        <x:f>=HYPERLINK("https://rsms.futurehomex.com/lead/39942", "Callie Smith")</x:f>
      </x:c>
      <x:c r="B1348" t="n" s="2">
        <x:v>31</x:v>
      </x:c>
      <x:c r="C1348" t="str" s="2">
        <x:v/>
      </x:c>
      <x:c r="D1348" t="str" s="2">
        <x:f>=""</x:f>
      </x:c>
      <x:c r="E1348" s="0"/>
      <x:c r="F1348" t="str" s="2">
        <x:v>Walk-in</x:v>
      </x:c>
      <x:c r="G1348" t="str" s="2">
        <x:v>Heritage Housing of Minden</x:v>
      </x:c>
      <x:c r="H1348" t="str" s="2">
        <x:v>Patrick Schuchart</x:v>
      </x:c>
      <x:c r="I1348" t="str" s="2">
        <x:v>Karol Romero</x:v>
      </x:c>
      <x:c r="J1348" t="str" s="2">
        <x:v>Patrick Schuchart</x:v>
      </x:c>
      <x:c r="K1348" t="n" s="2">
        <x:v>5</x:v>
      </x:c>
      <x:c r="L1348" t="str" s="2">
        <x:v>1.1</x:v>
      </x:c>
      <x:c r="M1348" t="str" s="2">
        <x:v>Tentative</x:v>
      </x:c>
      <x:c r="N1348" t="str" s="2">
        <x:v>Deal Created</x:v>
      </x:c>
      <x:c r="O1348" s="0"/>
      <x:c r="P1348" s="6">
        <x:v>46277</x:v>
      </x:c>
      <x:c r="Q1348" s="6">
        <x:v>46277.91110162037</x:v>
      </x:c>
      <x:c r="R1348" t="str" s="2">
        <x:v>Patrick Schuchart</x:v>
      </x:c>
      <x:c r="S1348" s="0"/>
      <x:c r="T1348" s="0"/>
      <x:c r="U1348" s="0"/>
      <x:c r="V1348" s="0"/>
      <x:c r="W1348" s="0"/>
      <x:c r="X1348" t="str" s="2">
        <x:v>3185471922</x:v>
      </x:c>
      <x:c r="Y1348" t="str" s="2">
        <x:v>3185471922</x:v>
      </x:c>
      <x:c r="Z1348" s="6">
        <x:v>46277.71601778935</x:v>
      </x:c>
      <x:c r="AA1348" t="str" s="2">
        <x:v>Patrick Schuchart</x:v>
      </x:c>
      <x:c r="AB1348" s="6">
        <x:v>46277.714412581015</x:v>
      </x:c>
      <x:c r="AC1348" t="n" s="2">
        <x:v>39942</x:v>
      </x:c>
      <x:c r="AD1348" s="0"/>
      <x:c r="AE1348" s="0"/>
      <x:c r="AF1348" s="0"/>
      <x:c r="AG1348" s="0"/>
      <x:c r="AH1348" s="0"/>
      <x:c r="AI1348" s="0"/>
      <x:c r="AJ1348" s="0"/>
      <x:c r="AK1348" s="0"/>
    </x:row>
    <x:row r="1349">
      <x:c r="A1349" t="str" s="2">
        <x:f>=HYPERLINK("https://rsms.futurehomex.com/lead/39943", "Sherry Shelton")</x:f>
      </x:c>
      <x:c r="B1349" t="n" s="2">
        <x:v>31</x:v>
      </x:c>
      <x:c r="C1349" t="str" s="2">
        <x:v/>
      </x:c>
      <x:c r="D1349" t="str" s="2">
        <x:f>=""</x:f>
      </x:c>
      <x:c r="E1349" s="0"/>
      <x:c r="F1349" t="str" s="2">
        <x:v>Walk-in</x:v>
      </x:c>
      <x:c r="G1349" t="str" s="2">
        <x:v>Heritage Housing of Asheboro</x:v>
      </x:c>
      <x:c r="H1349" t="str" s="2">
        <x:v>Kate Gutierrez</x:v>
      </x:c>
      <x:c r="I1349" s="0"/>
      <x:c r="J1349" s="0"/>
      <x:c r="K1349" t="n" s="2">
        <x:v>21</x:v>
      </x:c>
      <x:c r="L1349" t="str" s="2">
        <x:v>2.1</x:v>
      </x:c>
      <x:c r="M1349" t="str" s="2">
        <x:v>Tentative</x:v>
      </x:c>
      <x:c r="N1349" t="str" s="2">
        <x:v>Qualified</x:v>
      </x:c>
      <x:c r="O1349" s="0"/>
      <x:c r="P1349" s="6">
        <x:v>46277</x:v>
      </x:c>
      <x:c r="Q1349" s="6">
        <x:v>46282.73792565972</x:v>
      </x:c>
      <x:c r="R1349" s="0"/>
      <x:c r="S1349" s="0"/>
      <x:c r="T1349" s="0"/>
      <x:c r="U1349" s="0"/>
      <x:c r="V1349" s="0"/>
      <x:c r="W1349" s="0"/>
      <x:c r="X1349" t="str" s="2">
        <x:v>3369632444</x:v>
      </x:c>
      <x:c r="Y1349" t="str" s="2">
        <x:v>sherrispuppies2010@yahoo.com</x:v>
      </x:c>
      <x:c r="Z1349" s="6">
        <x:v>46282.73791362269</x:v>
      </x:c>
      <x:c r="AA1349" t="str" s="2">
        <x:v>Jeremy Jacques</x:v>
      </x:c>
      <x:c r="AB1349" s="6">
        <x:v>46277.72419965278</x:v>
      </x:c>
      <x:c r="AC1349" t="n" s="2">
        <x:v>39943</x:v>
      </x:c>
      <x:c r="AD1349" s="0"/>
      <x:c r="AE1349" s="0"/>
      <x:c r="AF1349" s="0"/>
      <x:c r="AG1349" s="0"/>
      <x:c r="AH1349" s="0"/>
      <x:c r="AI1349" s="0"/>
      <x:c r="AJ1349" s="0"/>
      <x:c r="AK1349" s="0"/>
    </x:row>
    <x:row r="1350">
      <x:c r="A1350" t="str" s="2">
        <x:f>=HYPERLINK("https://rsms.futurehomex.com/lead/39944", "Mike Leader")</x:f>
      </x:c>
      <x:c r="B1350" t="n" s="2">
        <x:v>31</x:v>
      </x:c>
      <x:c r="C1350" t="str" s="2">
        <x:v>1/1</x:v>
      </x:c>
      <x:c r="D1350" t="str" s="2">
        <x:f>=""</x:f>
      </x:c>
      <x:c r="E1350" s="0"/>
      <x:c r="F1350" t="str" s="2">
        <x:v>Walk-in</x:v>
      </x:c>
      <x:c r="G1350" t="str" s="2">
        <x:v>Heritage Housing of Oklahoma City</x:v>
      </x:c>
      <x:c r="H1350" t="str" s="2">
        <x:v>Trey Rixleben</x:v>
      </x:c>
      <x:c r="I1350" t="str" s="2">
        <x:v>Karol Romero</x:v>
      </x:c>
      <x:c r="J1350" t="str" s="2">
        <x:v>Trey Rixleben</x:v>
      </x:c>
      <x:c r="K1350" t="n" s="2">
        <x:v>5</x:v>
      </x:c>
      <x:c r="L1350" t="str" s="2">
        <x:v>1.1</x:v>
      </x:c>
      <x:c r="M1350" t="str" s="2">
        <x:v>Tentative</x:v>
      </x:c>
      <x:c r="N1350" t="str" s="2">
        <x:v>Deal Created</x:v>
      </x:c>
      <x:c r="O1350" s="0"/>
      <x:c r="P1350" s="6">
        <x:v>46277</x:v>
      </x:c>
      <x:c r="Q1350" s="6">
        <x:v>46304.78300008102</x:v>
      </x:c>
      <x:c r="R1350" s="0"/>
      <x:c r="S1350" s="0"/>
      <x:c r="T1350" s="0"/>
      <x:c r="U1350" s="0"/>
      <x:c r="V1350" s="0"/>
      <x:c r="W1350" s="0"/>
      <x:c r="X1350" t="str" s="2">
        <x:v>4057886192</x:v>
      </x:c>
      <x:c r="Y1350" t="str" s="2">
        <x:v>mikeleader89@gmail.com</x:v>
      </x:c>
      <x:c r="Z1350" s="6">
        <x:v>46304.78359730324</x:v>
      </x:c>
      <x:c r="AA1350" t="str" s="2">
        <x:v>Trey Rixleben</x:v>
      </x:c>
      <x:c r="AB1350" s="6">
        <x:v>46277.73452445602</x:v>
      </x:c>
      <x:c r="AC1350" t="n" s="2">
        <x:v>39944</x:v>
      </x:c>
      <x:c r="AD1350" s="0"/>
      <x:c r="AE1350" s="0"/>
      <x:c r="AF1350" s="0"/>
      <x:c r="AG1350" s="0"/>
      <x:c r="AH1350" s="0"/>
      <x:c r="AI1350" s="0"/>
      <x:c r="AJ1350" s="0"/>
      <x:c r="AK1350" s="0"/>
    </x:row>
    <x:row r="1351">
      <x:c r="A1351" t="str" s="2">
        <x:f>=HYPERLINK("https://rsms.futurehomex.com/lead/39945", "Karim Coleman")</x:f>
      </x:c>
      <x:c r="B1351" t="n" s="2">
        <x:v>31</x:v>
      </x:c>
      <x:c r="C1351" t="str" s="2">
        <x:v>1/3</x:v>
      </x:c>
      <x:c r="D1351" t="str" s="2">
        <x:f>=""</x:f>
      </x:c>
      <x:c r="E1351" s="0"/>
      <x:c r="F1351" t="str" s="2">
        <x:v>Landing_BPM</x:v>
      </x:c>
      <x:c r="G1351" t="str" s="2">
        <x:v>Heritage Housing of Oklahoma City</x:v>
      </x:c>
      <x:c r="H1351" t="str" s="2">
        <x:v>Steve Castell</x:v>
      </x:c>
      <x:c r="I1351" s="0"/>
      <x:c r="J1351" t="str" s="2">
        <x:v>Steve Castell</x:v>
      </x:c>
      <x:c r="K1351" t="n" s="2">
        <x:v>5</x:v>
      </x:c>
      <x:c r="L1351" t="str" s="2">
        <x:v>1.1</x:v>
      </x:c>
      <x:c r="M1351" t="str" s="2">
        <x:v>Tentative</x:v>
      </x:c>
      <x:c r="N1351" t="str" s="2">
        <x:v>Deal Created</x:v>
      </x:c>
      <x:c r="O1351" s="0"/>
      <x:c r="P1351" s="6">
        <x:v>46277</x:v>
      </x:c>
      <x:c r="Q1351" s="6">
        <x:v>46277.740632789355</x:v>
      </x:c>
      <x:c r="R1351" s="0"/>
      <x:c r="S1351" s="0"/>
      <x:c r="T1351" s="0"/>
      <x:c r="U1351" s="0"/>
      <x:c r="V1351" s="0"/>
      <x:c r="W1351" s="0"/>
      <x:c r="X1351" t="str" s="2">
        <x:v>4058028138</x:v>
      </x:c>
      <x:c r="Y1351" t="str" s="2">
        <x:v>back2basics44@gmail.com</x:v>
      </x:c>
      <x:c r="Z1351" s="6">
        <x:v>46293.931046956015</x:v>
      </x:c>
      <x:c r="AA1351" t="str" s="2">
        <x:v>Steve Castell</x:v>
      </x:c>
      <x:c r="AB1351" s="6">
        <x:v>46277.740633368056</x:v>
      </x:c>
      <x:c r="AC1351" t="n" s="2">
        <x:v>39945</x:v>
      </x:c>
      <x:c r="AD1351" s="0"/>
      <x:c r="AE1351" s="0"/>
      <x:c r="AF1351" s="0"/>
      <x:c r="AG1351" s="0"/>
      <x:c r="AH1351" s="0"/>
      <x:c r="AI1351" s="0"/>
      <x:c r="AJ1351" s="0"/>
      <x:c r="AK1351" s="0"/>
    </x:row>
    <x:row r="1352">
      <x:c r="A1352" t="str" s="2">
        <x:f>=HYPERLINK("https://rsms.futurehomex.com/lead/39946", "otissa clark")</x:f>
      </x:c>
      <x:c r="B1352" t="n" s="2">
        <x:v>31</x:v>
      </x:c>
      <x:c r="C1352" t="str" s="2">
        <x:v/>
      </x:c>
      <x:c r="D1352" t="str" s="2">
        <x:f>=""</x:f>
      </x:c>
      <x:c r="E1352" s="0"/>
      <x:c r="F1352" t="str" s="2">
        <x:v>Landing_BPM</x:v>
      </x:c>
      <x:c r="G1352" t="str" s="2">
        <x:v>Heritage Housing of Athens</x:v>
      </x:c>
      <x:c r="H1352" t="str" s="2">
        <x:v>Ethan Fossett</x:v>
      </x:c>
      <x:c r="I1352" s="0"/>
      <x:c r="J1352" t="str" s="2">
        <x:v>Ethan Fossett</x:v>
      </x:c>
      <x:c r="K1352" t="n" s="2">
        <x:v>5</x:v>
      </x:c>
      <x:c r="L1352" t="str" s="2">
        <x:v>1.1</x:v>
      </x:c>
      <x:c r="M1352" t="str" s="2">
        <x:v>Tentative</x:v>
      </x:c>
      <x:c r="N1352" t="str" s="2">
        <x:v>Prospect</x:v>
      </x:c>
      <x:c r="O1352" s="0"/>
      <x:c r="P1352" s="6">
        <x:v>46277</x:v>
      </x:c>
      <x:c r="Q1352" s="6">
        <x:v>46277.7572334838</x:v>
      </x:c>
      <x:c r="R1352" s="0"/>
      <x:c r="S1352" s="6">
        <x:v>46277</x:v>
      </x:c>
      <x:c r="T1352" s="0"/>
      <x:c r="U1352" s="0"/>
      <x:c r="V1352" s="0"/>
      <x:c r="W1352" s="0"/>
      <x:c r="X1352" t="str" s="2">
        <x:v>7062546450</x:v>
      </x:c>
      <x:c r="Y1352" t="str" s="2">
        <x:v>otissaclark@yahoo.com</x:v>
      </x:c>
      <x:c r="Z1352" s="6">
        <x:v>46289.6368784375</x:v>
      </x:c>
      <x:c r="AA1352" t="str" s="2">
        <x:v>Ethan Fossett</x:v>
      </x:c>
      <x:c r="AB1352" s="6">
        <x:v>46277.75723391204</x:v>
      </x:c>
      <x:c r="AC1352" t="n" s="2">
        <x:v>39946</x:v>
      </x:c>
      <x:c r="AD1352" s="0"/>
      <x:c r="AE1352" s="0"/>
      <x:c r="AF1352" s="0"/>
      <x:c r="AG1352" s="0"/>
      <x:c r="AH1352" s="0"/>
      <x:c r="AI1352" s="0"/>
      <x:c r="AJ1352" s="0"/>
      <x:c r="AK1352" s="0"/>
    </x:row>
    <x:row r="1353">
      <x:c r="A1353" t="str" s="2">
        <x:f>=HYPERLINK("https://rsms.futurehomex.com/lead/39948", "Rico Jones")</x:f>
      </x:c>
      <x:c r="B1353" t="n" s="2">
        <x:v>31</x:v>
      </x:c>
      <x:c r="C1353" t="str" s="2">
        <x:v/>
      </x:c>
      <x:c r="D1353" t="str" s="2">
        <x:f>=""</x:f>
      </x:c>
      <x:c r="E1353" s="0"/>
      <x:c r="F1353" t="str" s="2">
        <x:v>Walk-in</x:v>
      </x:c>
      <x:c r="G1353" t="str" s="2">
        <x:v>Heritage Housing of Augusta</x:v>
      </x:c>
      <x:c r="H1353" t="str" s="2">
        <x:v>Jennifer Johnson</x:v>
      </x:c>
      <x:c r="I1353" t="str" s="2">
        <x:v>Karol Romero</x:v>
      </x:c>
      <x:c r="J1353" t="str" s="2">
        <x:v>Jennifer Johnson</x:v>
      </x:c>
      <x:c r="K1353" t="n" s="2">
        <x:v>5</x:v>
      </x:c>
      <x:c r="L1353" t="str" s="2">
        <x:v>1.1</x:v>
      </x:c>
      <x:c r="M1353" t="str" s="2">
        <x:v>Tentative</x:v>
      </x:c>
      <x:c r="N1353" t="str" s="2">
        <x:v>Deal Created</x:v>
      </x:c>
      <x:c r="O1353" s="0"/>
      <x:c r="P1353" s="6">
        <x:v>46277</x:v>
      </x:c>
      <x:c r="Q1353" s="6">
        <x:v>46296.80834722222</x:v>
      </x:c>
      <x:c r="R1353" s="0"/>
      <x:c r="S1353" s="0"/>
      <x:c r="T1353" s="0"/>
      <x:c r="U1353" s="0"/>
      <x:c r="V1353" s="0"/>
      <x:c r="W1353" s="0"/>
      <x:c r="X1353" t="str" s="2">
        <x:v>4045672747</x:v>
      </x:c>
      <x:c r="Y1353" t="str" s="2">
        <x:v>ricojones@bellsouth.net</x:v>
      </x:c>
      <x:c r="Z1353" s="6">
        <x:v>46280.73017033565</x:v>
      </x:c>
      <x:c r="AA1353" t="str" s="2">
        <x:v>Alex Jones</x:v>
      </x:c>
      <x:c r="AB1353" s="6">
        <x:v>46277.77813954861</x:v>
      </x:c>
      <x:c r="AC1353" t="n" s="2">
        <x:v>39948</x:v>
      </x:c>
      <x:c r="AD1353" s="0"/>
      <x:c r="AE1353" s="0"/>
      <x:c r="AF1353" s="0"/>
      <x:c r="AG1353" s="0"/>
      <x:c r="AH1353" s="0"/>
      <x:c r="AI1353" s="0"/>
      <x:c r="AJ1353" s="0"/>
      <x:c r="AK1353" s="0"/>
    </x:row>
    <x:row r="1354">
      <x:c r="A1354" t="str" s="2">
        <x:f>=HYPERLINK("https://rsms.futurehomex.com/lead/39949", "Kyle Gates")</x:f>
      </x:c>
      <x:c r="B1354" t="n" s="2">
        <x:v>31</x:v>
      </x:c>
      <x:c r="C1354" t="str" s="2">
        <x:v>1/1</x:v>
      </x:c>
      <x:c r="D1354" t="str" s="2">
        <x:f>=""</x:f>
      </x:c>
      <x:c r="E1354" s="0"/>
      <x:c r="F1354" t="str" s="2">
        <x:v>Facebook Messenger</x:v>
      </x:c>
      <x:c r="G1354" t="str" s="2">
        <x:v>Heritage Housing of Oklahoma City</x:v>
      </x:c>
      <x:c r="H1354" t="str" s="2">
        <x:v>Eva Misheva</x:v>
      </x:c>
      <x:c r="I1354" s="0"/>
      <x:c r="J1354" s="0"/>
      <x:c r="K1354" t="n" s="2">
        <x:v>5</x:v>
      </x:c>
      <x:c r="L1354" t="str" s="2">
        <x:v>1.1</x:v>
      </x:c>
      <x:c r="M1354" t="str" s="2">
        <x:v>Tentative</x:v>
      </x:c>
      <x:c r="N1354" t="str" s="2">
        <x:v>Prospect</x:v>
      </x:c>
      <x:c r="O1354" s="0"/>
      <x:c r="P1354" s="6">
        <x:v>46277</x:v>
      </x:c>
      <x:c r="Q1354" s="6">
        <x:v>46277.79159105324</x:v>
      </x:c>
      <x:c r="R1354" s="0"/>
      <x:c r="S1354" s="0"/>
      <x:c r="T1354" s="0"/>
      <x:c r="U1354" s="0"/>
      <x:c r="V1354" s="0"/>
      <x:c r="W1354" s="0"/>
      <x:c r="X1354" t="str" s="2">
        <x:v>4054966764</x:v>
      </x:c>
      <x:c r="Y1354" t="str" s="2">
        <x:v>gateskyle65@gmail.com</x:v>
      </x:c>
      <x:c r="Z1354" s="6">
        <x:v>46285.901788344905</x:v>
      </x:c>
      <x:c r="AA1354" t="str" s="2">
        <x:v>Eva Misheva</x:v>
      </x:c>
      <x:c r="AB1354" s="6">
        <x:v>46277.79159255787</x:v>
      </x:c>
      <x:c r="AC1354" t="n" s="2">
        <x:v>39949</x:v>
      </x:c>
      <x:c r="AD1354" s="0"/>
      <x:c r="AE1354" s="0"/>
      <x:c r="AF1354" s="0"/>
      <x:c r="AG1354" s="0"/>
      <x:c r="AH1354" s="0"/>
      <x:c r="AI1354" s="0"/>
      <x:c r="AJ1354" s="0"/>
      <x:c r="AK1354" s="0"/>
    </x:row>
    <x:row r="1355">
      <x:c r="A1355" t="str" s="2">
        <x:f>=HYPERLINK("https://rsms.futurehomex.com/lead/39950", "Leslie Estrada")</x:f>
      </x:c>
      <x:c r="B1355" t="n" s="2">
        <x:v>31</x:v>
      </x:c>
      <x:c r="C1355" t="str" s="2">
        <x:v/>
      </x:c>
      <x:c r="D1355" t="str" s="2">
        <x:f>=""</x:f>
      </x:c>
      <x:c r="E1355" s="0"/>
      <x:c r="F1355" t="str" s="2">
        <x:v>Facebook Messenger</x:v>
      </x:c>
      <x:c r="G1355" t="str" s="2">
        <x:v>Heritage Housing of Asheboro</x:v>
      </x:c>
      <x:c r="H1355" t="str" s="2">
        <x:v>Maria Lopez</x:v>
      </x:c>
      <x:c r="I1355" s="0"/>
      <x:c r="J1355" s="0"/>
      <x:c r="K1355" t="n" s="2">
        <x:v>21</x:v>
      </x:c>
      <x:c r="L1355" t="str" s="2">
        <x:v>2.1</x:v>
      </x:c>
      <x:c r="M1355" t="str" s="2">
        <x:v>Tentative</x:v>
      </x:c>
      <x:c r="N1355" t="str" s="2">
        <x:v>Qualified</x:v>
      </x:c>
      <x:c r="O1355" s="0"/>
      <x:c r="P1355" s="6">
        <x:v>46277</x:v>
      </x:c>
      <x:c r="Q1355" s="6">
        <x:v>46282.7381991088</x:v>
      </x:c>
      <x:c r="R1355" s="0"/>
      <x:c r="S1355" s="6">
        <x:v>46277</x:v>
      </x:c>
      <x:c r="T1355" s="0"/>
      <x:c r="U1355" s="0"/>
      <x:c r="V1355" s="0"/>
      <x:c r="W1355" s="0"/>
      <x:c r="X1355" t="str" s="2">
        <x:v>3365211320</x:v>
      </x:c>
      <x:c r="Y1355" t="str" s="2">
        <x:v>lesliee_2015@outlook.com</x:v>
      </x:c>
      <x:c r="Z1355" s="6">
        <x:v>46282.73818591435</x:v>
      </x:c>
      <x:c r="AA1355" t="str" s="2">
        <x:v>Jeremy Jacques</x:v>
      </x:c>
      <x:c r="AB1355" s="6">
        <x:v>46277.80354255787</x:v>
      </x:c>
      <x:c r="AC1355" t="n" s="2">
        <x:v>39950</x:v>
      </x:c>
      <x:c r="AD1355" s="0"/>
      <x:c r="AE1355" s="0"/>
      <x:c r="AF1355" s="0"/>
      <x:c r="AG1355" s="0"/>
      <x:c r="AH1355" s="0"/>
      <x:c r="AI1355" s="0"/>
      <x:c r="AJ1355" s="0"/>
      <x:c r="AK1355" s="0"/>
    </x:row>
    <x:row r="1356">
      <x:c r="A1356" t="str" s="2">
        <x:f>=HYPERLINK("https://rsms.futurehomex.com/lead/39951", "Pedro Deloera")</x:f>
      </x:c>
      <x:c r="B1356" t="n" s="2">
        <x:v>31</x:v>
      </x:c>
      <x:c r="C1356" t="str" s="2">
        <x:v>1/1</x:v>
      </x:c>
      <x:c r="D1356" t="str" s="2">
        <x:f>=""</x:f>
      </x:c>
      <x:c r="E1356" t="str" s="2">
        <x:v>Jasmine Vu</x:v>
      </x:c>
      <x:c r="F1356" t="str" s="2">
        <x:v>Walk-in</x:v>
      </x:c>
      <x:c r="G1356" t="str" s="2">
        <x:v>Heritage Housing of Oklahoma City</x:v>
      </x:c>
      <x:c r="H1356" t="str" s="2">
        <x:v>Trey Rixleben</x:v>
      </x:c>
      <x:c r="I1356" t="str" s="2">
        <x:v>Karol Romero</x:v>
      </x:c>
      <x:c r="J1356" t="str" s="2">
        <x:v>Trey Rixleben</x:v>
      </x:c>
      <x:c r="K1356" t="n" s="2">
        <x:v>5</x:v>
      </x:c>
      <x:c r="L1356" t="str" s="2">
        <x:v>1.1</x:v>
      </x:c>
      <x:c r="M1356" t="str" s="2">
        <x:v>Tentative</x:v>
      </x:c>
      <x:c r="N1356" t="str" s="2">
        <x:v>Deal Created</x:v>
      </x:c>
      <x:c r="O1356" s="0"/>
      <x:c r="P1356" s="6">
        <x:v>46277</x:v>
      </x:c>
      <x:c r="Q1356" s="6">
        <x:v>46291.78897491898</x:v>
      </x:c>
      <x:c r="R1356" s="0"/>
      <x:c r="S1356" s="0"/>
      <x:c r="T1356" s="0"/>
      <x:c r="U1356" s="0"/>
      <x:c r="V1356" s="0"/>
      <x:c r="W1356" s="0"/>
      <x:c r="X1356" t="str" s="2">
        <x:v>4058751766</x:v>
      </x:c>
      <x:c r="Y1356" t="str" s="2">
        <x:v>jasminevu99@gmail.com</x:v>
      </x:c>
      <x:c r="Z1356" s="6">
        <x:v>46283.85798521991</x:v>
      </x:c>
      <x:c r="AA1356" t="str" s="2">
        <x:v>Trey Rixleben</x:v>
      </x:c>
      <x:c r="AB1356" s="6">
        <x:v>46277.8047940625</x:v>
      </x:c>
      <x:c r="AC1356" t="n" s="2">
        <x:v>39951</x:v>
      </x:c>
      <x:c r="AD1356" s="0"/>
      <x:c r="AE1356" s="0"/>
      <x:c r="AF1356" s="0"/>
      <x:c r="AG1356" s="0"/>
      <x:c r="AH1356" s="0"/>
      <x:c r="AI1356" s="0"/>
      <x:c r="AJ1356" s="0"/>
      <x:c r="AK1356" s="0"/>
    </x:row>
    <x:row r="1357">
      <x:c r="A1357" t="str" s="2">
        <x:f>=HYPERLINK("https://rsms.futurehomex.com/lead/39952", "Sherri Johnson")</x:f>
      </x:c>
      <x:c r="B1357" t="n" s="2">
        <x:v>31</x:v>
      </x:c>
      <x:c r="C1357" t="str" s="2">
        <x:v/>
      </x:c>
      <x:c r="D1357" t="str" s="2">
        <x:f>=""</x:f>
      </x:c>
      <x:c r="E1357" s="0"/>
      <x:c r="F1357" t="str" s="2">
        <x:v>Walk-in</x:v>
      </x:c>
      <x:c r="G1357" t="str" s="2">
        <x:v>Heritage Housing of Augusta</x:v>
      </x:c>
      <x:c r="H1357" t="str" s="2">
        <x:v>Faye Lively</x:v>
      </x:c>
      <x:c r="I1357" t="str" s="2">
        <x:v>Karol Romero</x:v>
      </x:c>
      <x:c r="J1357" s="0"/>
      <x:c r="K1357" t="n" s="2">
        <x:v>5</x:v>
      </x:c>
      <x:c r="L1357" t="str" s="2">
        <x:v>1.1</x:v>
      </x:c>
      <x:c r="M1357" t="str" s="2">
        <x:v>Tentative</x:v>
      </x:c>
      <x:c r="N1357" t="str" s="2">
        <x:v>Prospect</x:v>
      </x:c>
      <x:c r="O1357" s="0"/>
      <x:c r="P1357" s="6">
        <x:v>46277</x:v>
      </x:c>
      <x:c r="Q1357" s="6">
        <x:v>46282.59017766204</x:v>
      </x:c>
      <x:c r="R1357" s="0"/>
      <x:c r="S1357" s="6">
        <x:v>46277</x:v>
      </x:c>
      <x:c r="T1357" s="0"/>
      <x:c r="U1357" s="0"/>
      <x:c r="V1357" s="0"/>
      <x:c r="W1357" s="0"/>
      <x:c r="X1357" t="str" s="2">
        <x:v>8437674904</x:v>
      </x:c>
      <x:c r="Y1357" t="str" s="2">
        <x:v>sherri@dansheinc.com</x:v>
      </x:c>
      <x:c r="Z1357" s="6">
        <x:v>46277.81202650463</x:v>
      </x:c>
      <x:c r="AA1357" t="str" s="2">
        <x:v>Faye Lively</x:v>
      </x:c>
      <x:c r="AB1357" s="6">
        <x:v>46277.80920193287</x:v>
      </x:c>
      <x:c r="AC1357" t="n" s="2">
        <x:v>39952</x:v>
      </x:c>
      <x:c r="AD1357" s="0"/>
      <x:c r="AE1357" s="0"/>
      <x:c r="AF1357" s="0"/>
      <x:c r="AG1357" s="0"/>
      <x:c r="AH1357" s="0"/>
      <x:c r="AI1357" s="0"/>
      <x:c r="AJ1357" s="0"/>
      <x:c r="AK1357" s="0"/>
    </x:row>
    <x:row r="1358">
      <x:c r="A1358" t="str" s="2">
        <x:f>=HYPERLINK("https://rsms.futurehomex.com/lead/39953", "Xaiver Walden")</x:f>
      </x:c>
      <x:c r="B1358" t="n" s="2">
        <x:v>31</x:v>
      </x:c>
      <x:c r="C1358" t="str" s="2">
        <x:v/>
      </x:c>
      <x:c r="D1358" t="str" s="2">
        <x:f>=""</x:f>
      </x:c>
      <x:c r="E1358" s="0"/>
      <x:c r="F1358" t="str" s="2">
        <x:v>Walk-in</x:v>
      </x:c>
      <x:c r="G1358" t="str" s="2">
        <x:v>Heritage Housing of Augusta</x:v>
      </x:c>
      <x:c r="H1358" t="str" s="2">
        <x:v>Faye Lively</x:v>
      </x:c>
      <x:c r="I1358" s="0"/>
      <x:c r="J1358" s="0"/>
      <x:c r="K1358" t="n" s="2">
        <x:v>5</x:v>
      </x:c>
      <x:c r="L1358" t="str" s="2">
        <x:v>1.1</x:v>
      </x:c>
      <x:c r="M1358" t="str" s="2">
        <x:v>Tentative</x:v>
      </x:c>
      <x:c r="N1358" t="str" s="2">
        <x:v>Prospect</x:v>
      </x:c>
      <x:c r="O1358" s="0"/>
      <x:c r="P1358" s="6">
        <x:v>46277</x:v>
      </x:c>
      <x:c r="Q1358" s="6">
        <x:v>46282.5956965625</x:v>
      </x:c>
      <x:c r="R1358" s="0"/>
      <x:c r="S1358" s="0"/>
      <x:c r="T1358" s="0"/>
      <x:c r="U1358" s="0"/>
      <x:c r="V1358" s="0"/>
      <x:c r="W1358" s="0"/>
      <x:c r="X1358" t="str" s="2">
        <x:v>7069627431</x:v>
      </x:c>
      <x:c r="Y1358" t="str" s="2">
        <x:v>hteking@gmail.com</x:v>
      </x:c>
      <x:c r="Z1358" s="6">
        <x:v>46282.59729618055</x:v>
      </x:c>
      <x:c r="AA1358" t="str" s="2">
        <x:v>Faye Lively</x:v>
      </x:c>
      <x:c r="AB1358" s="6">
        <x:v>46277.809432141206</x:v>
      </x:c>
      <x:c r="AC1358" t="n" s="2">
        <x:v>39953</x:v>
      </x:c>
      <x:c r="AD1358" s="0"/>
      <x:c r="AE1358" s="0"/>
      <x:c r="AF1358" s="0"/>
      <x:c r="AG1358" s="0"/>
      <x:c r="AH1358" s="0"/>
      <x:c r="AI1358" s="0"/>
      <x:c r="AJ1358" s="0"/>
      <x:c r="AK1358" s="0"/>
    </x:row>
    <x:row r="1359">
      <x:c r="A1359" t="str" s="2">
        <x:f>=HYPERLINK("https://rsms.futurehomex.com/lead/39954", "Kathy Davis")</x:f>
      </x:c>
      <x:c r="B1359" t="n" s="2">
        <x:v>31</x:v>
      </x:c>
      <x:c r="C1359" t="str" s="2">
        <x:v>1/5</x:v>
      </x:c>
      <x:c r="D1359" t="str" s="2">
        <x:f>=""</x:f>
      </x:c>
      <x:c r="E1359" s="0"/>
      <x:c r="F1359" t="str" s="2">
        <x:v>Landing_BPM</x:v>
      </x:c>
      <x:c r="G1359" t="str" s="2">
        <x:v>Heritage Housing of Oklahoma City</x:v>
      </x:c>
      <x:c r="H1359" t="str" s="2">
        <x:v>Steve Castell</x:v>
      </x:c>
      <x:c r="I1359" s="0"/>
      <x:c r="J1359" t="str" s="2">
        <x:v>Steve Castell</x:v>
      </x:c>
      <x:c r="K1359" t="n" s="2">
        <x:v>5</x:v>
      </x:c>
      <x:c r="L1359" t="str" s="2">
        <x:v>1.1</x:v>
      </x:c>
      <x:c r="M1359" t="str" s="2">
        <x:v>Tentative</x:v>
      </x:c>
      <x:c r="N1359" t="str" s="2">
        <x:v>Deal Created</x:v>
      </x:c>
      <x:c r="O1359" s="0"/>
      <x:c r="P1359" s="6">
        <x:v>46277</x:v>
      </x:c>
      <x:c r="Q1359" s="6">
        <x:v>46277.8379241088</x:v>
      </x:c>
      <x:c r="R1359" s="0"/>
      <x:c r="S1359" s="0"/>
      <x:c r="T1359" s="0"/>
      <x:c r="U1359" s="0"/>
      <x:c r="V1359" s="0"/>
      <x:c r="W1359" s="0"/>
      <x:c r="X1359" t="str" s="2">
        <x:v>405-868-6824</x:v>
      </x:c>
      <x:c r="Y1359" t="str" s="2">
        <x:v>kjbranch1125@gmail.com</x:v>
      </x:c>
      <x:c r="Z1359" s="6">
        <x:v>46303.97579394676</x:v>
      </x:c>
      <x:c r="AA1359" t="str" s="2">
        <x:v>Steve Castell</x:v>
      </x:c>
      <x:c r="AB1359" s="6">
        <x:v>46277.83792503472</x:v>
      </x:c>
      <x:c r="AC1359" t="n" s="2">
        <x:v>39954</x:v>
      </x:c>
      <x:c r="AD1359" s="0"/>
      <x:c r="AE1359" s="0"/>
      <x:c r="AF1359" s="0"/>
      <x:c r="AG1359" s="0"/>
      <x:c r="AH1359" s="0"/>
      <x:c r="AI1359" s="0"/>
      <x:c r="AJ1359" s="0"/>
      <x:c r="AK1359" s="0"/>
    </x:row>
    <x:row r="1360">
      <x:c r="A1360" t="str" s="2">
        <x:f>=HYPERLINK("https://rsms.futurehomex.com/lead/39955", "Katina Green")</x:f>
      </x:c>
      <x:c r="B1360" t="n" s="2">
        <x:v>31</x:v>
      </x:c>
      <x:c r="C1360" t="str" s="2">
        <x:v>0/2</x:v>
      </x:c>
      <x:c r="D1360" t="str" s="2">
        <x:f>=""</x:f>
      </x:c>
      <x:c r="E1360" s="0"/>
      <x:c r="F1360" t="str" s="2">
        <x:v>Youtube</x:v>
      </x:c>
      <x:c r="G1360" t="str" s="2">
        <x:v>Heritage Housing of Oklahoma City</x:v>
      </x:c>
      <x:c r="H1360" t="str" s="2">
        <x:v>Trey Rixleben</x:v>
      </x:c>
      <x:c r="I1360" s="0"/>
      <x:c r="J1360" t="str" s="2">
        <x:v>Trey Rixleben</x:v>
      </x:c>
      <x:c r="K1360" t="n" s="2">
        <x:v>5</x:v>
      </x:c>
      <x:c r="L1360" t="str" s="2">
        <x:v>1.1</x:v>
      </x:c>
      <x:c r="M1360" t="str" s="2">
        <x:v>Dead</x:v>
      </x:c>
      <x:c r="N1360" t="str" s="2">
        <x:v>Deal Created</x:v>
      </x:c>
      <x:c r="O1360" s="0"/>
      <x:c r="P1360" s="6">
        <x:v>46277</x:v>
      </x:c>
      <x:c r="Q1360" s="6">
        <x:v>46291.768091631944</x:v>
      </x:c>
      <x:c r="R1360" s="0"/>
      <x:c r="S1360" s="0"/>
      <x:c r="T1360" s="0"/>
      <x:c r="U1360" s="0"/>
      <x:c r="V1360" s="0"/>
      <x:c r="W1360" s="0"/>
      <x:c r="X1360" t="str" s="2">
        <x:v>4056564875</x:v>
      </x:c>
      <x:c r="Y1360" t="str" s="2">
        <x:v>katinargreen@gmail.com</x:v>
      </x:c>
      <x:c r="Z1360" s="6">
        <x:v>46295.682005092596</x:v>
      </x:c>
      <x:c r="AA1360" t="str" s="2">
        <x:v>Richard Bell</x:v>
      </x:c>
      <x:c r="AB1360" s="6">
        <x:v>46277.84558376158</x:v>
      </x:c>
      <x:c r="AC1360" t="n" s="2">
        <x:v>39955</x:v>
      </x:c>
      <x:c r="AD1360" s="0"/>
      <x:c r="AE1360" s="0"/>
      <x:c r="AF1360" s="0"/>
      <x:c r="AG1360" s="0"/>
      <x:c r="AH1360" s="0"/>
      <x:c r="AI1360" s="0"/>
      <x:c r="AJ1360" s="0"/>
      <x:c r="AK1360" s="0"/>
    </x:row>
    <x:row r="1361">
      <x:c r="A1361" t="str" s="2">
        <x:f>=HYPERLINK("https://rsms.futurehomex.com/lead/39956", "Rainey Linville")</x:f>
      </x:c>
      <x:c r="B1361" t="n" s="2">
        <x:v>31</x:v>
      </x:c>
      <x:c r="C1361" t="str" s="2">
        <x:v>1/1</x:v>
      </x:c>
      <x:c r="D1361" t="str" s="2">
        <x:f>=""</x:f>
      </x:c>
      <x:c r="E1361" s="0"/>
      <x:c r="F1361" t="str" s="2">
        <x:v>Website</x:v>
      </x:c>
      <x:c r="G1361" t="str" s="2">
        <x:v>Heritage Housing of Oklahoma City</x:v>
      </x:c>
      <x:c r="H1361" t="str" s="2">
        <x:v>Trey Rixleben</x:v>
      </x:c>
      <x:c r="I1361" s="0"/>
      <x:c r="J1361" t="str" s="2">
        <x:v>Trey Rixleben</x:v>
      </x:c>
      <x:c r="K1361" t="n" s="2">
        <x:v>5</x:v>
      </x:c>
      <x:c r="L1361" t="str" s="2">
        <x:v>1.1</x:v>
      </x:c>
      <x:c r="M1361" t="str" s="2">
        <x:v>Tentative</x:v>
      </x:c>
      <x:c r="N1361" t="str" s="2">
        <x:v>Deal Created</x:v>
      </x:c>
      <x:c r="O1361" s="0"/>
      <x:c r="P1361" s="6">
        <x:v>46277</x:v>
      </x:c>
      <x:c r="Q1361" s="6">
        <x:v>46296.86102276621</x:v>
      </x:c>
      <x:c r="R1361" s="0"/>
      <x:c r="S1361" s="0"/>
      <x:c r="T1361" s="0"/>
      <x:c r="U1361" s="0"/>
      <x:c r="V1361" s="0"/>
      <x:c r="W1361" s="0"/>
      <x:c r="X1361" t="str" s="2">
        <x:v>9183603952</x:v>
      </x:c>
      <x:c r="Y1361" t="str" s="2">
        <x:v>linvillerainey@gmail.com</x:v>
      </x:c>
      <x:c r="Z1361" s="6">
        <x:v>46296.8625341088</x:v>
      </x:c>
      <x:c r="AA1361" t="str" s="2">
        <x:v>Trey Rixleben</x:v>
      </x:c>
      <x:c r="AB1361" s="6">
        <x:v>46277.848446331016</x:v>
      </x:c>
      <x:c r="AC1361" t="n" s="2">
        <x:v>39956</x:v>
      </x:c>
      <x:c r="AD1361" s="0"/>
      <x:c r="AE1361" s="0"/>
      <x:c r="AF1361" s="0"/>
      <x:c r="AG1361" s="0"/>
      <x:c r="AH1361" s="0"/>
      <x:c r="AI1361" s="0"/>
      <x:c r="AJ1361" s="0"/>
      <x:c r="AK1361" s="0"/>
    </x:row>
    <x:row r="1362">
      <x:c r="A1362" t="str" s="2">
        <x:f>=HYPERLINK("https://rsms.futurehomex.com/lead/39957", "Lisa Smith")</x:f>
      </x:c>
      <x:c r="B1362" t="n" s="2">
        <x:v>31</x:v>
      </x:c>
      <x:c r="C1362" t="str" s="2">
        <x:v>1/1</x:v>
      </x:c>
      <x:c r="D1362" t="str" s="2">
        <x:f>=""</x:f>
      </x:c>
      <x:c r="E1362" s="0"/>
      <x:c r="F1362" t="str" s="2">
        <x:v>Website</x:v>
      </x:c>
      <x:c r="G1362" t="str" s="2">
        <x:v>Heritage Housing of Oklahoma City</x:v>
      </x:c>
      <x:c r="H1362" t="str" s="2">
        <x:v>Trey Rixleben</x:v>
      </x:c>
      <x:c r="I1362" s="0"/>
      <x:c r="J1362" t="str" s="2">
        <x:v>Trey Rixleben</x:v>
      </x:c>
      <x:c r="K1362" t="n" s="2">
        <x:v>5</x:v>
      </x:c>
      <x:c r="L1362" t="str" s="2">
        <x:v>1.1</x:v>
      </x:c>
      <x:c r="M1362" t="str" s="2">
        <x:v>Tentative</x:v>
      </x:c>
      <x:c r="N1362" t="str" s="2">
        <x:v>Deal Created</x:v>
      </x:c>
      <x:c r="O1362" s="0"/>
      <x:c r="P1362" s="6">
        <x:v>46277</x:v>
      </x:c>
      <x:c r="Q1362" s="6">
        <x:v>46297.70628283565</x:v>
      </x:c>
      <x:c r="R1362" s="0"/>
      <x:c r="S1362" s="0"/>
      <x:c r="T1362" s="0"/>
      <x:c r="U1362" s="0"/>
      <x:c r="V1362" s="0"/>
      <x:c r="W1362" s="0"/>
      <x:c r="X1362" t="str" s="2">
        <x:v>9186237739</x:v>
      </x:c>
      <x:c r="Y1362" t="str" s="2">
        <x:v>windchime05@yahoo.com</x:v>
      </x:c>
      <x:c r="Z1362" s="6">
        <x:v>46297.70689108796</x:v>
      </x:c>
      <x:c r="AA1362" t="str" s="2">
        <x:v>Trey Rixleben</x:v>
      </x:c>
      <x:c r="AB1362" s="6">
        <x:v>46277.85090844907</x:v>
      </x:c>
      <x:c r="AC1362" t="n" s="2">
        <x:v>39957</x:v>
      </x:c>
      <x:c r="AD1362" s="0"/>
      <x:c r="AE1362" s="0"/>
      <x:c r="AF1362" s="0"/>
      <x:c r="AG1362" s="0"/>
      <x:c r="AH1362" s="0"/>
      <x:c r="AI1362" s="0"/>
      <x:c r="AJ1362" s="0"/>
      <x:c r="AK1362" s="0"/>
    </x:row>
    <x:row r="1363">
      <x:c r="A1363" t="str" s="2">
        <x:f>=HYPERLINK("https://rsms.futurehomex.com/lead/39958", "Luis Torres")</x:f>
      </x:c>
      <x:c r="B1363" t="n" s="2">
        <x:v>31</x:v>
      </x:c>
      <x:c r="C1363" t="str" s="2">
        <x:v>1/1</x:v>
      </x:c>
      <x:c r="D1363" t="str" s="2">
        <x:f>=""</x:f>
      </x:c>
      <x:c r="E1363" s="0"/>
      <x:c r="F1363" t="str" s="2">
        <x:v>Walk-in</x:v>
      </x:c>
      <x:c r="G1363" t="str" s="2">
        <x:v>Legacy Housing Corp. DBA Americasa</x:v>
      </x:c>
      <x:c r="H1363" t="str" s="2">
        <x:v>Joey Marquez</x:v>
      </x:c>
      <x:c r="I1363" t="str" s="2">
        <x:v>Karol Romero</x:v>
      </x:c>
      <x:c r="J1363" t="str" s="2">
        <x:v>Rodrigo Ramirez</x:v>
      </x:c>
      <x:c r="K1363" t="n" s="2">
        <x:v>5</x:v>
      </x:c>
      <x:c r="L1363" t="str" s="2">
        <x:v>1.1</x:v>
      </x:c>
      <x:c r="M1363" t="str" s="2">
        <x:v>Inactive</x:v>
      </x:c>
      <x:c r="N1363" t="str" s="2">
        <x:v>Deal Created</x:v>
      </x:c>
      <x:c r="O1363" s="0"/>
      <x:c r="P1363" s="6">
        <x:v>46277</x:v>
      </x:c>
      <x:c r="Q1363" s="6">
        <x:v>46277.85294899306</x:v>
      </x:c>
      <x:c r="R1363" s="0"/>
      <x:c r="S1363" s="6">
        <x:v>46277</x:v>
      </x:c>
      <x:c r="T1363" s="0"/>
      <x:c r="U1363" s="0"/>
      <x:c r="V1363" s="0"/>
      <x:c r="W1363" s="0"/>
      <x:c r="X1363" t="str" s="2">
        <x:v>3465813599</x:v>
      </x:c>
      <x:c r="Y1363" t="str" s="2">
        <x:v>3465813599</x:v>
      </x:c>
      <x:c r="Z1363" s="6">
        <x:v>46277.87451689815</x:v>
      </x:c>
      <x:c r="AA1363" t="str" s="2">
        <x:v>Rodrigo Ramirez</x:v>
      </x:c>
      <x:c r="AB1363" s="6">
        <x:v>46277.852950381945</x:v>
      </x:c>
      <x:c r="AC1363" t="n" s="2">
        <x:v>39958</x:v>
      </x:c>
      <x:c r="AD1363" s="0"/>
      <x:c r="AE1363" s="0"/>
      <x:c r="AF1363" s="0"/>
      <x:c r="AG1363" s="0"/>
      <x:c r="AH1363" s="0"/>
      <x:c r="AI1363" s="0"/>
      <x:c r="AJ1363" s="0"/>
      <x:c r="AK1363" s="0"/>
    </x:row>
    <x:row r="1364">
      <x:c r="A1364" t="str" s="2">
        <x:f>=HYPERLINK("https://rsms.futurehomex.com/lead/39959", "Dan Mullenix")</x:f>
      </x:c>
      <x:c r="B1364" t="n" s="2">
        <x:v>31</x:v>
      </x:c>
      <x:c r="C1364" t="str" s="2">
        <x:v>1/2</x:v>
      </x:c>
      <x:c r="D1364" t="str" s="2">
        <x:f>=""</x:f>
      </x:c>
      <x:c r="E1364" s="0"/>
      <x:c r="F1364" t="str" s="2">
        <x:v>Facebook Messenger</x:v>
      </x:c>
      <x:c r="G1364" t="str" s="2">
        <x:v>Heritage Housing of Oklahoma City</x:v>
      </x:c>
      <x:c r="H1364" t="str" s="2">
        <x:v>Eva Misheva</x:v>
      </x:c>
      <x:c r="I1364" s="0"/>
      <x:c r="J1364" s="0"/>
      <x:c r="K1364" t="n" s="2">
        <x:v>5</x:v>
      </x:c>
      <x:c r="L1364" t="str" s="2">
        <x:v>1.1</x:v>
      </x:c>
      <x:c r="M1364" t="str" s="2">
        <x:v>Tentative</x:v>
      </x:c>
      <x:c r="N1364" t="str" s="2">
        <x:v>Prospect</x:v>
      </x:c>
      <x:c r="O1364" s="0"/>
      <x:c r="P1364" s="6">
        <x:v>46277</x:v>
      </x:c>
      <x:c r="Q1364" s="6">
        <x:v>46277.85779598379</x:v>
      </x:c>
      <x:c r="R1364" s="0"/>
      <x:c r="S1364" s="0"/>
      <x:c r="T1364" s="0"/>
      <x:c r="U1364" s="0"/>
      <x:c r="V1364" s="0"/>
      <x:c r="W1364" s="0"/>
      <x:c r="X1364" t="str" s="2">
        <x:v>4056594089</x:v>
      </x:c>
      <x:c r="Y1364" t="str" s="2">
        <x:v>dirtwerxok@gmail.com</x:v>
      </x:c>
      <x:c r="Z1364" s="6">
        <x:v>46300.65501304398</x:v>
      </x:c>
      <x:c r="AA1364" t="str" s="2">
        <x:v>Eva Misheva</x:v>
      </x:c>
      <x:c r="AB1364" s="6">
        <x:v>46277.85779771991</x:v>
      </x:c>
      <x:c r="AC1364" t="n" s="2">
        <x:v>39959</x:v>
      </x:c>
      <x:c r="AD1364" s="0"/>
      <x:c r="AE1364" s="0"/>
      <x:c r="AF1364" s="0"/>
      <x:c r="AG1364" s="0"/>
      <x:c r="AH1364" s="0"/>
      <x:c r="AI1364" s="0"/>
      <x:c r="AJ1364" s="0"/>
      <x:c r="AK1364" s="0"/>
    </x:row>
    <x:row r="1365">
      <x:c r="A1365" t="str" s="2">
        <x:f>=HYPERLINK("https://rsms.futurehomex.com/lead/39960", "Allie scarbrough")</x:f>
      </x:c>
      <x:c r="B1365" t="n" s="2">
        <x:v>31</x:v>
      </x:c>
      <x:c r="C1365" t="str" s="2">
        <x:v/>
      </x:c>
      <x:c r="D1365" t="str" s="2">
        <x:f>=""</x:f>
      </x:c>
      <x:c r="E1365" s="0"/>
      <x:c r="F1365" t="str" s="2">
        <x:v>Landing_BPM</x:v>
      </x:c>
      <x:c r="G1365" t="str" s="2">
        <x:v>Heritage Housing of Oklahoma City</x:v>
      </x:c>
      <x:c r="H1365" t="str" s="2">
        <x:v>Trey Rixleben</x:v>
      </x:c>
      <x:c r="I1365" s="0"/>
      <x:c r="J1365" t="str" s="2">
        <x:v>Trey Rixleben</x:v>
      </x:c>
      <x:c r="K1365" t="n" s="2">
        <x:v>5</x:v>
      </x:c>
      <x:c r="L1365" t="str" s="2">
        <x:v>1.1</x:v>
      </x:c>
      <x:c r="M1365" t="str" s="2">
        <x:v>Tentative</x:v>
      </x:c>
      <x:c r="N1365" t="str" s="2">
        <x:v>Deal Created</x:v>
      </x:c>
      <x:c r="O1365" s="0"/>
      <x:c r="P1365" s="6">
        <x:v>46277</x:v>
      </x:c>
      <x:c r="Q1365" s="6">
        <x:v>46277.87603769676</x:v>
      </x:c>
      <x:c r="R1365" s="0"/>
      <x:c r="S1365" s="0"/>
      <x:c r="T1365" s="0"/>
      <x:c r="U1365" s="0"/>
      <x:c r="V1365" s="0"/>
      <x:c r="W1365" s="0"/>
      <x:c r="X1365" t="str" s="2">
        <x:v>4052205390</x:v>
      </x:c>
      <x:c r="Y1365" t="str" s="2">
        <x:v>alliescarbrough1@gmail.com</x:v>
      </x:c>
      <x:c r="Z1365" s="0"/>
      <x:c r="AA1365" s="0"/>
      <x:c r="AB1365" s="6">
        <x:v>46277.875711458335</x:v>
      </x:c>
      <x:c r="AC1365" t="n" s="2">
        <x:v>39960</x:v>
      </x:c>
      <x:c r="AD1365" s="0"/>
      <x:c r="AE1365" s="0"/>
      <x:c r="AF1365" s="0"/>
      <x:c r="AG1365" s="0"/>
      <x:c r="AH1365" s="0"/>
      <x:c r="AI1365" s="0"/>
      <x:c r="AJ1365" s="0"/>
      <x:c r="AK1365" s="0"/>
    </x:row>
    <x:row r="1366">
      <x:c r="A1366" t="str" s="2">
        <x:f>=HYPERLINK("https://rsms.futurehomex.com/lead/39961", "Shanderrian Shanderrian")</x:f>
      </x:c>
      <x:c r="B1366" t="n" s="2">
        <x:v>31</x:v>
      </x:c>
      <x:c r="C1366" t="str" s="2">
        <x:v>0/2</x:v>
      </x:c>
      <x:c r="D1366" t="str" s="2">
        <x:f>=""</x:f>
      </x:c>
      <x:c r="E1366" s="0"/>
      <x:c r="F1366" t="str" s="2">
        <x:v>Walk-in</x:v>
      </x:c>
      <x:c r="G1366" t="str" s="2">
        <x:v>Heritage Housing of Oklahoma City</x:v>
      </x:c>
      <x:c r="H1366" t="str" s="2">
        <x:v>Alejandra Calderon</x:v>
      </x:c>
      <x:c r="I1366" t="str" s="2">
        <x:v>Karol Romero</x:v>
      </x:c>
      <x:c r="J1366" s="0"/>
      <x:c r="K1366" t="n" s="2">
        <x:v>5</x:v>
      </x:c>
      <x:c r="L1366" t="str" s="2">
        <x:v>1.1</x:v>
      </x:c>
      <x:c r="M1366" t="str" s="2">
        <x:v>Dead</x:v>
      </x:c>
      <x:c r="N1366" t="str" s="2">
        <x:v>Prospect</x:v>
      </x:c>
      <x:c r="O1366" s="0"/>
      <x:c r="P1366" s="6">
        <x:v>46277</x:v>
      </x:c>
      <x:c r="Q1366" s="6">
        <x:v>46277.89740732639</x:v>
      </x:c>
      <x:c r="R1366" s="0"/>
      <x:c r="S1366" s="6">
        <x:v>46277</x:v>
      </x:c>
      <x:c r="T1366" s="0"/>
      <x:c r="U1366" s="0"/>
      <x:c r="V1366" s="0"/>
      <x:c r="W1366" s="0"/>
      <x:c r="X1366" t="str" s="2">
        <x:v>4055374760</x:v>
      </x:c>
      <x:c r="Y1366" t="str" s="2">
        <x:v>4055374760</x:v>
      </x:c>
      <x:c r="Z1366" s="6">
        <x:v>46296.96045046296</x:v>
      </x:c>
      <x:c r="AA1366" t="str" s="2">
        <x:v>Alejandra Calderon</x:v>
      </x:c>
      <x:c r="AB1366" s="6">
        <x:v>46277.897409108795</x:v>
      </x:c>
      <x:c r="AC1366" t="n" s="2">
        <x:v>39961</x:v>
      </x:c>
      <x:c r="AD1366" s="0"/>
      <x:c r="AE1366" s="0"/>
      <x:c r="AF1366" s="0"/>
      <x:c r="AG1366" s="0"/>
      <x:c r="AH1366" s="0"/>
      <x:c r="AI1366" s="0"/>
      <x:c r="AJ1366" s="0"/>
      <x:c r="AK1366" s="0"/>
    </x:row>
    <x:row r="1367">
      <x:c r="A1367" t="str" s="2">
        <x:f>=HYPERLINK("https://rsms.futurehomex.com/lead/39962", "Bonzieta Yanits")</x:f>
      </x:c>
      <x:c r="B1367" t="n" s="2">
        <x:v>31</x:v>
      </x:c>
      <x:c r="C1367" t="str" s="2">
        <x:v>1/1</x:v>
      </x:c>
      <x:c r="D1367" t="str" s="2">
        <x:f>=""</x:f>
      </x:c>
      <x:c r="E1367" s="0"/>
      <x:c r="F1367" t="str" s="2">
        <x:v>Facebook Messenger</x:v>
      </x:c>
      <x:c r="G1367" t="str" s="2">
        <x:v>Heritage Housing of Oklahoma City</x:v>
      </x:c>
      <x:c r="H1367" t="str" s="2">
        <x:v>Eva Misheva</x:v>
      </x:c>
      <x:c r="I1367" s="0"/>
      <x:c r="J1367" s="0"/>
      <x:c r="K1367" t="n" s="2">
        <x:v>5</x:v>
      </x:c>
      <x:c r="L1367" t="str" s="2">
        <x:v>1.1</x:v>
      </x:c>
      <x:c r="M1367" t="str" s="2">
        <x:v>Tentative</x:v>
      </x:c>
      <x:c r="N1367" t="str" s="2">
        <x:v>Prospect</x:v>
      </x:c>
      <x:c r="O1367" s="0"/>
      <x:c r="P1367" s="6">
        <x:v>46277</x:v>
      </x:c>
      <x:c r="Q1367" s="6">
        <x:v>46277.89905605324</x:v>
      </x:c>
      <x:c r="R1367" s="0"/>
      <x:c r="S1367" s="0"/>
      <x:c r="T1367" s="0"/>
      <x:c r="U1367" s="0"/>
      <x:c r="V1367" s="0"/>
      <x:c r="W1367" s="0"/>
      <x:c r="X1367" t="str" s="2">
        <x:v>4055006482</x:v>
      </x:c>
      <x:c r="Y1367" t="str" s="2">
        <x:v>4055006482</x:v>
      </x:c>
      <x:c r="Z1367" s="6">
        <x:v>46285.855820219906</x:v>
      </x:c>
      <x:c r="AA1367" t="str" s="2">
        <x:v>Eva Misheva</x:v>
      </x:c>
      <x:c r="AB1367" s="6">
        <x:v>46277.89905744213</x:v>
      </x:c>
      <x:c r="AC1367" t="n" s="2">
        <x:v>39962</x:v>
      </x:c>
      <x:c r="AD1367" s="0"/>
      <x:c r="AE1367" s="0"/>
      <x:c r="AF1367" s="0"/>
      <x:c r="AG1367" s="0"/>
      <x:c r="AH1367" s="0"/>
      <x:c r="AI1367" s="0"/>
      <x:c r="AJ1367" s="0"/>
      <x:c r="AK1367" s="0"/>
    </x:row>
    <x:row r="1368">
      <x:c r="A1368" t="str" s="2">
        <x:f>=HYPERLINK("https://rsms.futurehomex.com/lead/39963", "Kenley Sandlin")</x:f>
      </x:c>
      <x:c r="B1368" t="n" s="2">
        <x:v>31</x:v>
      </x:c>
      <x:c r="C1368" t="str" s="2">
        <x:v>1/4</x:v>
      </x:c>
      <x:c r="D1368" t="str" s="2">
        <x:f>=""</x:f>
      </x:c>
      <x:c r="E1368" s="0"/>
      <x:c r="F1368" t="str" s="2">
        <x:v>Landing_BPM</x:v>
      </x:c>
      <x:c r="G1368" t="str" s="2">
        <x:v>Heritage Housing of Oklahoma City</x:v>
      </x:c>
      <x:c r="H1368" t="str" s="2">
        <x:v>Steve Castell</x:v>
      </x:c>
      <x:c r="I1368" s="0"/>
      <x:c r="J1368" t="str" s="2">
        <x:v>Steve Castell</x:v>
      </x:c>
      <x:c r="K1368" t="n" s="2">
        <x:v>5</x:v>
      </x:c>
      <x:c r="L1368" t="str" s="2">
        <x:v>1.1</x:v>
      </x:c>
      <x:c r="M1368" t="str" s="2">
        <x:v>Tentative</x:v>
      </x:c>
      <x:c r="N1368" t="str" s="2">
        <x:v>Deal Created</x:v>
      </x:c>
      <x:c r="O1368" s="0"/>
      <x:c r="P1368" s="6">
        <x:v>46277</x:v>
      </x:c>
      <x:c r="Q1368" s="6">
        <x:v>46277.9237943287</x:v>
      </x:c>
      <x:c r="R1368" s="0"/>
      <x:c r="S1368" s="0"/>
      <x:c r="T1368" s="0"/>
      <x:c r="U1368" s="0"/>
      <x:c r="V1368" s="0"/>
      <x:c r="W1368" s="0"/>
      <x:c r="X1368" t="str" s="2">
        <x:v>5803207464</x:v>
      </x:c>
      <x:c r="Y1368" t="str" s="2">
        <x:v>kenleysandlin08@icloud.com</x:v>
      </x:c>
      <x:c r="Z1368" s="6">
        <x:v>46301.95305471065</x:v>
      </x:c>
      <x:c r="AA1368" t="str" s="2">
        <x:v>Steve Castell</x:v>
      </x:c>
      <x:c r="AB1368" s="6">
        <x:v>46277.92305798611</x:v>
      </x:c>
      <x:c r="AC1368" t="n" s="2">
        <x:v>39963</x:v>
      </x:c>
      <x:c r="AD1368" s="0"/>
      <x:c r="AE1368" s="0"/>
      <x:c r="AF1368" s="0"/>
      <x:c r="AG1368" s="0"/>
      <x:c r="AH1368" s="0"/>
      <x:c r="AI1368" s="0"/>
      <x:c r="AJ1368" s="0"/>
      <x:c r="AK1368" s="0"/>
    </x:row>
    <x:row r="1369">
      <x:c r="A1369" t="str" s="2">
        <x:f>=HYPERLINK("https://rsms.futurehomex.com/lead/39964", "Gabriel Kelly")</x:f>
      </x:c>
      <x:c r="B1369" t="n" s="2">
        <x:v>31</x:v>
      </x:c>
      <x:c r="C1369" t="str" s="2">
        <x:v/>
      </x:c>
      <x:c r="D1369" t="str" s="2">
        <x:f>=""</x:f>
      </x:c>
      <x:c r="E1369" s="0"/>
      <x:c r="F1369" t="str" s="2">
        <x:v>Office Hot Calls</x:v>
      </x:c>
      <x:c r="G1369" t="str" s="2">
        <x:v>Heritage Housing Mt Pleasant</x:v>
      </x:c>
      <x:c r="H1369" t="str" s="2">
        <x:v>Yarelis Torres</x:v>
      </x:c>
      <x:c r="I1369" s="0"/>
      <x:c r="J1369" t="str" s="2">
        <x:v>Yarelis Torres</x:v>
      </x:c>
      <x:c r="K1369" t="n" s="2">
        <x:v>5</x:v>
      </x:c>
      <x:c r="L1369" t="str" s="2">
        <x:v>1.1</x:v>
      </x:c>
      <x:c r="M1369" t="str" s="2">
        <x:v>Tentative</x:v>
      </x:c>
      <x:c r="N1369" t="str" s="2">
        <x:v>Deal Created</x:v>
      </x:c>
      <x:c r="O1369" s="0"/>
      <x:c r="P1369" s="6">
        <x:v>46277</x:v>
      </x:c>
      <x:c r="Q1369" s="6">
        <x:v>46286.73540748843</x:v>
      </x:c>
      <x:c r="R1369" s="0"/>
      <x:c r="S1369" s="0"/>
      <x:c r="T1369" s="0"/>
      <x:c r="U1369" s="0"/>
      <x:c r="V1369" s="0"/>
      <x:c r="W1369" s="0"/>
      <x:c r="X1369" t="str" s="2">
        <x:v>9038530753</x:v>
      </x:c>
      <x:c r="Y1369" t="str" s="2">
        <x:v>9038530753</x:v>
      </x:c>
      <x:c r="Z1369" s="6">
        <x:v>46283.99754186343</x:v>
      </x:c>
      <x:c r="AA1369" t="str" s="2">
        <x:v>Yarelis Torres</x:v>
      </x:c>
      <x:c r="AB1369" s="6">
        <x:v>46277.93460972222</x:v>
      </x:c>
      <x:c r="AC1369" t="n" s="2">
        <x:v>39964</x:v>
      </x:c>
      <x:c r="AD1369" s="0"/>
      <x:c r="AE1369" s="0"/>
      <x:c r="AF1369" s="0"/>
      <x:c r="AG1369" s="0"/>
      <x:c r="AH1369" s="0"/>
      <x:c r="AI1369" s="0"/>
      <x:c r="AJ1369" s="0"/>
      <x:c r="AK1369" s="0"/>
    </x:row>
    <x:row r="1370">
      <x:c r="A1370" t="str" s="2">
        <x:f>=HYPERLINK("https://rsms.futurehomex.com/lead/39965", "Jakob Cox")</x:f>
      </x:c>
      <x:c r="B1370" t="n" s="2">
        <x:v>30</x:v>
      </x:c>
      <x:c r="C1370" t="str" s="2">
        <x:v>0/2</x:v>
      </x:c>
      <x:c r="D1370" t="str" s="2">
        <x:f>=""</x:f>
      </x:c>
      <x:c r="E1370" s="0"/>
      <x:c r="F1370" t="str" s="2">
        <x:v>Landing_BPM</x:v>
      </x:c>
      <x:c r="G1370" t="str" s="2">
        <x:v>Heritage Housing of Oklahoma City</x:v>
      </x:c>
      <x:c r="H1370" t="str" s="2">
        <x:v>Steve Castell</x:v>
      </x:c>
      <x:c r="I1370" s="0"/>
      <x:c r="J1370" t="str" s="2">
        <x:v>Steve Castell</x:v>
      </x:c>
      <x:c r="K1370" t="n" s="2">
        <x:v>5</x:v>
      </x:c>
      <x:c r="L1370" t="str" s="2">
        <x:v>1.1</x:v>
      </x:c>
      <x:c r="M1370" t="str" s="2">
        <x:v>Inactive</x:v>
      </x:c>
      <x:c r="N1370" t="str" s="2">
        <x:v>Deal Created</x:v>
      </x:c>
      <x:c r="O1370" s="0"/>
      <x:c r="P1370" s="6">
        <x:v>46278</x:v>
      </x:c>
      <x:c r="Q1370" s="6">
        <x:v>46278.074557175925</x:v>
      </x:c>
      <x:c r="R1370" s="0"/>
      <x:c r="S1370" s="0"/>
      <x:c r="T1370" s="0"/>
      <x:c r="U1370" s="0"/>
      <x:c r="V1370" s="0"/>
      <x:c r="W1370" s="0"/>
      <x:c r="X1370" t="str" s="2">
        <x:v>4052135099</x:v>
      </x:c>
      <x:c r="Y1370" t="str" s="2">
        <x:v>neonnarwhal37@gmail.com</x:v>
      </x:c>
      <x:c r="Z1370" s="6">
        <x:v>46287.63863310185</x:v>
      </x:c>
      <x:c r="AA1370" t="str" s="2">
        <x:v>Steve Castell</x:v>
      </x:c>
      <x:c r="AB1370" s="6">
        <x:v>46278.07380802083</x:v>
      </x:c>
      <x:c r="AC1370" t="n" s="2">
        <x:v>39965</x:v>
      </x:c>
      <x:c r="AD1370" s="0"/>
      <x:c r="AE1370" s="0"/>
      <x:c r="AF1370" s="0"/>
      <x:c r="AG1370" s="0"/>
      <x:c r="AH1370" s="0"/>
      <x:c r="AI1370" s="0"/>
      <x:c r="AJ1370" s="0"/>
      <x:c r="AK1370" s="0"/>
    </x:row>
    <x:row r="1371">
      <x:c r="A1371" t="str" s="2">
        <x:f>=HYPERLINK("https://rsms.futurehomex.com/lead/39966", "FRANCISCO ANTONIO REYES ANGEL")</x:f>
      </x:c>
      <x:c r="B1371" t="n" s="2">
        <x:v>30</x:v>
      </x:c>
      <x:c r="C1371" t="str" s="2">
        <x:v>0/2</x:v>
      </x:c>
      <x:c r="D1371" t="str" s="2">
        <x:f>=""</x:f>
      </x:c>
      <x:c r="E1371" s="0"/>
      <x:c r="F1371" t="str" s="2">
        <x:v>Terrenos Houston</x:v>
      </x:c>
      <x:c r="G1371" t="str" s="2">
        <x:v>Legacy Housing Corp. DBA Americasa</x:v>
      </x:c>
      <x:c r="H1371" t="str" s="2">
        <x:v>Joey Marquez</x:v>
      </x:c>
      <x:c r="I1371" t="str" s="2">
        <x:v>Karol Romero</x:v>
      </x:c>
      <x:c r="J1371" s="0"/>
      <x:c r="K1371" t="n" s="2">
        <x:v>5</x:v>
      </x:c>
      <x:c r="L1371" t="str" s="2">
        <x:v>1.1</x:v>
      </x:c>
      <x:c r="M1371" t="str" s="2">
        <x:v>Tentative</x:v>
      </x:c>
      <x:c r="N1371" t="str" s="2">
        <x:v>Prospect</x:v>
      </x:c>
      <x:c r="O1371" s="0"/>
      <x:c r="P1371" s="6">
        <x:v>46278</x:v>
      </x:c>
      <x:c r="Q1371" s="6">
        <x:v>46280.73461940972</x:v>
      </x:c>
      <x:c r="R1371" s="0"/>
      <x:c r="S1371" s="0"/>
      <x:c r="T1371" s="0"/>
      <x:c r="U1371" s="0"/>
      <x:c r="V1371" s="0"/>
      <x:c r="W1371" s="0"/>
      <x:c r="X1371" t="str" s="2">
        <x:v>8325197412</x:v>
      </x:c>
      <x:c r="Y1371" t="str" s="2">
        <x:v>freyesangel70@gmail.com</x:v>
      </x:c>
      <x:c r="Z1371" s="6">
        <x:v>46281.7503974537</x:v>
      </x:c>
      <x:c r="AA1371" t="str" s="2">
        <x:v>Victoria Sanchez</x:v>
      </x:c>
      <x:c r="AB1371" s="6">
        <x:v>46278.63674097222</x:v>
      </x:c>
      <x:c r="AC1371" t="n" s="2">
        <x:v>39966</x:v>
      </x:c>
      <x:c r="AD1371" s="0"/>
      <x:c r="AE1371" s="0"/>
      <x:c r="AF1371" s="0"/>
      <x:c r="AG1371" s="0"/>
      <x:c r="AH1371" s="0"/>
      <x:c r="AI1371" s="0"/>
      <x:c r="AJ1371" s="0"/>
      <x:c r="AK1371" s="0"/>
    </x:row>
    <x:row r="1372">
      <x:c r="A1372" t="str" s="2">
        <x:f>=HYPERLINK("https://rsms.futurehomex.com/lead/39969", "Jorgey St John")</x:f>
      </x:c>
      <x:c r="B1372" t="n" s="2">
        <x:v>30</x:v>
      </x:c>
      <x:c r="C1372" t="str" s="2">
        <x:v>0/1</x:v>
      </x:c>
      <x:c r="D1372" t="str" s="2">
        <x:f>=""</x:f>
      </x:c>
      <x:c r="E1372" s="0"/>
      <x:c r="F1372" t="str" s="2">
        <x:v>Facebook Messenger</x:v>
      </x:c>
      <x:c r="G1372" t="str" s="2">
        <x:v>Heritage Housing of Oklahoma City</x:v>
      </x:c>
      <x:c r="H1372" t="str" s="2">
        <x:v>Trey Rixleben</x:v>
      </x:c>
      <x:c r="I1372" s="0"/>
      <x:c r="J1372" s="0"/>
      <x:c r="K1372" t="n" s="2">
        <x:v>5</x:v>
      </x:c>
      <x:c r="L1372" t="str" s="2">
        <x:v>1.1</x:v>
      </x:c>
      <x:c r="M1372" t="str" s="2">
        <x:v>Tentative</x:v>
      </x:c>
      <x:c r="N1372" t="str" s="2">
        <x:v>Prospect</x:v>
      </x:c>
      <x:c r="O1372" s="0"/>
      <x:c r="P1372" s="6">
        <x:v>46278</x:v>
      </x:c>
      <x:c r="Q1372" s="6">
        <x:v>46278.919906793984</x:v>
      </x:c>
      <x:c r="R1372" s="0"/>
      <x:c r="S1372" s="6">
        <x:v>46278</x:v>
      </x:c>
      <x:c r="T1372" s="0"/>
      <x:c r="U1372" s="0"/>
      <x:c r="V1372" s="0"/>
      <x:c r="W1372" s="0"/>
      <x:c r="X1372" t="str" s="2">
        <x:v>9893312881</x:v>
      </x:c>
      <x:c r="Y1372" t="str" s="2">
        <x:v>9893312881</x:v>
      </x:c>
      <x:c r="Z1372" s="6">
        <x:v>46300.75508159722</x:v>
      </x:c>
      <x:c r="AA1372" t="str" s="2">
        <x:v>Richard Bell</x:v>
      </x:c>
      <x:c r="AB1372" s="6">
        <x:v>46300.75483229167</x:v>
      </x:c>
      <x:c r="AC1372" t="n" s="2">
        <x:v>39969</x:v>
      </x:c>
      <x:c r="AD1372" s="0"/>
      <x:c r="AE1372" s="0"/>
      <x:c r="AF1372" s="0"/>
      <x:c r="AG1372" s="0"/>
      <x:c r="AH1372" s="0"/>
      <x:c r="AI1372" s="0"/>
      <x:c r="AJ1372" s="0"/>
      <x:c r="AK1372" s="0"/>
    </x:row>
    <x:row r="1373">
      <x:c r="A1373" t="str" s="2">
        <x:f>=HYPERLINK("https://rsms.futurehomex.com/lead/39970", "Russell Haley")</x:f>
      </x:c>
      <x:c r="B1373" t="n" s="2">
        <x:v>29</x:v>
      </x:c>
      <x:c r="C1373" t="str" s="2">
        <x:v/>
      </x:c>
      <x:c r="D1373" t="str" s="2">
        <x:f>=""</x:f>
      </x:c>
      <x:c r="E1373" s="0"/>
      <x:c r="F1373" t="str" s="2">
        <x:v>Other</x:v>
      </x:c>
      <x:c r="G1373" t="str" s="2">
        <x:v>Heritage Housing of Greenville</x:v>
      </x:c>
      <x:c r="H1373" t="str" s="2">
        <x:v>Jessica Osornio</x:v>
      </x:c>
      <x:c r="I1373" s="0"/>
      <x:c r="J1373" s="0"/>
      <x:c r="K1373" t="n" s="2">
        <x:v>34</x:v>
      </x:c>
      <x:c r="L1373" t="str" s="2">
        <x:v>2.4</x:v>
      </x:c>
      <x:c r="M1373" t="str" s="2">
        <x:v>Inactive</x:v>
      </x:c>
      <x:c r="N1373" t="str" s="2">
        <x:v>Deal approval</x:v>
      </x:c>
      <x:c r="O1373" s="0"/>
      <x:c r="P1373" s="6">
        <x:v>46279</x:v>
      </x:c>
      <x:c r="Q1373" s="6">
        <x:v>46279.68126709491</x:v>
      </x:c>
      <x:c r="R1373" s="0"/>
      <x:c r="S1373" s="6">
        <x:v>46276</x:v>
      </x:c>
      <x:c r="T1373" s="6">
        <x:v>46279</x:v>
      </x:c>
      <x:c r="U1373" s="6">
        <x:v>46279</x:v>
      </x:c>
      <x:c r="V1373" s="0"/>
      <x:c r="W1373" s="0"/>
      <x:c r="X1373" t="str" s="2">
        <x:v>8179033066</x:v>
      </x:c>
      <x:c r="Y1373" t="str" s="2">
        <x:v>8179033066</x:v>
      </x:c>
      <x:c r="Z1373" s="6">
        <x:v>46279.66677488426</x:v>
      </x:c>
      <x:c r="AA1373" t="str" s="2">
        <x:v>Brandie Sartor</x:v>
      </x:c>
      <x:c r="AB1373" s="6">
        <x:v>46279.53694409722</x:v>
      </x:c>
      <x:c r="AC1373" t="n" s="2">
        <x:v>39970</x:v>
      </x:c>
      <x:c r="AD1373" t="str" s="2">
        <x:v>Singlewide</x:v>
      </x:c>
      <x:c r="AE1373" s="0"/>
      <x:c r="AF1373" s="0"/>
      <x:c r="AG1373" s="7">
        <x:v>5000</x:v>
      </x:c>
      <x:c r="AH1373" s="0"/>
      <x:c r="AI1373" s="0"/>
      <x:c r="AJ1373" s="0"/>
      <x:c r="AK1373" s="0"/>
    </x:row>
    <x:row r="1374">
      <x:c r="A1374" t="str" s="2">
        <x:f>=HYPERLINK("https://rsms.futurehomex.com/lead/39971", "Carlos Ramirez")</x:f>
      </x:c>
      <x:c r="B1374" t="n" s="2">
        <x:v>29</x:v>
      </x:c>
      <x:c r="C1374" t="str" s="2">
        <x:v/>
      </x:c>
      <x:c r="D1374" t="str" s="2">
        <x:f>=""</x:f>
      </x:c>
      <x:c r="E1374" s="0"/>
      <x:c r="F1374" t="str" s="2">
        <x:v>Office Hot Calls</x:v>
      </x:c>
      <x:c r="G1374" t="str" s="2">
        <x:v>Heritage Housing Mt Pleasant</x:v>
      </x:c>
      <x:c r="H1374" t="str" s="2">
        <x:v>Elias Gallardo</x:v>
      </x:c>
      <x:c r="I1374" s="0"/>
      <x:c r="J1374" t="str" s="2">
        <x:v>Elias Gallardo</x:v>
      </x:c>
      <x:c r="K1374" t="n" s="2">
        <x:v>5</x:v>
      </x:c>
      <x:c r="L1374" t="str" s="2">
        <x:v>1.1</x:v>
      </x:c>
      <x:c r="M1374" t="str" s="2">
        <x:v>Tentative</x:v>
      </x:c>
      <x:c r="N1374" t="str" s="2">
        <x:v>Deal Created</x:v>
      </x:c>
      <x:c r="O1374" s="0"/>
      <x:c r="P1374" s="6">
        <x:v>46279</x:v>
      </x:c>
      <x:c r="Q1374" s="6">
        <x:v>46279.57407005787</x:v>
      </x:c>
      <x:c r="R1374" s="0"/>
      <x:c r="S1374" s="0"/>
      <x:c r="T1374" s="0"/>
      <x:c r="U1374" s="0"/>
      <x:c r="V1374" s="0"/>
      <x:c r="W1374" s="0"/>
      <x:c r="X1374" t="str" s="2">
        <x:v>9034700748</x:v>
      </x:c>
      <x:c r="Y1374" t="str" s="2">
        <x:v>9034700748</x:v>
      </x:c>
      <x:c r="Z1374" s="0"/>
      <x:c r="AA1374" s="0"/>
      <x:c r="AB1374" s="6">
        <x:v>46279.574071759256</x:v>
      </x:c>
      <x:c r="AC1374" t="n" s="2">
        <x:v>39971</x:v>
      </x:c>
      <x:c r="AD1374" s="0"/>
      <x:c r="AE1374" s="0"/>
      <x:c r="AF1374" s="0"/>
      <x:c r="AG1374" s="0"/>
      <x:c r="AH1374" s="0"/>
      <x:c r="AI1374" s="0"/>
      <x:c r="AJ1374" s="0"/>
      <x:c r="AK1374" s="0"/>
    </x:row>
    <x:row r="1375">
      <x:c r="A1375" t="str" s="2">
        <x:f>=HYPERLINK("https://rsms.futurehomex.com/lead/39972", "Katima Bell")</x:f>
      </x:c>
      <x:c r="B1375" t="n" s="2">
        <x:v>29</x:v>
      </x:c>
      <x:c r="C1375" t="str" s="2">
        <x:v>0/7</x:v>
      </x:c>
      <x:c r="D1375" t="str" s="2">
        <x:f>=""</x:f>
      </x:c>
      <x:c r="E1375" s="0"/>
      <x:c r="F1375" t="str" s="2">
        <x:v>Landing_BPM</x:v>
      </x:c>
      <x:c r="G1375" t="str" s="2">
        <x:v>Heritage Housing of Oklahoma City</x:v>
      </x:c>
      <x:c r="H1375" t="str" s="2">
        <x:v>Noemi Rojo</x:v>
      </x:c>
      <x:c r="I1375" s="0"/>
      <x:c r="J1375" s="0"/>
      <x:c r="K1375" t="n" s="2">
        <x:v>5</x:v>
      </x:c>
      <x:c r="L1375" t="str" s="2">
        <x:v>1.1</x:v>
      </x:c>
      <x:c r="M1375" t="str" s="2">
        <x:v>Tentative</x:v>
      </x:c>
      <x:c r="N1375" t="str" s="2">
        <x:v>Deal Created</x:v>
      </x:c>
      <x:c r="O1375" s="0"/>
      <x:c r="P1375" s="6">
        <x:v>46279</x:v>
      </x:c>
      <x:c r="Q1375" s="6">
        <x:v>46287.7336584838</x:v>
      </x:c>
      <x:c r="R1375" s="0"/>
      <x:c r="S1375" s="0"/>
      <x:c r="T1375" s="0"/>
      <x:c r="U1375" s="0"/>
      <x:c r="V1375" s="0"/>
      <x:c r="W1375" s="0"/>
      <x:c r="X1375" t="str" s="2">
        <x:v>4696586903</x:v>
      </x:c>
      <x:c r="Y1375" t="str" s="2">
        <x:v>katimabell1974@gmail.com</x:v>
      </x:c>
      <x:c r="Z1375" s="6">
        <x:v>46301.72048055555</x:v>
      </x:c>
      <x:c r="AA1375" t="str" s="2">
        <x:v>Noemi Rojo</x:v>
      </x:c>
      <x:c r="AB1375" s="6">
        <x:v>46282.997507141205</x:v>
      </x:c>
      <x:c r="AC1375" t="n" s="2">
        <x:v>39972</x:v>
      </x:c>
      <x:c r="AD1375" s="0"/>
      <x:c r="AE1375" s="0"/>
      <x:c r="AF1375" s="0"/>
      <x:c r="AG1375" s="0"/>
      <x:c r="AH1375" s="0"/>
      <x:c r="AI1375" s="0"/>
      <x:c r="AJ1375" s="0"/>
      <x:c r="AK1375" s="0"/>
    </x:row>
    <x:row r="1376">
      <x:c r="A1376" t="str" s="2">
        <x:f>=HYPERLINK("https://rsms.futurehomex.com/lead/39973", "stephanie Spears")</x:f>
      </x:c>
      <x:c r="B1376" t="n" s="2">
        <x:v>29</x:v>
      </x:c>
      <x:c r="C1376" t="str" s="2">
        <x:v>0/3</x:v>
      </x:c>
      <x:c r="D1376" t="str" s="2">
        <x:f>=""</x:f>
      </x:c>
      <x:c r="E1376" s="0"/>
      <x:c r="F1376" t="str" s="2">
        <x:v>Youtube</x:v>
      </x:c>
      <x:c r="G1376" t="str" s="2">
        <x:v>Heritage Housing of Oklahoma City</x:v>
      </x:c>
      <x:c r="H1376" t="str" s="2">
        <x:v>Noemi Rojo</x:v>
      </x:c>
      <x:c r="I1376" s="0"/>
      <x:c r="J1376" s="0"/>
      <x:c r="K1376" t="n" s="2">
        <x:v>5</x:v>
      </x:c>
      <x:c r="L1376" t="str" s="2">
        <x:v>1.1</x:v>
      </x:c>
      <x:c r="M1376" t="str" s="2">
        <x:v>Tentative</x:v>
      </x:c>
      <x:c r="N1376" t="str" s="2">
        <x:v>Deal Created</x:v>
      </x:c>
      <x:c r="O1376" s="0"/>
      <x:c r="P1376" s="6">
        <x:v>46279</x:v>
      </x:c>
      <x:c r="Q1376" s="6">
        <x:v>46279.59048452546</x:v>
      </x:c>
      <x:c r="R1376" s="0"/>
      <x:c r="S1376" s="0"/>
      <x:c r="T1376" s="0"/>
      <x:c r="U1376" s="0"/>
      <x:c r="V1376" s="0"/>
      <x:c r="W1376" s="0"/>
      <x:c r="X1376" t="str" s="2">
        <x:v>5313890470</x:v>
      </x:c>
      <x:c r="Y1376" t="str" s="2">
        <x:v>spearss6802@gmail.com</x:v>
      </x:c>
      <x:c r="Z1376" s="6">
        <x:v>46301.7159065625</x:v>
      </x:c>
      <x:c r="AA1376" t="str" s="2">
        <x:v>Noemi Rojo</x:v>
      </x:c>
      <x:c r="AB1376" s="6">
        <x:v>46282.99813950231</x:v>
      </x:c>
      <x:c r="AC1376" t="n" s="2">
        <x:v>39973</x:v>
      </x:c>
      <x:c r="AD1376" s="0"/>
      <x:c r="AE1376" s="0"/>
      <x:c r="AF1376" s="0"/>
      <x:c r="AG1376" s="0"/>
      <x:c r="AH1376" s="0"/>
      <x:c r="AI1376" s="0"/>
      <x:c r="AJ1376" s="0"/>
      <x:c r="AK1376" s="0"/>
    </x:row>
    <x:row r="1377">
      <x:c r="A1377" t="str" s="2">
        <x:f>=HYPERLINK("https://rsms.futurehomex.com/lead/39974", "Bobby Crawford")</x:f>
      </x:c>
      <x:c r="B1377" t="n" s="2">
        <x:v>29</x:v>
      </x:c>
      <x:c r="C1377" t="str" s="2">
        <x:v>0/5</x:v>
      </x:c>
      <x:c r="D1377" t="str" s="2">
        <x:f>=""</x:f>
      </x:c>
      <x:c r="E1377" s="0"/>
      <x:c r="F1377" t="str" s="2">
        <x:v>Landing_BPM</x:v>
      </x:c>
      <x:c r="G1377" t="str" s="2">
        <x:v>Heritage Housing of Oklahoma City</x:v>
      </x:c>
      <x:c r="H1377" t="str" s="2">
        <x:v>Noemi Rojo</x:v>
      </x:c>
      <x:c r="I1377" s="0"/>
      <x:c r="J1377" s="0"/>
      <x:c r="K1377" t="n" s="2">
        <x:v>5</x:v>
      </x:c>
      <x:c r="L1377" t="str" s="2">
        <x:v>1.1</x:v>
      </x:c>
      <x:c r="M1377" t="str" s="2">
        <x:v>Tentative</x:v>
      </x:c>
      <x:c r="N1377" t="str" s="2">
        <x:v>Deal Created</x:v>
      </x:c>
      <x:c r="O1377" s="0"/>
      <x:c r="P1377" s="6">
        <x:v>46279</x:v>
      </x:c>
      <x:c r="Q1377" s="6">
        <x:v>46297.84924016204</x:v>
      </x:c>
      <x:c r="R1377" s="0"/>
      <x:c r="S1377" s="0"/>
      <x:c r="T1377" s="0"/>
      <x:c r="U1377" s="0"/>
      <x:c r="V1377" s="0"/>
      <x:c r="W1377" s="0"/>
      <x:c r="X1377" t="str" s="2">
        <x:v>5802389425</x:v>
      </x:c>
      <x:c r="Y1377" t="str" s="2">
        <x:v>bobbyangie1966@gmail.com</x:v>
      </x:c>
      <x:c r="Z1377" s="6">
        <x:v>46301.72057549768</x:v>
      </x:c>
      <x:c r="AA1377" t="str" s="2">
        <x:v>Noemi Rojo</x:v>
      </x:c>
      <x:c r="AB1377" s="6">
        <x:v>46282.99864244213</x:v>
      </x:c>
      <x:c r="AC1377" t="n" s="2">
        <x:v>39974</x:v>
      </x:c>
      <x:c r="AD1377" s="0"/>
      <x:c r="AE1377" s="0"/>
      <x:c r="AF1377" s="0"/>
      <x:c r="AG1377" s="0"/>
      <x:c r="AH1377" s="0"/>
      <x:c r="AI1377" s="0"/>
      <x:c r="AJ1377" s="0"/>
      <x:c r="AK1377" s="0"/>
    </x:row>
    <x:row r="1378">
      <x:c r="A1378" t="str" s="2">
        <x:f>=HYPERLINK("https://rsms.futurehomex.com/lead/39975", "Lisa Wagner")</x:f>
      </x:c>
      <x:c r="B1378" t="n" s="2">
        <x:v>29</x:v>
      </x:c>
      <x:c r="C1378" t="str" s="2">
        <x:v>1/2</x:v>
      </x:c>
      <x:c r="D1378" t="str" s="2">
        <x:f>=""</x:f>
      </x:c>
      <x:c r="E1378" s="0"/>
      <x:c r="F1378" t="str" s="2">
        <x:v>Landing_BPM</x:v>
      </x:c>
      <x:c r="G1378" t="str" s="2">
        <x:v>Heritage Housing of Oklahoma City</x:v>
      </x:c>
      <x:c r="H1378" t="str" s="2">
        <x:v>Trey Rixleben</x:v>
      </x:c>
      <x:c r="I1378" s="0"/>
      <x:c r="J1378" t="str" s="2">
        <x:v>Trey Rixleben</x:v>
      </x:c>
      <x:c r="K1378" t="n" s="2">
        <x:v>5</x:v>
      </x:c>
      <x:c r="L1378" t="str" s="2">
        <x:v>1.1</x:v>
      </x:c>
      <x:c r="M1378" t="str" s="2">
        <x:v>Tentative</x:v>
      </x:c>
      <x:c r="N1378" t="str" s="2">
        <x:v>Deal Created</x:v>
      </x:c>
      <x:c r="O1378" s="0"/>
      <x:c r="P1378" s="6">
        <x:v>46279</x:v>
      </x:c>
      <x:c r="Q1378" s="6">
        <x:v>46303.97710775463</x:v>
      </x:c>
      <x:c r="R1378" s="0"/>
      <x:c r="S1378" s="0"/>
      <x:c r="T1378" s="0"/>
      <x:c r="U1378" s="0"/>
      <x:c r="V1378" s="0"/>
      <x:c r="W1378" s="0"/>
      <x:c r="X1378" t="str" s="2">
        <x:v>4056388833</x:v>
      </x:c>
      <x:c r="Y1378" t="str" s="2">
        <x:v>wagnerlisa145@gmail.com</x:v>
      </x:c>
      <x:c r="Z1378" s="6">
        <x:v>46303.97764849537</x:v>
      </x:c>
      <x:c r="AA1378" t="str" s="2">
        <x:v>Trey Rixleben</x:v>
      </x:c>
      <x:c r="AB1378" s="6">
        <x:v>46279.5974128125</x:v>
      </x:c>
      <x:c r="AC1378" t="n" s="2">
        <x:v>39975</x:v>
      </x:c>
      <x:c r="AD1378" s="0"/>
      <x:c r="AE1378" s="0"/>
      <x:c r="AF1378" s="0"/>
      <x:c r="AG1378" s="0"/>
      <x:c r="AH1378" s="0"/>
      <x:c r="AI1378" s="0"/>
      <x:c r="AJ1378" s="0"/>
      <x:c r="AK1378" s="0"/>
    </x:row>
    <x:row r="1379">
      <x:c r="A1379" t="str" s="2">
        <x:f>=HYPERLINK("https://rsms.futurehomex.com/lead/39976", "Angela McCallister")</x:f>
      </x:c>
      <x:c r="B1379" t="n" s="2">
        <x:v>29</x:v>
      </x:c>
      <x:c r="C1379" t="str" s="2">
        <x:v>1/5</x:v>
      </x:c>
      <x:c r="D1379" t="str" s="2">
        <x:f>=""</x:f>
      </x:c>
      <x:c r="E1379" s="0"/>
      <x:c r="F1379" t="str" s="2">
        <x:v>LandingPage</x:v>
      </x:c>
      <x:c r="G1379" t="str" s="2">
        <x:v>Heritage Housing of Oklahoma City</x:v>
      </x:c>
      <x:c r="H1379" t="str" s="2">
        <x:v>Trey Rixleben</x:v>
      </x:c>
      <x:c r="I1379" s="0"/>
      <x:c r="J1379" t="str" s="2">
        <x:v>Trey Rixleben</x:v>
      </x:c>
      <x:c r="K1379" t="n" s="2">
        <x:v>5</x:v>
      </x:c>
      <x:c r="L1379" t="str" s="2">
        <x:v>1.1</x:v>
      </x:c>
      <x:c r="M1379" t="str" s="2">
        <x:v>Tentative</x:v>
      </x:c>
      <x:c r="N1379" t="str" s="2">
        <x:v>Deal Created</x:v>
      </x:c>
      <x:c r="O1379" s="0"/>
      <x:c r="P1379" s="6">
        <x:v>46279</x:v>
      </x:c>
      <x:c r="Q1379" s="6">
        <x:v>46296.6977122338</x:v>
      </x:c>
      <x:c r="R1379" s="0"/>
      <x:c r="S1379" s="0"/>
      <x:c r="T1379" s="0"/>
      <x:c r="U1379" s="0"/>
      <x:c r="V1379" s="0"/>
      <x:c r="W1379" s="0"/>
      <x:c r="X1379" t="str" s="2">
        <x:v>4053858686</x:v>
      </x:c>
      <x:c r="Y1379" t="str" s="2">
        <x:v>mccallisterangela24@gmail.com</x:v>
      </x:c>
      <x:c r="Z1379" s="6">
        <x:v>46296.699768287035</x:v>
      </x:c>
      <x:c r="AA1379" t="str" s="2">
        <x:v>Trey Rixleben</x:v>
      </x:c>
      <x:c r="AB1379" s="6">
        <x:v>46279.600474652776</x:v>
      </x:c>
      <x:c r="AC1379" t="n" s="2">
        <x:v>39976</x:v>
      </x:c>
      <x:c r="AD1379" s="0"/>
      <x:c r="AE1379" s="0"/>
      <x:c r="AF1379" s="0"/>
      <x:c r="AG1379" s="0"/>
      <x:c r="AH1379" s="0"/>
      <x:c r="AI1379" s="0"/>
      <x:c r="AJ1379" s="0"/>
      <x:c r="AK1379" s="0"/>
    </x:row>
    <x:row r="1380">
      <x:c r="A1380" t="str" s="2">
        <x:f>=HYPERLINK("https://rsms.futurehomex.com/lead/39977", "Joan Jenkins")</x:f>
      </x:c>
      <x:c r="B1380" t="n" s="2">
        <x:v>29</x:v>
      </x:c>
      <x:c r="C1380" t="str" s="2">
        <x:v>1/1</x:v>
      </x:c>
      <x:c r="D1380" t="str" s="2">
        <x:f>=""</x:f>
      </x:c>
      <x:c r="E1380" s="0"/>
      <x:c r="F1380" t="str" s="2">
        <x:v>Youtube</x:v>
      </x:c>
      <x:c r="G1380" t="str" s="2">
        <x:v>Heritage Housing of Oklahoma City</x:v>
      </x:c>
      <x:c r="H1380" t="str" s="2">
        <x:v>Trey Rixleben</x:v>
      </x:c>
      <x:c r="I1380" s="0"/>
      <x:c r="J1380" t="str" s="2">
        <x:v>Trey Rixleben</x:v>
      </x:c>
      <x:c r="K1380" t="n" s="2">
        <x:v>5</x:v>
      </x:c>
      <x:c r="L1380" t="str" s="2">
        <x:v>1.1</x:v>
      </x:c>
      <x:c r="M1380" t="str" s="2">
        <x:v>Tentative</x:v>
      </x:c>
      <x:c r="N1380" t="str" s="2">
        <x:v>Deal Created</x:v>
      </x:c>
      <x:c r="O1380" s="0"/>
      <x:c r="P1380" s="6">
        <x:v>46279</x:v>
      </x:c>
      <x:c r="Q1380" s="6">
        <x:v>46296.666556944445</x:v>
      </x:c>
      <x:c r="R1380" s="0"/>
      <x:c r="S1380" s="0"/>
      <x:c r="T1380" s="0"/>
      <x:c r="U1380" s="0"/>
      <x:c r="V1380" s="0"/>
      <x:c r="W1380" s="0"/>
      <x:c r="X1380" t="str" s="2">
        <x:v>9185686728</x:v>
      </x:c>
      <x:c r="Y1380" t="str" s="2">
        <x:v>joanjenkins107@gmail.com</x:v>
      </x:c>
      <x:c r="Z1380" s="6">
        <x:v>46296.6688130787</x:v>
      </x:c>
      <x:c r="AA1380" t="str" s="2">
        <x:v>Trey Rixleben</x:v>
      </x:c>
      <x:c r="AB1380" s="6">
        <x:v>46279.6030628125</x:v>
      </x:c>
      <x:c r="AC1380" t="n" s="2">
        <x:v>39977</x:v>
      </x:c>
      <x:c r="AD1380" s="0"/>
      <x:c r="AE1380" s="0"/>
      <x:c r="AF1380" s="0"/>
      <x:c r="AG1380" s="0"/>
      <x:c r="AH1380" s="0"/>
      <x:c r="AI1380" s="0"/>
      <x:c r="AJ1380" s="0"/>
      <x:c r="AK1380" s="0"/>
    </x:row>
    <x:row r="1381">
      <x:c r="A1381" t="str" s="2">
        <x:f>=HYPERLINK("https://rsms.futurehomex.com/lead/39978", "Kayla Rosati")</x:f>
      </x:c>
      <x:c r="B1381" t="n" s="2">
        <x:v>29</x:v>
      </x:c>
      <x:c r="C1381" t="str" s="2">
        <x:v>1/2</x:v>
      </x:c>
      <x:c r="D1381" t="str" s="2">
        <x:f>=""</x:f>
      </x:c>
      <x:c r="E1381" s="0"/>
      <x:c r="F1381" t="str" s="2">
        <x:v>Facebook Messenger</x:v>
      </x:c>
      <x:c r="G1381" t="str" s="2">
        <x:v>Heritage Housing of Oklahoma City</x:v>
      </x:c>
      <x:c r="H1381" t="str" s="2">
        <x:v>Steve Castell</x:v>
      </x:c>
      <x:c r="I1381" s="0"/>
      <x:c r="J1381" t="str" s="2">
        <x:v>Steve Castell</x:v>
      </x:c>
      <x:c r="K1381" t="n" s="2">
        <x:v>5</x:v>
      </x:c>
      <x:c r="L1381" t="str" s="2">
        <x:v>1.1</x:v>
      </x:c>
      <x:c r="M1381" t="str" s="2">
        <x:v>Tentative</x:v>
      </x:c>
      <x:c r="N1381" t="str" s="2">
        <x:v>Deal Created</x:v>
      </x:c>
      <x:c r="O1381" s="0"/>
      <x:c r="P1381" s="6">
        <x:v>46279</x:v>
      </x:c>
      <x:c r="Q1381" s="6">
        <x:v>46279.60364340278</x:v>
      </x:c>
      <x:c r="R1381" s="0"/>
      <x:c r="S1381" s="0"/>
      <x:c r="T1381" s="0"/>
      <x:c r="U1381" s="0"/>
      <x:c r="V1381" s="0"/>
      <x:c r="W1381" s="0"/>
      <x:c r="X1381" t="str" s="2">
        <x:v>4056375921</x:v>
      </x:c>
      <x:c r="Y1381" t="str" s="2">
        <x:v>kaylashugg@gmail.com</x:v>
      </x:c>
      <x:c r="Z1381" s="6">
        <x:v>46296.93516828704</x:v>
      </x:c>
      <x:c r="AA1381" t="str" s="2">
        <x:v>Steve Castell</x:v>
      </x:c>
      <x:c r="AB1381" s="6">
        <x:v>46279.60364540509</x:v>
      </x:c>
      <x:c r="AC1381" t="n" s="2">
        <x:v>39978</x:v>
      </x:c>
      <x:c r="AD1381" s="0"/>
      <x:c r="AE1381" s="0"/>
      <x:c r="AF1381" s="0"/>
      <x:c r="AG1381" s="0"/>
      <x:c r="AH1381" s="0"/>
      <x:c r="AI1381" s="0"/>
      <x:c r="AJ1381" s="0"/>
      <x:c r="AK1381" s="0"/>
    </x:row>
    <x:row r="1382">
      <x:c r="A1382" t="str" s="2">
        <x:f>=HYPERLINK("https://rsms.futurehomex.com/lead/39979", "Kayle Burkett")</x:f>
      </x:c>
      <x:c r="B1382" t="n" s="2">
        <x:v>29</x:v>
      </x:c>
      <x:c r="C1382" t="str" s="2">
        <x:v>1/1</x:v>
      </x:c>
      <x:c r="D1382" t="str" s="2">
        <x:f>=""</x:f>
      </x:c>
      <x:c r="E1382" s="0"/>
      <x:c r="F1382" t="str" s="2">
        <x:v>Financing Form</x:v>
      </x:c>
      <x:c r="G1382" t="str" s="2">
        <x:v>Heritage Housing of Oklahoma City</x:v>
      </x:c>
      <x:c r="H1382" t="str" s="2">
        <x:v>Trey Rixleben</x:v>
      </x:c>
      <x:c r="I1382" s="0"/>
      <x:c r="J1382" t="str" s="2">
        <x:v>Trey Rixleben</x:v>
      </x:c>
      <x:c r="K1382" t="n" s="2">
        <x:v>5</x:v>
      </x:c>
      <x:c r="L1382" t="str" s="2">
        <x:v>1.1</x:v>
      </x:c>
      <x:c r="M1382" t="str" s="2">
        <x:v>Tentative</x:v>
      </x:c>
      <x:c r="N1382" t="str" s="2">
        <x:v>Deal Created</x:v>
      </x:c>
      <x:c r="O1382" s="0"/>
      <x:c r="P1382" s="6">
        <x:v>46279</x:v>
      </x:c>
      <x:c r="Q1382" s="6">
        <x:v>46295.9482821412</x:v>
      </x:c>
      <x:c r="R1382" s="0"/>
      <x:c r="S1382" s="0"/>
      <x:c r="T1382" s="0"/>
      <x:c r="U1382" s="0"/>
      <x:c r="V1382" s="0"/>
      <x:c r="W1382" s="0"/>
      <x:c r="X1382" t="str" s="2">
        <x:v>5392492494</x:v>
      </x:c>
      <x:c r="Y1382" t="str" s="2">
        <x:v>kayleburkett038@gmail.com</x:v>
      </x:c>
      <x:c r="Z1382" s="6">
        <x:v>46295.949356516205</x:v>
      </x:c>
      <x:c r="AA1382" t="str" s="2">
        <x:v>Trey Rixleben</x:v>
      </x:c>
      <x:c r="AB1382" s="6">
        <x:v>46279.605664849536</x:v>
      </x:c>
      <x:c r="AC1382" t="n" s="2">
        <x:v>39979</x:v>
      </x:c>
      <x:c r="AD1382" s="0"/>
      <x:c r="AE1382" s="0"/>
      <x:c r="AF1382" s="0"/>
      <x:c r="AG1382" s="0"/>
      <x:c r="AH1382" s="0"/>
      <x:c r="AI1382" s="0"/>
      <x:c r="AJ1382" s="0"/>
      <x:c r="AK1382" s="0"/>
    </x:row>
    <x:row r="1383">
      <x:c r="A1383" t="str" s="2">
        <x:f>=HYPERLINK("https://rsms.futurehomex.com/lead/39980", "Ranon hefner")</x:f>
      </x:c>
      <x:c r="B1383" t="n" s="2">
        <x:v>29</x:v>
      </x:c>
      <x:c r="C1383" t="str" s="2">
        <x:v>0/1</x:v>
      </x:c>
      <x:c r="D1383" t="str" s="2">
        <x:f>=""</x:f>
      </x:c>
      <x:c r="E1383" s="0"/>
      <x:c r="F1383" t="str" s="2">
        <x:v>Landing_BPM</x:v>
      </x:c>
      <x:c r="G1383" t="str" s="2">
        <x:v>Heritage Housing Marble Falls</x:v>
      </x:c>
      <x:c r="H1383" t="str" s="2">
        <x:v>Stephen Sanders</x:v>
      </x:c>
      <x:c r="I1383" s="0"/>
      <x:c r="J1383" t="str" s="2">
        <x:v>Stephen Sanders</x:v>
      </x:c>
      <x:c r="K1383" t="n" s="2">
        <x:v>5</x:v>
      </x:c>
      <x:c r="L1383" t="str" s="2">
        <x:v>1.1</x:v>
      </x:c>
      <x:c r="M1383" t="str" s="2">
        <x:v>Tentative</x:v>
      </x:c>
      <x:c r="N1383" t="str" s="2">
        <x:v>Prospect</x:v>
      </x:c>
      <x:c r="O1383" s="0"/>
      <x:c r="P1383" s="6">
        <x:v>46279</x:v>
      </x:c>
      <x:c r="Q1383" s="6">
        <x:v>46294.620828125</x:v>
      </x:c>
      <x:c r="R1383" s="0"/>
      <x:c r="S1383" s="0"/>
      <x:c r="T1383" s="0"/>
      <x:c r="U1383" s="0"/>
      <x:c r="V1383" s="0"/>
      <x:c r="W1383" s="0"/>
      <x:c r="X1383" t="str" s="2">
        <x:v>5122306025</x:v>
      </x:c>
      <x:c r="Y1383" t="str" s="2">
        <x:v>ranonhefner@yahoo.com</x:v>
      </x:c>
      <x:c r="Z1383" s="6">
        <x:v>46288.64018125</x:v>
      </x:c>
      <x:c r="AA1383" t="str" s="2">
        <x:v>Stephen Sanders</x:v>
      </x:c>
      <x:c r="AB1383" s="6">
        <x:v>46279.6287869213</x:v>
      </x:c>
      <x:c r="AC1383" t="n" s="2">
        <x:v>39980</x:v>
      </x:c>
      <x:c r="AD1383" s="0"/>
      <x:c r="AE1383" s="0"/>
      <x:c r="AF1383" s="0"/>
      <x:c r="AG1383" s="0"/>
      <x:c r="AH1383" s="0"/>
      <x:c r="AI1383" s="0"/>
      <x:c r="AJ1383" s="0"/>
      <x:c r="AK1383" s="0"/>
    </x:row>
    <x:row r="1384">
      <x:c r="A1384" t="str" s="2">
        <x:f>=HYPERLINK("https://rsms.futurehomex.com/lead/39981", "Ronald Gibson")</x:f>
      </x:c>
      <x:c r="B1384" t="n" s="2">
        <x:v>29</x:v>
      </x:c>
      <x:c r="C1384" t="str" s="2">
        <x:v>1/1</x:v>
      </x:c>
      <x:c r="D1384" t="str" s="2">
        <x:f>=""</x:f>
      </x:c>
      <x:c r="E1384" t="str" s="2">
        <x:v>Megan Davis</x:v>
      </x:c>
      <x:c r="F1384" t="str" s="2">
        <x:v>Facebook Messenger</x:v>
      </x:c>
      <x:c r="G1384" t="str" s="2">
        <x:v>Heritage Housing of Oklahoma City</x:v>
      </x:c>
      <x:c r="H1384" t="str" s="2">
        <x:v>Trey Rixleben</x:v>
      </x:c>
      <x:c r="I1384" s="0"/>
      <x:c r="J1384" s="0"/>
      <x:c r="K1384" t="n" s="2">
        <x:v>5</x:v>
      </x:c>
      <x:c r="L1384" t="str" s="2">
        <x:v>1.1</x:v>
      </x:c>
      <x:c r="M1384" t="str" s="2">
        <x:v>Tentative</x:v>
      </x:c>
      <x:c r="N1384" t="str" s="2">
        <x:v>Deal Created</x:v>
      </x:c>
      <x:c r="O1384" s="0"/>
      <x:c r="P1384" s="6">
        <x:v>46279</x:v>
      </x:c>
      <x:c r="Q1384" s="6">
        <x:v>46279.63597060185</x:v>
      </x:c>
      <x:c r="R1384" s="0"/>
      <x:c r="S1384" s="0"/>
      <x:c r="T1384" s="0"/>
      <x:c r="U1384" s="0"/>
      <x:c r="V1384" s="0"/>
      <x:c r="W1384" s="0"/>
      <x:c r="X1384" t="str" s="2">
        <x:v>4057728108</x:v>
      </x:c>
      <x:c r="Y1384" t="str" s="2">
        <x:v>4057728108</x:v>
      </x:c>
      <x:c r="Z1384" s="6">
        <x:v>46279.76925952546</x:v>
      </x:c>
      <x:c r="AA1384" t="str" s="2">
        <x:v>Trey Rixleben</x:v>
      </x:c>
      <x:c r="AB1384" s="6">
        <x:v>46279.635583564814</x:v>
      </x:c>
      <x:c r="AC1384" t="n" s="2">
        <x:v>39981</x:v>
      </x:c>
      <x:c r="AD1384" s="0"/>
      <x:c r="AE1384" s="0"/>
      <x:c r="AF1384" s="0"/>
      <x:c r="AG1384" s="0"/>
      <x:c r="AH1384" s="0"/>
      <x:c r="AI1384" s="0"/>
      <x:c r="AJ1384" s="0"/>
      <x:c r="AK1384" s="0"/>
    </x:row>
    <x:row r="1385">
      <x:c r="A1385" t="str" s="2">
        <x:f>=HYPERLINK("https://rsms.futurehomex.com/lead/39982", "MICHAEL JONES")</x:f>
      </x:c>
      <x:c r="B1385" t="n" s="2">
        <x:v>29</x:v>
      </x:c>
      <x:c r="C1385" t="str" s="2">
        <x:v/>
      </x:c>
      <x:c r="D1385" t="str" s="2">
        <x:f>=""</x:f>
      </x:c>
      <x:c r="E1385" t="str" s="2">
        <x:v>Patricia Simms</x:v>
      </x:c>
      <x:c r="F1385" t="str" s="2">
        <x:v>Landing_BPM</x:v>
      </x:c>
      <x:c r="G1385" t="str" s="2">
        <x:v>Heritage Housing of Tulsa</x:v>
      </x:c>
      <x:c r="H1385" t="str" s="2">
        <x:v>Jenna Fransisco</x:v>
      </x:c>
      <x:c r="I1385" s="0"/>
      <x:c r="J1385" s="0"/>
      <x:c r="K1385" t="n" s="2">
        <x:v>5</x:v>
      </x:c>
      <x:c r="L1385" t="str" s="2">
        <x:v>1.1</x:v>
      </x:c>
      <x:c r="M1385" t="str" s="2">
        <x:v>Tentative</x:v>
      </x:c>
      <x:c r="N1385" t="str" s="2">
        <x:v>Prospect</x:v>
      </x:c>
      <x:c r="O1385" s="0"/>
      <x:c r="P1385" s="6">
        <x:v>46279</x:v>
      </x:c>
      <x:c r="Q1385" s="6">
        <x:v>46282.62925208333</x:v>
      </x:c>
      <x:c r="R1385" s="0"/>
      <x:c r="S1385" s="0"/>
      <x:c r="T1385" s="0"/>
      <x:c r="U1385" s="0"/>
      <x:c r="V1385" s="0"/>
      <x:c r="W1385" s="0"/>
      <x:c r="X1385" t="str" s="2">
        <x:v>9188081004</x:v>
      </x:c>
      <x:c r="Y1385" t="str" s="2">
        <x:v>husky39642@gmail.com</x:v>
      </x:c>
      <x:c r="Z1385" s="6">
        <x:v>46286.642483020834</x:v>
      </x:c>
      <x:c r="AA1385" t="str" s="2">
        <x:v>Jenna Fransisco</x:v>
      </x:c>
      <x:c r="AB1385" s="6">
        <x:v>46279.641521909725</x:v>
      </x:c>
      <x:c r="AC1385" t="n" s="2">
        <x:v>39982</x:v>
      </x:c>
      <x:c r="AD1385" s="0"/>
      <x:c r="AE1385" s="0"/>
      <x:c r="AF1385" s="0"/>
      <x:c r="AG1385" s="7">
        <x:v>30000</x:v>
      </x:c>
      <x:c r="AH1385" s="0"/>
      <x:c r="AI1385" t="str" s="2">
        <x:v>586</x:v>
      </x:c>
      <x:c r="AJ1385" s="0"/>
      <x:c r="AK1385" s="0"/>
    </x:row>
    <x:row r="1386">
      <x:c r="A1386" t="str" s="2">
        <x:f>=HYPERLINK("https://rsms.futurehomex.com/lead/39983", "Dawn Baker")</x:f>
      </x:c>
      <x:c r="B1386" t="n" s="2">
        <x:v>29</x:v>
      </x:c>
      <x:c r="C1386" t="str" s="2">
        <x:v/>
      </x:c>
      <x:c r="D1386" t="str" s="2">
        <x:f>=""</x:f>
      </x:c>
      <x:c r="E1386" s="0"/>
      <x:c r="F1386" t="str" s="2">
        <x:v>Walk-in</x:v>
      </x:c>
      <x:c r="G1386" t="str" s="2">
        <x:v>Heritage Housing of Asheboro</x:v>
      </x:c>
      <x:c r="H1386" t="str" s="2">
        <x:v>Maria Lopez</x:v>
      </x:c>
      <x:c r="I1386" s="0"/>
      <x:c r="J1386" s="0"/>
      <x:c r="K1386" t="n" s="2">
        <x:v>21</x:v>
      </x:c>
      <x:c r="L1386" t="str" s="2">
        <x:v>2.1</x:v>
      </x:c>
      <x:c r="M1386" t="str" s="2">
        <x:v>Tentative</x:v>
      </x:c>
      <x:c r="N1386" t="str" s="2">
        <x:v>Qualified</x:v>
      </x:c>
      <x:c r="O1386" s="0"/>
      <x:c r="P1386" s="6">
        <x:v>46279</x:v>
      </x:c>
      <x:c r="Q1386" s="6">
        <x:v>46282.736525844906</x:v>
      </x:c>
      <x:c r="R1386" s="0"/>
      <x:c r="S1386" s="6">
        <x:v>46279</x:v>
      </x:c>
      <x:c r="T1386" s="0"/>
      <x:c r="U1386" s="0"/>
      <x:c r="V1386" s="0"/>
      <x:c r="W1386" s="0"/>
      <x:c r="X1386" t="str" s="2">
        <x:v>3363022889</x:v>
      </x:c>
      <x:c r="Y1386" t="str" s="2">
        <x:v>dswilkes@gmail.com</x:v>
      </x:c>
      <x:c r="Z1386" s="6">
        <x:v>46282.73651261574</x:v>
      </x:c>
      <x:c r="AA1386" t="str" s="2">
        <x:v>Jeremy Jacques</x:v>
      </x:c>
      <x:c r="AB1386" s="6">
        <x:v>46279.64531211805</x:v>
      </x:c>
      <x:c r="AC1386" t="n" s="2">
        <x:v>39983</x:v>
      </x:c>
      <x:c r="AD1386" s="0"/>
      <x:c r="AE1386" s="0"/>
      <x:c r="AF1386" s="0"/>
      <x:c r="AG1386" s="0"/>
      <x:c r="AH1386" s="0"/>
      <x:c r="AI1386" s="0"/>
      <x:c r="AJ1386" s="0"/>
      <x:c r="AK1386" s="0"/>
    </x:row>
    <x:row r="1387">
      <x:c r="A1387" t="str" s="2">
        <x:f>=HYPERLINK("https://rsms.futurehomex.com/lead/39984", "Pedro Perez Prueba")</x:f>
      </x:c>
      <x:c r="B1387" t="n" s="2">
        <x:v>29</x:v>
      </x:c>
      <x:c r="C1387" t="str" s="2">
        <x:v/>
      </x:c>
      <x:c r="D1387" t="str" s="2">
        <x:f>=""</x:f>
      </x:c>
      <x:c r="E1387" s="0"/>
      <x:c r="F1387" t="str" s="2">
        <x:v>TikTok</x:v>
      </x:c>
      <x:c r="G1387" t="str" s="2">
        <x:v>Legacy Housing Corp. DBA Americasa</x:v>
      </x:c>
      <x:c r="H1387" t="str" s="2">
        <x:v>Joey Marquez</x:v>
      </x:c>
      <x:c r="I1387" t="str" s="2">
        <x:v>Karol Romero</x:v>
      </x:c>
      <x:c r="J1387" t="str" s="2">
        <x:v>Joey Marquez</x:v>
      </x:c>
      <x:c r="K1387" t="n" s="2">
        <x:v>5</x:v>
      </x:c>
      <x:c r="L1387" t="str" s="2">
        <x:v>1.1</x:v>
      </x:c>
      <x:c r="M1387" t="str" s="2">
        <x:v>Tentative</x:v>
      </x:c>
      <x:c r="N1387" t="str" s="2">
        <x:v>Deal Created</x:v>
      </x:c>
      <x:c r="O1387" s="0"/>
      <x:c r="P1387" s="6">
        <x:v>46279</x:v>
      </x:c>
      <x:c r="Q1387" s="6">
        <x:v>46279.678694560185</x:v>
      </x:c>
      <x:c r="R1387" s="0"/>
      <x:c r="S1387" s="0"/>
      <x:c r="T1387" s="0"/>
      <x:c r="U1387" s="0"/>
      <x:c r="V1387" s="0"/>
      <x:c r="W1387" s="0"/>
      <x:c r="X1387" t="str" s="2">
        <x:v>3654123645</x:v>
      </x:c>
      <x:c r="Y1387" t="str" s="2">
        <x:v>3654123645</x:v>
      </x:c>
      <x:c r="Z1387" s="0"/>
      <x:c r="AA1387" s="0"/>
      <x:c r="AB1387" s="6">
        <x:v>46279.65266111111</x:v>
      </x:c>
      <x:c r="AC1387" t="n" s="2">
        <x:v>39984</x:v>
      </x:c>
      <x:c r="AD1387" s="0"/>
      <x:c r="AE1387" s="0"/>
      <x:c r="AF1387" s="0"/>
      <x:c r="AG1387" s="0"/>
      <x:c r="AH1387" s="0"/>
      <x:c r="AI1387" s="0"/>
      <x:c r="AJ1387" s="0"/>
      <x:c r="AK1387" s="0"/>
    </x:row>
    <x:row r="1388">
      <x:c r="A1388" t="str" s="2">
        <x:f>=HYPERLINK("https://rsms.futurehomex.com/lead/39985", "MIKE Pinson Dougherty County")</x:f>
      </x:c>
      <x:c r="B1388" t="n" s="2">
        <x:v>29</x:v>
      </x:c>
      <x:c r="C1388" t="str" s="2">
        <x:v>0/1</x:v>
      </x:c>
      <x:c r="D1388" t="str" s="2">
        <x:f>=""</x:f>
      </x:c>
      <x:c r="E1388" s="0"/>
      <x:c r="F1388" t="str" s="2">
        <x:v>Other</x:v>
      </x:c>
      <x:c r="G1388" t="str" s="2">
        <x:v>Heritage Housing of Albany</x:v>
      </x:c>
      <x:c r="H1388" t="str" s="2">
        <x:v>Alexander Bryant</x:v>
      </x:c>
      <x:c r="I1388" t="str" s="2">
        <x:v>Karol Romero</x:v>
      </x:c>
      <x:c r="J1388" t="str" s="2">
        <x:v>Alexander Bryant</x:v>
      </x:c>
      <x:c r="K1388" t="n" s="2">
        <x:v>34</x:v>
      </x:c>
      <x:c r="L1388" t="str" s="2">
        <x:v>2.4</x:v>
      </x:c>
      <x:c r="M1388" t="str" s="2">
        <x:v>Tentative</x:v>
      </x:c>
      <x:c r="N1388" t="str" s="2">
        <x:v>Deal approval</x:v>
      </x:c>
      <x:c r="O1388" s="0"/>
      <x:c r="P1388" s="6">
        <x:v>46279</x:v>
      </x:c>
      <x:c r="Q1388" s="6">
        <x:v>46284.831353622685</x:v>
      </x:c>
      <x:c r="R1388" s="0"/>
      <x:c r="S1388" s="0"/>
      <x:c r="T1388" s="0"/>
      <x:c r="U1388" s="0"/>
      <x:c r="V1388" s="0"/>
      <x:c r="W1388" s="0"/>
      <x:c r="X1388" t="str" s="2">
        <x:v>2293023904</x:v>
      </x:c>
      <x:c r="Y1388" t="str" s="2">
        <x:v>mipinson@dougherty.ga.us</x:v>
      </x:c>
      <x:c r="Z1388" s="6">
        <x:v>46288.63804039352</x:v>
      </x:c>
      <x:c r="AA1388" t="str" s="2">
        <x:v>Alexander Bryant</x:v>
      </x:c>
      <x:c r="AB1388" s="6">
        <x:v>46279.67382372685</x:v>
      </x:c>
      <x:c r="AC1388" t="n" s="2">
        <x:v>39985</x:v>
      </x:c>
      <x:c r="AD1388" t="str" s="2">
        <x:v>Singlewide</x:v>
      </x:c>
      <x:c r="AE1388" s="0"/>
      <x:c r="AF1388" s="0"/>
      <x:c r="AG1388" s="0"/>
      <x:c r="AH1388" s="0"/>
      <x:c r="AI1388" s="0"/>
      <x:c r="AJ1388" s="0"/>
      <x:c r="AK1388" s="0"/>
    </x:row>
    <x:row r="1389">
      <x:c r="A1389" t="str" s="2">
        <x:f>=HYPERLINK("https://rsms.futurehomex.com/lead/39986", "Monica Vinson")</x:f>
      </x:c>
      <x:c r="B1389" t="n" s="2">
        <x:v>29</x:v>
      </x:c>
      <x:c r="C1389" t="str" s="2">
        <x:v/>
      </x:c>
      <x:c r="D1389" t="str" s="2">
        <x:f>=""</x:f>
      </x:c>
      <x:c r="E1389" s="0"/>
      <x:c r="F1389" t="str" s="2">
        <x:v>Walk-in</x:v>
      </x:c>
      <x:c r="G1389" t="str" s="2">
        <x:v>Heritage Housing of Asheboro</x:v>
      </x:c>
      <x:c r="H1389" t="str" s="2">
        <x:v>Maria Lopez</x:v>
      </x:c>
      <x:c r="I1389" s="0"/>
      <x:c r="J1389" s="0"/>
      <x:c r="K1389" t="n" s="2">
        <x:v>21</x:v>
      </x:c>
      <x:c r="L1389" t="str" s="2">
        <x:v>2.1</x:v>
      </x:c>
      <x:c r="M1389" t="str" s="2">
        <x:v>Tentative</x:v>
      </x:c>
      <x:c r="N1389" t="str" s="2">
        <x:v>Qualified</x:v>
      </x:c>
      <x:c r="O1389" s="0"/>
      <x:c r="P1389" s="6">
        <x:v>46279</x:v>
      </x:c>
      <x:c r="Q1389" s="6">
        <x:v>46282.73676539352</x:v>
      </x:c>
      <x:c r="R1389" s="0"/>
      <x:c r="S1389" s="6">
        <x:v>46279</x:v>
      </x:c>
      <x:c r="T1389" s="0"/>
      <x:c r="U1389" s="0"/>
      <x:c r="V1389" s="0"/>
      <x:c r="W1389" s="0"/>
      <x:c r="X1389" t="str" s="2">
        <x:v>7436378994</x:v>
      </x:c>
      <x:c r="Y1389" t="str" s="2">
        <x:v>monicavinson27@yahoo.com</x:v>
      </x:c>
      <x:c r="Z1389" s="6">
        <x:v>46282.73675292824</x:v>
      </x:c>
      <x:c r="AA1389" t="str" s="2">
        <x:v>Jeremy Jacques</x:v>
      </x:c>
      <x:c r="AB1389" s="6">
        <x:v>46279.68967021991</x:v>
      </x:c>
      <x:c r="AC1389" t="n" s="2">
        <x:v>39986</x:v>
      </x:c>
      <x:c r="AD1389" s="0"/>
      <x:c r="AE1389" s="0"/>
      <x:c r="AF1389" s="0"/>
      <x:c r="AG1389" s="0"/>
      <x:c r="AH1389" s="0"/>
      <x:c r="AI1389" s="0"/>
      <x:c r="AJ1389" s="0"/>
      <x:c r="AK1389" s="0"/>
    </x:row>
    <x:row r="1390">
      <x:c r="A1390" t="str" s="2">
        <x:f>=HYPERLINK("https://rsms.futurehomex.com/lead/39987", "Johnny Mathis")</x:f>
      </x:c>
      <x:c r="B1390" t="n" s="2">
        <x:v>29</x:v>
      </x:c>
      <x:c r="C1390" t="str" s="2">
        <x:v/>
      </x:c>
      <x:c r="D1390" t="str" s="2">
        <x:f>=""</x:f>
      </x:c>
      <x:c r="E1390" s="0"/>
      <x:c r="F1390" t="str" s="2">
        <x:v>Walk-in</x:v>
      </x:c>
      <x:c r="G1390" t="str" s="2">
        <x:v>Heritage Housing of Athens</x:v>
      </x:c>
      <x:c r="H1390" t="str" s="2">
        <x:v>Ethan Fossett</x:v>
      </x:c>
      <x:c r="I1390" s="0"/>
      <x:c r="J1390" t="str" s="2">
        <x:v>Ethan Fossett</x:v>
      </x:c>
      <x:c r="K1390" t="n" s="2">
        <x:v>5</x:v>
      </x:c>
      <x:c r="L1390" t="str" s="2">
        <x:v>1.1</x:v>
      </x:c>
      <x:c r="M1390" t="str" s="2">
        <x:v>Dead</x:v>
      </x:c>
      <x:c r="N1390" t="str" s="2">
        <x:v>Deal Created</x:v>
      </x:c>
      <x:c r="O1390" s="0"/>
      <x:c r="P1390" s="6">
        <x:v>46279</x:v>
      </x:c>
      <x:c r="Q1390" s="6">
        <x:v>46279.71381744213</x:v>
      </x:c>
      <x:c r="R1390" s="0"/>
      <x:c r="S1390" s="0"/>
      <x:c r="T1390" s="0"/>
      <x:c r="U1390" s="0"/>
      <x:c r="V1390" s="0"/>
      <x:c r="W1390" s="0"/>
      <x:c r="X1390" t="str" s="2">
        <x:v>7627282309</x:v>
      </x:c>
      <x:c r="Y1390" t="str" s="2">
        <x:v>johnnymathis897@gmail.com</x:v>
      </x:c>
      <x:c r="Z1390" s="0"/>
      <x:c r="AA1390" s="0"/>
      <x:c r="AB1390" s="6">
        <x:v>46279.713819675926</x:v>
      </x:c>
      <x:c r="AC1390" t="n" s="2">
        <x:v>39987</x:v>
      </x:c>
      <x:c r="AD1390" s="0"/>
      <x:c r="AE1390" s="0"/>
      <x:c r="AF1390" s="0"/>
      <x:c r="AG1390" s="0"/>
      <x:c r="AH1390" s="0"/>
      <x:c r="AI1390" s="0"/>
      <x:c r="AJ1390" s="0"/>
      <x:c r="AK1390" s="0"/>
    </x:row>
    <x:row r="1391">
      <x:c r="A1391" t="str" s="2">
        <x:f>=HYPERLINK("https://rsms.futurehomex.com/lead/39988", "Tyler Stallcup")</x:f>
      </x:c>
      <x:c r="B1391" t="n" s="2">
        <x:v>29</x:v>
      </x:c>
      <x:c r="C1391" t="str" s="2">
        <x:v>1/1</x:v>
      </x:c>
      <x:c r="D1391" t="str" s="2">
        <x:f>=""</x:f>
      </x:c>
      <x:c r="E1391" s="0"/>
      <x:c r="F1391" t="str" s="2">
        <x:v>Walk-in</x:v>
      </x:c>
      <x:c r="G1391" t="str" s="2">
        <x:v>Heritage Housing of Tulsa</x:v>
      </x:c>
      <x:c r="H1391" t="str" s="2">
        <x:v>Jenna Fransisco</x:v>
      </x:c>
      <x:c r="I1391" s="0"/>
      <x:c r="J1391" t="str" s="2">
        <x:v>Jenna Fransisco</x:v>
      </x:c>
      <x:c r="K1391" t="n" s="2">
        <x:v>5</x:v>
      </x:c>
      <x:c r="L1391" t="str" s="2">
        <x:v>1.1</x:v>
      </x:c>
      <x:c r="M1391" t="str" s="2">
        <x:v>Tentative</x:v>
      </x:c>
      <x:c r="N1391" t="str" s="2">
        <x:v>Deal Created</x:v>
      </x:c>
      <x:c r="O1391" s="0"/>
      <x:c r="P1391" s="6">
        <x:v>46279</x:v>
      </x:c>
      <x:c r="Q1391" s="6">
        <x:v>46279.71384366898</x:v>
      </x:c>
      <x:c r="R1391" s="0"/>
      <x:c r="S1391" s="0"/>
      <x:c r="T1391" s="0"/>
      <x:c r="U1391" s="0"/>
      <x:c r="V1391" s="0"/>
      <x:c r="W1391" s="0"/>
      <x:c r="X1391" t="str" s="2">
        <x:v>9189354504</x:v>
      </x:c>
      <x:c r="Y1391" t="str" s="2">
        <x:v>9189354504</x:v>
      </x:c>
      <x:c r="Z1391" s="6">
        <x:v>46279.714533796294</x:v>
      </x:c>
      <x:c r="AA1391" t="str" s="2">
        <x:v>Jenna Fransisco</x:v>
      </x:c>
      <x:c r="AB1391" s="6">
        <x:v>46279.713845405095</x:v>
      </x:c>
      <x:c r="AC1391" t="n" s="2">
        <x:v>39988</x:v>
      </x:c>
      <x:c r="AD1391" s="0"/>
      <x:c r="AE1391" s="0"/>
      <x:c r="AF1391" s="0"/>
      <x:c r="AG1391" s="0"/>
      <x:c r="AH1391" s="0"/>
      <x:c r="AI1391" s="0"/>
      <x:c r="AJ1391" s="0"/>
      <x:c r="AK1391" s="0"/>
    </x:row>
    <x:row r="1392">
      <x:c r="A1392" t="str" s="2">
        <x:f>=HYPERLINK("https://rsms.futurehomex.com/lead/39989", "Frank Guerrero")</x:f>
      </x:c>
      <x:c r="B1392" t="n" s="2">
        <x:v>29</x:v>
      </x:c>
      <x:c r="C1392" t="str" s="2">
        <x:v>0/1</x:v>
      </x:c>
      <x:c r="D1392" t="str" s="2">
        <x:f>=""</x:f>
      </x:c>
      <x:c r="E1392" s="0"/>
      <x:c r="F1392" t="str" s="2">
        <x:v>Facebook Messenger</x:v>
      </x:c>
      <x:c r="G1392" t="str" s="2">
        <x:v>Heritage Housing of Oklahoma City</x:v>
      </x:c>
      <x:c r="H1392" t="str" s="2">
        <x:v>Alejandra Calderon</x:v>
      </x:c>
      <x:c r="I1392" s="0"/>
      <x:c r="J1392" t="str" s="2">
        <x:v>Gianna Cervantes</x:v>
      </x:c>
      <x:c r="K1392" t="n" s="2">
        <x:v>5</x:v>
      </x:c>
      <x:c r="L1392" t="str" s="2">
        <x:v>1.1</x:v>
      </x:c>
      <x:c r="M1392" t="str" s="2">
        <x:v>Dead</x:v>
      </x:c>
      <x:c r="N1392" t="str" s="2">
        <x:v>Deal Created</x:v>
      </x:c>
      <x:c r="O1392" s="0"/>
      <x:c r="P1392" s="6">
        <x:v>46279</x:v>
      </x:c>
      <x:c r="Q1392" s="6">
        <x:v>46279.7151591088</x:v>
      </x:c>
      <x:c r="R1392" s="0"/>
      <x:c r="S1392" s="0"/>
      <x:c r="T1392" s="0"/>
      <x:c r="U1392" s="0"/>
      <x:c r="V1392" s="0"/>
      <x:c r="W1392" s="0"/>
      <x:c r="X1392" t="str" s="2">
        <x:v>8177208626</x:v>
      </x:c>
      <x:c r="Y1392" t="str" s="2">
        <x:v>8177208626</x:v>
      </x:c>
      <x:c r="Z1392" s="6">
        <x:v>46279.81966739583</x:v>
      </x:c>
      <x:c r="AA1392" t="str" s="2">
        <x:v>Alejandra Calderon</x:v>
      </x:c>
      <x:c r="AB1392" s="6">
        <x:v>46279.71515991898</x:v>
      </x:c>
      <x:c r="AC1392" t="n" s="2">
        <x:v>39989</x:v>
      </x:c>
      <x:c r="AD1392" s="0"/>
      <x:c r="AE1392" s="0"/>
      <x:c r="AF1392" s="0"/>
      <x:c r="AG1392" s="0"/>
      <x:c r="AH1392" s="0"/>
      <x:c r="AI1392" s="0"/>
      <x:c r="AJ1392" s="0"/>
      <x:c r="AK1392" s="0"/>
    </x:row>
    <x:row r="1393">
      <x:c r="A1393" t="str" s="2">
        <x:f>=HYPERLINK("https://rsms.futurehomex.com/lead/39990", "Caleb Bectol")</x:f>
      </x:c>
      <x:c r="B1393" t="n" s="2">
        <x:v>29</x:v>
      </x:c>
      <x:c r="C1393" t="str" s="2">
        <x:v>1/4</x:v>
      </x:c>
      <x:c r="D1393" t="str" s="2">
        <x:f>=""</x:f>
      </x:c>
      <x:c r="E1393" s="0"/>
      <x:c r="F1393" t="str" s="2">
        <x:v>Meta Ads - Messenger</x:v>
      </x:c>
      <x:c r="G1393" t="str" s="2">
        <x:v>Heritage Housing of Oklahoma City</x:v>
      </x:c>
      <x:c r="H1393" t="str" s="2">
        <x:v>Alejandra Calderon</x:v>
      </x:c>
      <x:c r="I1393" t="str" s="2">
        <x:v>Karol Romero</x:v>
      </x:c>
      <x:c r="J1393" s="0"/>
      <x:c r="K1393" t="n" s="2">
        <x:v>5</x:v>
      </x:c>
      <x:c r="L1393" t="str" s="2">
        <x:v>1.1</x:v>
      </x:c>
      <x:c r="M1393" t="str" s="2">
        <x:v>Tentative</x:v>
      </x:c>
      <x:c r="N1393" t="str" s="2">
        <x:v>Prospect</x:v>
      </x:c>
      <x:c r="O1393" s="0"/>
      <x:c r="P1393" s="6">
        <x:v>46279</x:v>
      </x:c>
      <x:c r="Q1393" s="6">
        <x:v>46303.979900844904</x:v>
      </x:c>
      <x:c r="R1393" t="str" s="2">
        <x:v>Trey Rixleben</x:v>
      </x:c>
      <x:c r="S1393" s="6">
        <x:v>46279</x:v>
      </x:c>
      <x:c r="T1393" s="0"/>
      <x:c r="U1393" s="0"/>
      <x:c r="V1393" s="0"/>
      <x:c r="W1393" s="0"/>
      <x:c r="X1393" t="str" s="2">
        <x:v>5722732555</x:v>
      </x:c>
      <x:c r="Y1393" t="str" s="2">
        <x:v>calebbectol@gmail.com</x:v>
      </x:c>
      <x:c r="Z1393" s="6">
        <x:v>46304.75371712963</x:v>
      </x:c>
      <x:c r="AA1393" t="str" s="2">
        <x:v>Trey Rixleben</x:v>
      </x:c>
      <x:c r="AB1393" s="6">
        <x:v>46279.72027704861</x:v>
      </x:c>
      <x:c r="AC1393" t="n" s="2">
        <x:v>39990</x:v>
      </x:c>
      <x:c r="AD1393" s="0"/>
      <x:c r="AE1393" s="0"/>
      <x:c r="AF1393" s="0"/>
      <x:c r="AG1393" s="0"/>
      <x:c r="AH1393" s="0"/>
      <x:c r="AI1393" s="0"/>
      <x:c r="AJ1393" s="0"/>
      <x:c r="AK1393" s="0"/>
    </x:row>
    <x:row r="1394">
      <x:c r="A1394" t="str" s="2">
        <x:f>=HYPERLINK("https://rsms.futurehomex.com/lead/39991", "Jennifer Stevens")</x:f>
      </x:c>
      <x:c r="B1394" t="n" s="2">
        <x:v>29</x:v>
      </x:c>
      <x:c r="C1394" t="str" s="2">
        <x:v>0/1</x:v>
      </x:c>
      <x:c r="D1394" t="str" s="2">
        <x:f>="CASH, REPO"</x:f>
      </x:c>
      <x:c r="E1394" s="0"/>
      <x:c r="F1394" t="str" s="2">
        <x:v>META Marketplace</x:v>
      </x:c>
      <x:c r="G1394" t="str" s="2">
        <x:v>Heritage Housing Gainesville</x:v>
      </x:c>
      <x:c r="H1394" t="str" s="2">
        <x:v>Kelly Ford</x:v>
      </x:c>
      <x:c r="I1394" s="0"/>
      <x:c r="J1394" t="str" s="2">
        <x:v>John Schwichtenberg</x:v>
      </x:c>
      <x:c r="K1394" t="n" s="2">
        <x:v>100</x:v>
      </x:c>
      <x:c r="L1394" t="str" s="2">
        <x:v>6.2</x:v>
      </x:c>
      <x:c r="M1394" t="str" s="2">
        <x:v>Closed</x:v>
      </x:c>
      <x:c r="N1394" t="str" s="2">
        <x:v>Delivered</x:v>
      </x:c>
      <x:c r="O1394" s="6">
        <x:v>46281</x:v>
      </x:c>
      <x:c r="P1394" s="6">
        <x:v>46279</x:v>
      </x:c>
      <x:c r="Q1394" s="6">
        <x:v>46296.67066686343</x:v>
      </x:c>
      <x:c r="R1394" s="0"/>
      <x:c r="S1394" s="6">
        <x:v>46278</x:v>
      </x:c>
      <x:c r="T1394" s="6">
        <x:v>46278</x:v>
      </x:c>
      <x:c r="U1394" s="6">
        <x:v>46278</x:v>
      </x:c>
      <x:c r="V1394" s="6">
        <x:v>46278</x:v>
      </x:c>
      <x:c r="W1394" s="6">
        <x:v>46290</x:v>
      </x:c>
      <x:c r="X1394" t="str" s="2">
        <x:v>8179195815</x:v>
      </x:c>
      <x:c r="Y1394" t="str" s="2">
        <x:v>jdsrealty@hotmail.com</x:v>
      </x:c>
      <x:c r="Z1394" s="6">
        <x:v>46289.77639907407</x:v>
      </x:c>
      <x:c r="AA1394" t="str" s="2">
        <x:v>John Schwichtenberg</x:v>
      </x:c>
      <x:c r="AB1394" s="6">
        <x:v>46294.90234965278</x:v>
      </x:c>
      <x:c r="AC1394" t="n" s="2">
        <x:v>39991</x:v>
      </x:c>
      <x:c r="AD1394" t="str" s="2">
        <x:v>Singlewide</x:v>
      </x:c>
      <x:c r="AE1394" s="0"/>
      <x:c r="AF1394" s="7">
        <x:v>52100</x:v>
      </x:c>
      <x:c r="AG1394" s="0"/>
      <x:c r="AH1394" s="0"/>
      <x:c r="AI1394" s="0"/>
      <x:c r="AJ1394" s="0"/>
      <x:c r="AK1394" t="str" s="6">
        <x:v>2026-09-24</x:v>
      </x:c>
    </x:row>
    <x:row r="1395">
      <x:c r="A1395" t="str" s="2">
        <x:f>=HYPERLINK("https://rsms.futurehomex.com/lead/39992", "Alan Aultman")</x:f>
      </x:c>
      <x:c r="B1395" t="n" s="2">
        <x:v>29</x:v>
      </x:c>
      <x:c r="C1395" t="str" s="2">
        <x:v/>
      </x:c>
      <x:c r="D1395" t="str" s="2">
        <x:f>=""</x:f>
      </x:c>
      <x:c r="E1395" s="0"/>
      <x:c r="F1395" t="str" s="2">
        <x:v>Walk-in</x:v>
      </x:c>
      <x:c r="G1395" t="str" s="2">
        <x:v>Heritage Housing of Athens</x:v>
      </x:c>
      <x:c r="H1395" t="str" s="2">
        <x:v>Nathan Bishop</x:v>
      </x:c>
      <x:c r="I1395" s="0"/>
      <x:c r="J1395" s="0"/>
      <x:c r="K1395" t="n" s="2">
        <x:v>5</x:v>
      </x:c>
      <x:c r="L1395" t="str" s="2">
        <x:v>1.1</x:v>
      </x:c>
      <x:c r="M1395" t="str" s="2">
        <x:v>Tentative</x:v>
      </x:c>
      <x:c r="N1395" t="str" s="2">
        <x:v>Prospect</x:v>
      </x:c>
      <x:c r="O1395" s="0"/>
      <x:c r="P1395" s="6">
        <x:v>46279</x:v>
      </x:c>
      <x:c r="Q1395" s="6">
        <x:v>46279.74415987269</x:v>
      </x:c>
      <x:c r="R1395" s="0"/>
      <x:c r="S1395" s="0"/>
      <x:c r="T1395" s="0"/>
      <x:c r="U1395" s="0"/>
      <x:c r="V1395" s="0"/>
      <x:c r="W1395" s="0"/>
      <x:c r="X1395" t="str" s="2">
        <x:v>7063004341</x:v>
      </x:c>
      <x:c r="Y1395" t="str" s="2">
        <x:v>alan.aultman@ymail.com</x:v>
      </x:c>
      <x:c r="Z1395" s="0"/>
      <x:c r="AA1395" s="0"/>
      <x:c r="AB1395" s="6">
        <x:v>46279.74416099537</x:v>
      </x:c>
      <x:c r="AC1395" t="n" s="2">
        <x:v>39992</x:v>
      </x:c>
      <x:c r="AD1395" s="0"/>
      <x:c r="AE1395" s="0"/>
      <x:c r="AF1395" s="0"/>
      <x:c r="AG1395" s="0"/>
      <x:c r="AH1395" s="0"/>
      <x:c r="AI1395" s="0"/>
      <x:c r="AJ1395" s="0"/>
      <x:c r="AK1395" s="0"/>
    </x:row>
    <x:row r="1396">
      <x:c r="A1396" t="str" s="2">
        <x:f>=HYPERLINK("https://rsms.futurehomex.com/lead/39993", "Stephanie Young Young")</x:f>
      </x:c>
      <x:c r="B1396" t="n" s="2">
        <x:v>29</x:v>
      </x:c>
      <x:c r="C1396" t="str" s="2">
        <x:v>0/1</x:v>
      </x:c>
      <x:c r="D1396" t="str" s="2">
        <x:f>=""</x:f>
      </x:c>
      <x:c r="E1396" s="0"/>
      <x:c r="F1396" t="str" s="2">
        <x:v>Landing_BPM</x:v>
      </x:c>
      <x:c r="G1396" t="str" s="2">
        <x:v>Heritage Housing of Minden</x:v>
      </x:c>
      <x:c r="H1396" t="str" s="2">
        <x:v>Patrick Schuchart</x:v>
      </x:c>
      <x:c r="I1396" t="str" s="2">
        <x:v>Karol Romero</x:v>
      </x:c>
      <x:c r="J1396" t="str" s="2">
        <x:v>Patrick Schuchart</x:v>
      </x:c>
      <x:c r="K1396" t="n" s="2">
        <x:v>5</x:v>
      </x:c>
      <x:c r="L1396" t="str" s="2">
        <x:v>1.1</x:v>
      </x:c>
      <x:c r="M1396" t="str" s="2">
        <x:v>Tentative</x:v>
      </x:c>
      <x:c r="N1396" t="str" s="2">
        <x:v>Prospect</x:v>
      </x:c>
      <x:c r="O1396" s="0"/>
      <x:c r="P1396" s="6">
        <x:v>46279</x:v>
      </x:c>
      <x:c r="Q1396" s="6">
        <x:v>46289.9342121875</x:v>
      </x:c>
      <x:c r="R1396" t="str" s="2">
        <x:v>Patrick Schuchart</x:v>
      </x:c>
      <x:c r="S1396" s="0"/>
      <x:c r="T1396" s="0"/>
      <x:c r="U1396" s="0"/>
      <x:c r="V1396" s="0"/>
      <x:c r="W1396" s="0"/>
      <x:c r="X1396" t="str" s="2">
        <x:v>8709027801</x:v>
      </x:c>
      <x:c r="Y1396" t="str" s="2">
        <x:v>nursesteph49@gmail.com</x:v>
      </x:c>
      <x:c r="Z1396" s="6">
        <x:v>46302.60614004629</x:v>
      </x:c>
      <x:c r="AA1396" t="str" s="2">
        <x:v>Kyla Brown</x:v>
      </x:c>
      <x:c r="AB1396" s="6">
        <x:v>46279.796093287034</x:v>
      </x:c>
      <x:c r="AC1396" t="n" s="2">
        <x:v>39993</x:v>
      </x:c>
      <x:c r="AD1396" s="0"/>
      <x:c r="AE1396" s="0"/>
      <x:c r="AF1396" s="0"/>
      <x:c r="AG1396" s="0"/>
      <x:c r="AH1396" s="0"/>
      <x:c r="AI1396" s="0"/>
      <x:c r="AJ1396" s="0"/>
      <x:c r="AK1396" s="0"/>
    </x:row>
    <x:row r="1397">
      <x:c r="A1397" t="str" s="2">
        <x:f>=HYPERLINK("https://rsms.futurehomex.com/lead/39994", "Rebecca Gibbs")</x:f>
      </x:c>
      <x:c r="B1397" t="n" s="2">
        <x:v>29</x:v>
      </x:c>
      <x:c r="C1397" t="str" s="2">
        <x:v>0/2</x:v>
      </x:c>
      <x:c r="D1397" t="str" s="2">
        <x:f>=""</x:f>
      </x:c>
      <x:c r="E1397" s="0"/>
      <x:c r="F1397" t="str" s="2">
        <x:v>Financing Form</x:v>
      </x:c>
      <x:c r="G1397" t="str" s="2">
        <x:v>Heritage Housing of Oklahoma City</x:v>
      </x:c>
      <x:c r="H1397" t="str" s="2">
        <x:v>Trey Rixleben</x:v>
      </x:c>
      <x:c r="I1397" s="0"/>
      <x:c r="J1397" s="0"/>
      <x:c r="K1397" t="n" s="2">
        <x:v>5</x:v>
      </x:c>
      <x:c r="L1397" t="str" s="2">
        <x:v>1.1</x:v>
      </x:c>
      <x:c r="M1397" t="str" s="2">
        <x:v>Dead</x:v>
      </x:c>
      <x:c r="N1397" t="str" s="2">
        <x:v>Deal Created</x:v>
      </x:c>
      <x:c r="O1397" s="0"/>
      <x:c r="P1397" s="6">
        <x:v>46279</x:v>
      </x:c>
      <x:c r="Q1397" s="6">
        <x:v>46295.01101770833</x:v>
      </x:c>
      <x:c r="R1397" t="str" s="2">
        <x:v>Alejandra Calderon</x:v>
      </x:c>
      <x:c r="S1397" s="0"/>
      <x:c r="T1397" s="0"/>
      <x:c r="U1397" s="0"/>
      <x:c r="V1397" s="0"/>
      <x:c r="W1397" s="0"/>
      <x:c r="X1397" t="str" s="2">
        <x:v>4057729893</x:v>
      </x:c>
      <x:c r="Y1397" t="str" s="2">
        <x:v>beckygibbs2@gmail.com</x:v>
      </x:c>
      <x:c r="Z1397" s="6">
        <x:v>46300.765274652775</x:v>
      </x:c>
      <x:c r="AA1397" t="str" s="2">
        <x:v>Richard Bell</x:v>
      </x:c>
      <x:c r="AB1397" s="6">
        <x:v>46279.82162346065</x:v>
      </x:c>
      <x:c r="AC1397" t="n" s="2">
        <x:v>39994</x:v>
      </x:c>
      <x:c r="AD1397" s="0"/>
      <x:c r="AE1397" s="0"/>
      <x:c r="AF1397" s="0"/>
      <x:c r="AG1397" s="0"/>
      <x:c r="AH1397" s="0"/>
      <x:c r="AI1397" s="0"/>
      <x:c r="AJ1397" s="0"/>
      <x:c r="AK1397" s="0"/>
    </x:row>
    <x:row r="1398">
      <x:c r="A1398" t="str" s="2">
        <x:f>=HYPERLINK("https://rsms.futurehomex.com/lead/39995", "Luz Marina Genera")</x:f>
      </x:c>
      <x:c r="B1398" t="n" s="2">
        <x:v>29</x:v>
      </x:c>
      <x:c r="C1398" t="str" s="2">
        <x:v/>
      </x:c>
      <x:c r="D1398" t="str" s="2">
        <x:f>=""</x:f>
      </x:c>
      <x:c r="E1398" s="0"/>
      <x:c r="F1398" t="str" s="2">
        <x:v>TikTok</x:v>
      </x:c>
      <x:c r="G1398" t="str" s="2">
        <x:v>Heritage Housing of Greenville</x:v>
      </x:c>
      <x:c r="H1398" t="str" s="2">
        <x:v>Oscar Osorio</x:v>
      </x:c>
      <x:c r="I1398" s="0"/>
      <x:c r="J1398" s="0"/>
      <x:c r="K1398" t="n" s="2">
        <x:v>5</x:v>
      </x:c>
      <x:c r="L1398" t="str" s="2">
        <x:v>1.1</x:v>
      </x:c>
      <x:c r="M1398" t="str" s="2">
        <x:v>Dead</x:v>
      </x:c>
      <x:c r="N1398" t="str" s="2">
        <x:v>Prospect</x:v>
      </x:c>
      <x:c r="O1398" s="0"/>
      <x:c r="P1398" s="6">
        <x:v>46279</x:v>
      </x:c>
      <x:c r="Q1398" s="6">
        <x:v>46279.82481809028</x:v>
      </x:c>
      <x:c r="R1398" s="0"/>
      <x:c r="S1398" s="0"/>
      <x:c r="T1398" s="0"/>
      <x:c r="U1398" s="0"/>
      <x:c r="V1398" s="0"/>
      <x:c r="W1398" s="0"/>
      <x:c r="X1398" t="str" s="2">
        <x:v>3252687672</x:v>
      </x:c>
      <x:c r="Y1398" t="str" s="2">
        <x:v>Luzmarina2001@icloud.com</x:v>
      </x:c>
      <x:c r="Z1398" s="0"/>
      <x:c r="AA1398" s="0"/>
      <x:c r="AB1398" s="6">
        <x:v>46279.822668483794</x:v>
      </x:c>
      <x:c r="AC1398" t="n" s="2">
        <x:v>39995</x:v>
      </x:c>
      <x:c r="AD1398" s="0"/>
      <x:c r="AE1398" s="0"/>
      <x:c r="AF1398" s="0"/>
      <x:c r="AG1398" s="0"/>
      <x:c r="AH1398" s="0"/>
      <x:c r="AI1398" t="str" s="2">
        <x:v>532</x:v>
      </x:c>
      <x:c r="AJ1398" s="0"/>
      <x:c r="AK1398" s="0"/>
    </x:row>
    <x:row r="1399">
      <x:c r="A1399" t="str" s="2">
        <x:f>=HYPERLINK("https://rsms.futurehomex.com/lead/39996", "Gerald Perossier")</x:f>
      </x:c>
      <x:c r="B1399" t="n" s="2">
        <x:v>29</x:v>
      </x:c>
      <x:c r="C1399" t="str" s="2">
        <x:v>1/5</x:v>
      </x:c>
      <x:c r="D1399" t="str" s="2">
        <x:f>=""</x:f>
      </x:c>
      <x:c r="E1399" s="0"/>
      <x:c r="F1399" t="str" s="2">
        <x:v>Walk-in</x:v>
      </x:c>
      <x:c r="G1399" t="str" s="2">
        <x:v>Heritage Housing of Jennings</x:v>
      </x:c>
      <x:c r="H1399" t="str" s="2">
        <x:v>Clint O'Neal</x:v>
      </x:c>
      <x:c r="I1399" s="0"/>
      <x:c r="J1399" s="0"/>
      <x:c r="K1399" t="n" s="2">
        <x:v>5</x:v>
      </x:c>
      <x:c r="L1399" t="str" s="2">
        <x:v>1.1</x:v>
      </x:c>
      <x:c r="M1399" t="str" s="2">
        <x:v>Tentative</x:v>
      </x:c>
      <x:c r="N1399" t="str" s="2">
        <x:v>Prospect</x:v>
      </x:c>
      <x:c r="O1399" s="0"/>
      <x:c r="P1399" s="6">
        <x:v>46279</x:v>
      </x:c>
      <x:c r="Q1399" s="6">
        <x:v>46279.823461886575</x:v>
      </x:c>
      <x:c r="R1399" s="0"/>
      <x:c r="S1399" s="6">
        <x:v>46279</x:v>
      </x:c>
      <x:c r="T1399" s="0"/>
      <x:c r="U1399" s="0"/>
      <x:c r="V1399" s="0"/>
      <x:c r="W1399" s="0"/>
      <x:c r="X1399" t="str" s="2">
        <x:v>9563675661</x:v>
      </x:c>
      <x:c r="Y1399" t="str" s="2">
        <x:v>perossier1320@gmail.com</x:v>
      </x:c>
      <x:c r="Z1399" s="6">
        <x:v>46302.668324502316</x:v>
      </x:c>
      <x:c r="AA1399" t="str" s="2">
        <x:v>Clint O'Neal</x:v>
      </x:c>
      <x:c r="AB1399" s="6">
        <x:v>46279.82346273148</x:v>
      </x:c>
      <x:c r="AC1399" t="n" s="2">
        <x:v>39996</x:v>
      </x:c>
      <x:c r="AD1399" s="0"/>
      <x:c r="AE1399" s="0"/>
      <x:c r="AF1399" s="0"/>
      <x:c r="AG1399" s="0"/>
      <x:c r="AH1399" s="0"/>
      <x:c r="AI1399" s="0"/>
      <x:c r="AJ1399" s="0"/>
      <x:c r="AK1399" s="0"/>
    </x:row>
    <x:row r="1400">
      <x:c r="A1400" t="str" s="2">
        <x:f>=HYPERLINK("https://rsms.futurehomex.com/lead/39997", "Maritza Rosales")</x:f>
      </x:c>
      <x:c r="B1400" t="n" s="2">
        <x:v>29</x:v>
      </x:c>
      <x:c r="C1400" t="str" s="2">
        <x:v/>
      </x:c>
      <x:c r="D1400" t="str" s="2">
        <x:f>=""</x:f>
      </x:c>
      <x:c r="E1400" s="0"/>
      <x:c r="F1400" t="str" s="2">
        <x:v>Facebook Messenger</x:v>
      </x:c>
      <x:c r="G1400" t="str" s="2">
        <x:v>Heritage Housing of Asheboro</x:v>
      </x:c>
      <x:c r="H1400" t="str" s="2">
        <x:v>Maria Lopez</x:v>
      </x:c>
      <x:c r="I1400" s="0"/>
      <x:c r="J1400" s="0"/>
      <x:c r="K1400" t="n" s="2">
        <x:v>21</x:v>
      </x:c>
      <x:c r="L1400" t="str" s="2">
        <x:v>2.1</x:v>
      </x:c>
      <x:c r="M1400" t="str" s="2">
        <x:v>Tentative</x:v>
      </x:c>
      <x:c r="N1400" t="str" s="2">
        <x:v>Qualified</x:v>
      </x:c>
      <x:c r="O1400" s="0"/>
      <x:c r="P1400" s="6">
        <x:v>46279</x:v>
      </x:c>
      <x:c r="Q1400" s="6">
        <x:v>46282.73706574074</x:v>
      </x:c>
      <x:c r="R1400" s="0"/>
      <x:c r="S1400" s="6">
        <x:v>46279</x:v>
      </x:c>
      <x:c r="T1400" s="0"/>
      <x:c r="U1400" s="0"/>
      <x:c r="V1400" s="0"/>
      <x:c r="W1400" s="0"/>
      <x:c r="X1400" t="str" s="2">
        <x:v>3362106855</x:v>
      </x:c>
      <x:c r="Y1400" t="str" s="2">
        <x:v>machavarria23@yahoo.com</x:v>
      </x:c>
      <x:c r="Z1400" s="6">
        <x:v>46282.73705335648</x:v>
      </x:c>
      <x:c r="AA1400" t="str" s="2">
        <x:v>Jeremy Jacques</x:v>
      </x:c>
      <x:c r="AB1400" s="6">
        <x:v>46279.82601508102</x:v>
      </x:c>
      <x:c r="AC1400" t="n" s="2">
        <x:v>39997</x:v>
      </x:c>
      <x:c r="AD1400" s="0"/>
      <x:c r="AE1400" s="0"/>
      <x:c r="AF1400" s="0"/>
      <x:c r="AG1400" s="0"/>
      <x:c r="AH1400" s="0"/>
      <x:c r="AI1400" s="0"/>
      <x:c r="AJ1400" s="0"/>
      <x:c r="AK1400" s="0"/>
    </x:row>
    <x:row r="1401">
      <x:c r="A1401" t="str" s="2">
        <x:f>=HYPERLINK("https://rsms.futurehomex.com/lead/39998", "Gwen Bryant")</x:f>
      </x:c>
      <x:c r="B1401" t="n" s="2">
        <x:v>29</x:v>
      </x:c>
      <x:c r="C1401" t="str" s="2">
        <x:v>1/1</x:v>
      </x:c>
      <x:c r="D1401" t="str" s="2">
        <x:f>=""</x:f>
      </x:c>
      <x:c r="E1401" s="0"/>
      <x:c r="F1401" t="str" s="2">
        <x:v>Facebook Messenger</x:v>
      </x:c>
      <x:c r="G1401" t="str" s="2">
        <x:v>Heritage Housing of Oklahoma City</x:v>
      </x:c>
      <x:c r="H1401" t="str" s="2">
        <x:v>Trey Rixleben</x:v>
      </x:c>
      <x:c r="I1401" t="str" s="2">
        <x:v>Karol Romero</x:v>
      </x:c>
      <x:c r="J1401" t="str" s="2">
        <x:v>Trey Rixleben</x:v>
      </x:c>
      <x:c r="K1401" t="n" s="2">
        <x:v>5</x:v>
      </x:c>
      <x:c r="L1401" t="str" s="2">
        <x:v>1.1</x:v>
      </x:c>
      <x:c r="M1401" t="str" s="2">
        <x:v>Tentative</x:v>
      </x:c>
      <x:c r="N1401" t="str" s="2">
        <x:v>Deal Created</x:v>
      </x:c>
      <x:c r="O1401" s="0"/>
      <x:c r="P1401" s="6">
        <x:v>46279</x:v>
      </x:c>
      <x:c r="Q1401" s="6">
        <x:v>46297.92765517361</x:v>
      </x:c>
      <x:c r="R1401" t="str" s="2">
        <x:v>Alejandra Calderon</x:v>
      </x:c>
      <x:c r="S1401" s="0"/>
      <x:c r="T1401" s="0"/>
      <x:c r="U1401" s="0"/>
      <x:c r="V1401" s="0"/>
      <x:c r="W1401" s="0"/>
      <x:c r="X1401" t="str" s="2">
        <x:v>4056273931</x:v>
      </x:c>
      <x:c r="Y1401" t="str" s="2">
        <x:v>gnjbryant@gmail.com</x:v>
      </x:c>
      <x:c r="Z1401" s="6">
        <x:v>46297.92817878472</x:v>
      </x:c>
      <x:c r="AA1401" t="str" s="2">
        <x:v>Trey Rixleben</x:v>
      </x:c>
      <x:c r="AB1401" s="6">
        <x:v>46279.82820998842</x:v>
      </x:c>
      <x:c r="AC1401" t="n" s="2">
        <x:v>39998</x:v>
      </x:c>
      <x:c r="AD1401" s="0"/>
      <x:c r="AE1401" s="0"/>
      <x:c r="AF1401" s="0"/>
      <x:c r="AG1401" s="0"/>
      <x:c r="AH1401" s="0"/>
      <x:c r="AI1401" s="0"/>
      <x:c r="AJ1401" s="0"/>
      <x:c r="AK1401" s="0"/>
    </x:row>
    <x:row r="1402">
      <x:c r="A1402" t="str" s="2">
        <x:f>=HYPERLINK("https://rsms.futurehomex.com/lead/39999", "Michael Seitz")</x:f>
      </x:c>
      <x:c r="B1402" t="n" s="2">
        <x:v>29</x:v>
      </x:c>
      <x:c r="C1402" t="str" s="2">
        <x:v>1/2</x:v>
      </x:c>
      <x:c r="D1402" t="str" s="2">
        <x:f>=""</x:f>
      </x:c>
      <x:c r="E1402" t="str" s="2">
        <x:v>Jennifer Seitz</x:v>
      </x:c>
      <x:c r="F1402" t="str" s="2">
        <x:v>Walk-in</x:v>
      </x:c>
      <x:c r="G1402" t="str" s="2">
        <x:v>Heritage Housing of Oklahoma City</x:v>
      </x:c>
      <x:c r="H1402" t="str" s="2">
        <x:v>Trey Rixleben</x:v>
      </x:c>
      <x:c r="I1402" t="str" s="2">
        <x:v>Karol Romero</x:v>
      </x:c>
      <x:c r="J1402" t="str" s="2">
        <x:v>Trey Rixleben</x:v>
      </x:c>
      <x:c r="K1402" t="n" s="2">
        <x:v>5</x:v>
      </x:c>
      <x:c r="L1402" t="str" s="2">
        <x:v>1.1</x:v>
      </x:c>
      <x:c r="M1402" t="str" s="2">
        <x:v>Tentative</x:v>
      </x:c>
      <x:c r="N1402" t="str" s="2">
        <x:v>Deal Created</x:v>
      </x:c>
      <x:c r="O1402" s="0"/>
      <x:c r="P1402" s="6">
        <x:v>46279</x:v>
      </x:c>
      <x:c r="Q1402" s="6">
        <x:v>46290.90002353009</x:v>
      </x:c>
      <x:c r="R1402" s="0"/>
      <x:c r="S1402" s="0"/>
      <x:c r="T1402" s="0"/>
      <x:c r="U1402" s="0"/>
      <x:c r="V1402" s="0"/>
      <x:c r="W1402" s="0"/>
      <x:c r="X1402" t="str" s="2">
        <x:v>4052698976</x:v>
      </x:c>
      <x:c r="Y1402" t="str" s="2">
        <x:v>outlawghettocowboy1987@gmail.com</x:v>
      </x:c>
      <x:c r="Z1402" s="6">
        <x:v>46283.99884799768</x:v>
      </x:c>
      <x:c r="AA1402" t="str" s="2">
        <x:v>Trey Rixleben</x:v>
      </x:c>
      <x:c r="AB1402" s="6">
        <x:v>46279.83295011574</x:v>
      </x:c>
      <x:c r="AC1402" t="n" s="2">
        <x:v>39999</x:v>
      </x:c>
      <x:c r="AD1402" s="0"/>
      <x:c r="AE1402" s="0"/>
      <x:c r="AF1402" s="0"/>
      <x:c r="AG1402" s="0"/>
      <x:c r="AH1402" s="0"/>
      <x:c r="AI1402" s="0"/>
      <x:c r="AJ1402" s="0"/>
      <x:c r="AK1402" s="0"/>
    </x:row>
    <x:row r="1403">
      <x:c r="A1403" t="str" s="2">
        <x:f>=HYPERLINK("https://rsms.futurehomex.com/lead/40000", "Dale Morrell")</x:f>
      </x:c>
      <x:c r="B1403" t="n" s="2">
        <x:v>29</x:v>
      </x:c>
      <x:c r="C1403" t="str" s="2">
        <x:v>0/2</x:v>
      </x:c>
      <x:c r="D1403" t="str" s="2">
        <x:f>="3 Workforce"</x:f>
      </x:c>
      <x:c r="E1403" s="0"/>
      <x:c r="F1403" t="str" s="2">
        <x:v>Referrals</x:v>
      </x:c>
      <x:c r="G1403" t="str" s="2">
        <x:v>Heritage Housing of Jennings</x:v>
      </x:c>
      <x:c r="H1403" t="str" s="2">
        <x:v>Drew Dogay</x:v>
      </x:c>
      <x:c r="I1403" t="str" s="2">
        <x:v>Karol Romero</x:v>
      </x:c>
      <x:c r="J1403" s="0"/>
      <x:c r="K1403" t="n" s="2">
        <x:v>5</x:v>
      </x:c>
      <x:c r="L1403" t="str" s="2">
        <x:v>1.1</x:v>
      </x:c>
      <x:c r="M1403" t="str" s="2">
        <x:v>Tentative</x:v>
      </x:c>
      <x:c r="N1403" t="str" s="2">
        <x:v>Prospect</x:v>
      </x:c>
      <x:c r="O1403" s="0"/>
      <x:c r="P1403" s="6">
        <x:v>46279</x:v>
      </x:c>
      <x:c r="Q1403" s="6">
        <x:v>46280.629838043984</x:v>
      </x:c>
      <x:c r="R1403" s="0"/>
      <x:c r="S1403" s="6">
        <x:v>46274</x:v>
      </x:c>
      <x:c r="T1403" s="0"/>
      <x:c r="U1403" s="0"/>
      <x:c r="V1403" s="0"/>
      <x:c r="W1403" s="0"/>
      <x:c r="X1403" t="str" s="2">
        <x:v>4797199343</x:v>
      </x:c>
      <x:c r="Y1403" t="str" s="2">
        <x:v>dale@morrelltargets.com</x:v>
      </x:c>
      <x:c r="Z1403" s="6">
        <x:v>46282.61561778935</x:v>
      </x:c>
      <x:c r="AA1403" t="str" s="2">
        <x:v>Tina Dallas</x:v>
      </x:c>
      <x:c r="AB1403" s="6">
        <x:v>46280.62704366898</x:v>
      </x:c>
      <x:c r="AC1403" t="n" s="2">
        <x:v>40000</x:v>
      </x:c>
      <x:c r="AD1403" s="0"/>
      <x:c r="AE1403" s="0"/>
      <x:c r="AF1403" s="0"/>
      <x:c r="AG1403" s="0"/>
      <x:c r="AH1403" s="0"/>
      <x:c r="AI1403" s="0"/>
      <x:c r="AJ1403" s="0"/>
      <x:c r="AK1403" s="0"/>
    </x:row>
    <x:row r="1404">
      <x:c r="A1404" t="str" s="2">
        <x:f>=HYPERLINK("https://rsms.futurehomex.com/lead/40002", "Adrianna Tillman")</x:f>
      </x:c>
      <x:c r="B1404" t="n" s="2">
        <x:v>29</x:v>
      </x:c>
      <x:c r="C1404" t="str" s="2">
        <x:v/>
      </x:c>
      <x:c r="D1404" t="str" s="2">
        <x:f>=""</x:f>
      </x:c>
      <x:c r="E1404" s="0"/>
      <x:c r="F1404" t="str" s="2">
        <x:v>Landing_BPM</x:v>
      </x:c>
      <x:c r="G1404" t="str" s="2">
        <x:v>Heritage Housing Mt Pleasant</x:v>
      </x:c>
      <x:c r="H1404" t="str" s="2">
        <x:v>Yarelis Torres</x:v>
      </x:c>
      <x:c r="I1404" s="0"/>
      <x:c r="J1404" t="str" s="2">
        <x:v>Yarelis Torres</x:v>
      </x:c>
      <x:c r="K1404" t="n" s="2">
        <x:v>5</x:v>
      </x:c>
      <x:c r="L1404" t="str" s="2">
        <x:v>1.1</x:v>
      </x:c>
      <x:c r="M1404" t="str" s="2">
        <x:v>Tentative</x:v>
      </x:c>
      <x:c r="N1404" t="str" s="2">
        <x:v>Prospect</x:v>
      </x:c>
      <x:c r="O1404" s="0"/>
      <x:c r="P1404" s="6">
        <x:v>46279</x:v>
      </x:c>
      <x:c r="Q1404" s="6">
        <x:v>46279.88716211806</x:v>
      </x:c>
      <x:c r="R1404" s="0"/>
      <x:c r="S1404" s="0"/>
      <x:c r="T1404" s="0"/>
      <x:c r="U1404" s="0"/>
      <x:c r="V1404" s="0"/>
      <x:c r="W1404" s="0"/>
      <x:c r="X1404" t="str" s="2">
        <x:v>4693547768</x:v>
      </x:c>
      <x:c r="Y1404" t="str" s="2">
        <x:v>bowserethel@gmail.com</x:v>
      </x:c>
      <x:c r="Z1404" s="6">
        <x:v>46294.79675300926</x:v>
      </x:c>
      <x:c r="AA1404" t="str" s="2">
        <x:v>Yarelis Torres</x:v>
      </x:c>
      <x:c r="AB1404" s="6">
        <x:v>46279.88716304398</x:v>
      </x:c>
      <x:c r="AC1404" t="n" s="2">
        <x:v>40002</x:v>
      </x:c>
      <x:c r="AD1404" s="0"/>
      <x:c r="AE1404" s="0"/>
      <x:c r="AF1404" s="0"/>
      <x:c r="AG1404" s="0"/>
      <x:c r="AH1404" s="0"/>
      <x:c r="AI1404" s="0"/>
      <x:c r="AJ1404" s="0"/>
      <x:c r="AK1404" s="0"/>
    </x:row>
    <x:row r="1405">
      <x:c r="A1405" t="str" s="2">
        <x:f>=HYPERLINK("https://rsms.futurehomex.com/lead/40003", "Susan Nicholas")</x:f>
      </x:c>
      <x:c r="B1405" t="n" s="2">
        <x:v>29</x:v>
      </x:c>
      <x:c r="C1405" t="str" s="2">
        <x:v>0/2</x:v>
      </x:c>
      <x:c r="D1405" t="str" s="2">
        <x:f>=""</x:f>
      </x:c>
      <x:c r="E1405" s="0"/>
      <x:c r="F1405" t="str" s="2">
        <x:v>Youtube</x:v>
      </x:c>
      <x:c r="G1405" t="str" s="2">
        <x:v>Heritage Housing of Oklahoma City</x:v>
      </x:c>
      <x:c r="H1405" t="str" s="2">
        <x:v>Noemi Rojo</x:v>
      </x:c>
      <x:c r="I1405" s="0"/>
      <x:c r="J1405" s="0"/>
      <x:c r="K1405" t="n" s="2">
        <x:v>5</x:v>
      </x:c>
      <x:c r="L1405" t="str" s="2">
        <x:v>1.1</x:v>
      </x:c>
      <x:c r="M1405" t="str" s="2">
        <x:v>Inactive</x:v>
      </x:c>
      <x:c r="N1405" t="str" s="2">
        <x:v>Deal Created</x:v>
      </x:c>
      <x:c r="O1405" s="0"/>
      <x:c r="P1405" s="6">
        <x:v>46279</x:v>
      </x:c>
      <x:c r="Q1405" s="6">
        <x:v>46279.906356747684</x:v>
      </x:c>
      <x:c r="R1405" s="0"/>
      <x:c r="S1405" s="0"/>
      <x:c r="T1405" s="0"/>
      <x:c r="U1405" s="0"/>
      <x:c r="V1405" s="0"/>
      <x:c r="W1405" s="0"/>
      <x:c r="X1405" t="str" s="2">
        <x:v>7577388522</x:v>
      </x:c>
      <x:c r="Y1405" t="str" s="2">
        <x:v>kittysuck1017@gmail.com</x:v>
      </x:c>
      <x:c r="Z1405" s="6">
        <x:v>46286.97685355324</x:v>
      </x:c>
      <x:c r="AA1405" t="str" s="2">
        <x:v>Noemi Rojo</x:v>
      </x:c>
      <x:c r="AB1405" s="6">
        <x:v>46282.99969606481</x:v>
      </x:c>
      <x:c r="AC1405" t="n" s="2">
        <x:v>40003</x:v>
      </x:c>
      <x:c r="AD1405" s="0"/>
      <x:c r="AE1405" s="0"/>
      <x:c r="AF1405" s="0"/>
      <x:c r="AG1405" s="0"/>
      <x:c r="AH1405" s="0"/>
      <x:c r="AI1405" s="0"/>
      <x:c r="AJ1405" s="0"/>
      <x:c r="AK1405" s="0"/>
    </x:row>
    <x:row r="1406">
      <x:c r="A1406" t="str" s="2">
        <x:f>=HYPERLINK("https://rsms.futurehomex.com/lead/40004", "Alexandrea Davidson")</x:f>
      </x:c>
      <x:c r="B1406" t="n" s="2">
        <x:v>29</x:v>
      </x:c>
      <x:c r="C1406" t="str" s="2">
        <x:v/>
      </x:c>
      <x:c r="D1406" t="str" s="2">
        <x:f>=""</x:f>
      </x:c>
      <x:c r="E1406" s="0"/>
      <x:c r="F1406" t="str" s="2">
        <x:v>Website</x:v>
      </x:c>
      <x:c r="G1406" t="str" s="2">
        <x:v>Heritage Housing of Oklahoma City</x:v>
      </x:c>
      <x:c r="H1406" t="str" s="2">
        <x:v>Steve Castell</x:v>
      </x:c>
      <x:c r="I1406" s="0"/>
      <x:c r="J1406" t="str" s="2">
        <x:v>Steve Castell</x:v>
      </x:c>
      <x:c r="K1406" t="n" s="2">
        <x:v>5</x:v>
      </x:c>
      <x:c r="L1406" t="str" s="2">
        <x:v>1.1</x:v>
      </x:c>
      <x:c r="M1406" t="str" s="2">
        <x:v>Inactive</x:v>
      </x:c>
      <x:c r="N1406" t="str" s="2">
        <x:v>Deal Created</x:v>
      </x:c>
      <x:c r="O1406" s="0"/>
      <x:c r="P1406" s="6">
        <x:v>46279</x:v>
      </x:c>
      <x:c r="Q1406" s="6">
        <x:v>46279.91059826389</x:v>
      </x:c>
      <x:c r="R1406" s="0"/>
      <x:c r="S1406" s="0"/>
      <x:c r="T1406" s="0"/>
      <x:c r="U1406" s="0"/>
      <x:c r="V1406" s="0"/>
      <x:c r="W1406" s="0"/>
      <x:c r="X1406" t="str" s="2">
        <x:v>5722288247</x:v>
      </x:c>
      <x:c r="Y1406" t="str" s="2">
        <x:v>Lexikathlene0823@icloud.com</x:v>
      </x:c>
      <x:c r="Z1406" s="6">
        <x:v>46279.91276061343</x:v>
      </x:c>
      <x:c r="AA1406" t="str" s="2">
        <x:v>Steve Castell</x:v>
      </x:c>
      <x:c r="AB1406" s="6">
        <x:v>46279.91059903935</x:v>
      </x:c>
      <x:c r="AC1406" t="n" s="2">
        <x:v>40004</x:v>
      </x:c>
      <x:c r="AD1406" s="0"/>
      <x:c r="AE1406" s="0"/>
      <x:c r="AF1406" s="0"/>
      <x:c r="AG1406" s="0"/>
      <x:c r="AH1406" s="0"/>
      <x:c r="AI1406" s="0"/>
      <x:c r="AJ1406" s="0"/>
      <x:c r="AK1406" s="0"/>
    </x:row>
    <x:row r="1407">
      <x:c r="A1407" t="str" s="2">
        <x:f>=HYPERLINK("https://rsms.futurehomex.com/lead/40005", "Promisse Hall")</x:f>
      </x:c>
      <x:c r="B1407" t="n" s="2">
        <x:v>29</x:v>
      </x:c>
      <x:c r="C1407" t="str" s="2">
        <x:v>1/1</x:v>
      </x:c>
      <x:c r="D1407" t="str" s="2">
        <x:f>=""</x:f>
      </x:c>
      <x:c r="E1407" s="0"/>
      <x:c r="F1407" t="str" s="2">
        <x:v>Financing Form</x:v>
      </x:c>
      <x:c r="G1407" t="str" s="2">
        <x:v>Heritage Housing of Oklahoma City</x:v>
      </x:c>
      <x:c r="H1407" t="str" s="2">
        <x:v>Trey Rixleben</x:v>
      </x:c>
      <x:c r="I1407" s="0"/>
      <x:c r="J1407" t="str" s="2">
        <x:v>Trey Rixleben</x:v>
      </x:c>
      <x:c r="K1407" t="n" s="2">
        <x:v>5</x:v>
      </x:c>
      <x:c r="L1407" t="str" s="2">
        <x:v>1.1</x:v>
      </x:c>
      <x:c r="M1407" t="str" s="2">
        <x:v>Tentative</x:v>
      </x:c>
      <x:c r="N1407" t="str" s="2">
        <x:v>Deal Created</x:v>
      </x:c>
      <x:c r="O1407" s="0"/>
      <x:c r="P1407" s="6">
        <x:v>46279</x:v>
      </x:c>
      <x:c r="Q1407" s="6">
        <x:v>46290.8680809838</x:v>
      </x:c>
      <x:c r="R1407" s="0"/>
      <x:c r="S1407" s="0"/>
      <x:c r="T1407" s="0"/>
      <x:c r="U1407" s="0"/>
      <x:c r="V1407" s="0"/>
      <x:c r="W1407" s="0"/>
      <x:c r="X1407" t="str" s="2">
        <x:v>8178286985</x:v>
      </x:c>
      <x:c r="Y1407" t="str" s="2">
        <x:v>promissehall7@gmail.com</x:v>
      </x:c>
      <x:c r="Z1407" s="6">
        <x:v>46290.872658333334</x:v>
      </x:c>
      <x:c r="AA1407" t="str" s="2">
        <x:v>Trey Rixleben</x:v>
      </x:c>
      <x:c r="AB1407" s="6">
        <x:v>46279.925400844906</x:v>
      </x:c>
      <x:c r="AC1407" t="n" s="2">
        <x:v>40005</x:v>
      </x:c>
      <x:c r="AD1407" s="0"/>
      <x:c r="AE1407" s="0"/>
      <x:c r="AF1407" s="0"/>
      <x:c r="AG1407" s="0"/>
      <x:c r="AH1407" s="0"/>
      <x:c r="AI1407" s="0"/>
      <x:c r="AJ1407" s="0"/>
      <x:c r="AK1407" s="0"/>
    </x:row>
    <x:row r="1408">
      <x:c r="A1408" t="str" s="2">
        <x:f>=HYPERLINK("https://rsms.futurehomex.com/lead/40006", "Rick Waters")</x:f>
      </x:c>
      <x:c r="B1408" t="n" s="2">
        <x:v>29</x:v>
      </x:c>
      <x:c r="C1408" t="str" s="2">
        <x:v>0/2</x:v>
      </x:c>
      <x:c r="D1408" t="str" s="2">
        <x:f>=""</x:f>
      </x:c>
      <x:c r="E1408" s="0"/>
      <x:c r="F1408" t="str" s="2">
        <x:v>Office Hot Calls</x:v>
      </x:c>
      <x:c r="G1408" t="str" s="2">
        <x:v>Heritage Housing of Oklahoma City</x:v>
      </x:c>
      <x:c r="H1408" t="str" s="2">
        <x:v>Trey Rixleben</x:v>
      </x:c>
      <x:c r="I1408" t="str" s="2">
        <x:v>Karol Romero</x:v>
      </x:c>
      <x:c r="J1408" t="str" s="2">
        <x:v>Trey Rixleben</x:v>
      </x:c>
      <x:c r="K1408" t="n" s="2">
        <x:v>5</x:v>
      </x:c>
      <x:c r="L1408" t="str" s="2">
        <x:v>1.1</x:v>
      </x:c>
      <x:c r="M1408" t="str" s="2">
        <x:v>Tentative</x:v>
      </x:c>
      <x:c r="N1408" t="str" s="2">
        <x:v>Deal Created</x:v>
      </x:c>
      <x:c r="O1408" s="0"/>
      <x:c r="P1408" s="6">
        <x:v>46279</x:v>
      </x:c>
      <x:c r="Q1408" s="6">
        <x:v>46279.934213657405</x:v>
      </x:c>
      <x:c r="R1408" s="0"/>
      <x:c r="S1408" s="0"/>
      <x:c r="T1408" s="0"/>
      <x:c r="U1408" s="0"/>
      <x:c r="V1408" s="0"/>
      <x:c r="W1408" s="0"/>
      <x:c r="X1408" t="str" s="2">
        <x:v>4053611760</x:v>
      </x:c>
      <x:c r="Y1408" t="str" s="2">
        <x:v>4053611760</x:v>
      </x:c>
      <x:c r="Z1408" s="6">
        <x:v>46290.99706501157</x:v>
      </x:c>
      <x:c r="AA1408" t="str" s="2">
        <x:v>Steve Castell</x:v>
      </x:c>
      <x:c r="AB1408" s="6">
        <x:v>46279.93421574074</x:v>
      </x:c>
      <x:c r="AC1408" t="n" s="2">
        <x:v>40006</x:v>
      </x:c>
      <x:c r="AD1408" s="0"/>
      <x:c r="AE1408" s="0"/>
      <x:c r="AF1408" s="0"/>
      <x:c r="AG1408" s="0"/>
      <x:c r="AH1408" s="0"/>
      <x:c r="AI1408" s="0"/>
      <x:c r="AJ1408" s="0"/>
      <x:c r="AK1408" s="0"/>
    </x:row>
    <x:row r="1409">
      <x:c r="A1409" t="str" s="2">
        <x:f>=HYPERLINK("https://rsms.futurehomex.com/lead/40007", "Robert Vyre")</x:f>
      </x:c>
      <x:c r="B1409" t="n" s="2">
        <x:v>29</x:v>
      </x:c>
      <x:c r="C1409" t="str" s="2">
        <x:v/>
      </x:c>
      <x:c r="D1409" t="str" s="2">
        <x:f>=""</x:f>
      </x:c>
      <x:c r="E1409" s="0"/>
      <x:c r="F1409" t="str" s="2">
        <x:v>Other</x:v>
      </x:c>
      <x:c r="G1409" t="str" s="2">
        <x:v>Legacy Housing Corp. DBA Americasa</x:v>
      </x:c>
      <x:c r="H1409" t="str" s="2">
        <x:v>Joey Marquez</x:v>
      </x:c>
      <x:c r="I1409" s="0"/>
      <x:c r="J1409" t="str" s="2">
        <x:v>Joey Marquez</x:v>
      </x:c>
      <x:c r="K1409" t="n" s="2">
        <x:v>5</x:v>
      </x:c>
      <x:c r="L1409" t="str" s="2">
        <x:v>1.1</x:v>
      </x:c>
      <x:c r="M1409" t="str" s="2">
        <x:v>Tentative</x:v>
      </x:c>
      <x:c r="N1409" t="str" s="2">
        <x:v>Deal Created</x:v>
      </x:c>
      <x:c r="O1409" s="0"/>
      <x:c r="P1409" s="6">
        <x:v>46279</x:v>
      </x:c>
      <x:c r="Q1409" s="6">
        <x:v>46279.93442207176</x:v>
      </x:c>
      <x:c r="R1409" s="0"/>
      <x:c r="S1409" s="0"/>
      <x:c r="T1409" s="0"/>
      <x:c r="U1409" s="0"/>
      <x:c r="V1409" s="0"/>
      <x:c r="W1409" s="0"/>
      <x:c r="X1409" t="str" s="2">
        <x:v>2818069972</x:v>
      </x:c>
      <x:c r="Y1409" t="str" s="2">
        <x:v>2818069972</x:v>
      </x:c>
      <x:c r="Z1409" s="0"/>
      <x:c r="AA1409" s="0"/>
      <x:c r="AB1409" s="6">
        <x:v>46279.93442372685</x:v>
      </x:c>
      <x:c r="AC1409" t="n" s="2">
        <x:v>40007</x:v>
      </x:c>
      <x:c r="AD1409" s="0"/>
      <x:c r="AE1409" s="0"/>
      <x:c r="AF1409" s="0"/>
      <x:c r="AG1409" s="0"/>
      <x:c r="AH1409" s="0"/>
      <x:c r="AI1409" s="0"/>
      <x:c r="AJ1409" s="0"/>
      <x:c r="AK1409" s="0"/>
    </x:row>
    <x:row r="1410">
      <x:c r="A1410" t="str" s="2">
        <x:f>=HYPERLINK("https://rsms.futurehomex.com/lead/40008", "Ralph Hooker")</x:f>
      </x:c>
      <x:c r="B1410" t="n" s="2">
        <x:v>29</x:v>
      </x:c>
      <x:c r="C1410" t="str" s="2">
        <x:v>0/1</x:v>
      </x:c>
      <x:c r="D1410" t="str" s="2">
        <x:f>=""</x:f>
      </x:c>
      <x:c r="E1410" s="0"/>
      <x:c r="F1410" t="str" s="2">
        <x:v>Youtube</x:v>
      </x:c>
      <x:c r="G1410" t="str" s="2">
        <x:v>Heritage Housing of Oklahoma City</x:v>
      </x:c>
      <x:c r="H1410" t="str" s="2">
        <x:v>Steve Castell</x:v>
      </x:c>
      <x:c r="I1410" s="0"/>
      <x:c r="J1410" t="str" s="2">
        <x:v>Steve Castell</x:v>
      </x:c>
      <x:c r="K1410" t="n" s="2">
        <x:v>5</x:v>
      </x:c>
      <x:c r="L1410" t="str" s="2">
        <x:v>1.1</x:v>
      </x:c>
      <x:c r="M1410" t="str" s="2">
        <x:v>Dead</x:v>
      </x:c>
      <x:c r="N1410" t="str" s="2">
        <x:v>Deal Created</x:v>
      </x:c>
      <x:c r="O1410" s="0"/>
      <x:c r="P1410" s="6">
        <x:v>46279</x:v>
      </x:c>
      <x:c r="Q1410" s="6">
        <x:v>46280.863554282405</x:v>
      </x:c>
      <x:c r="R1410" s="0"/>
      <x:c r="S1410" s="0"/>
      <x:c r="T1410" s="0"/>
      <x:c r="U1410" s="0"/>
      <x:c r="V1410" s="0"/>
      <x:c r="W1410" s="0"/>
      <x:c r="X1410" t="str" s="2">
        <x:v>4053712533</x:v>
      </x:c>
      <x:c r="Y1410" t="str" s="2">
        <x:v>ralphhooker018@gmail.com</x:v>
      </x:c>
      <x:c r="Z1410" s="6">
        <x:v>46284.92471319444</x:v>
      </x:c>
      <x:c r="AA1410" t="str" s="2">
        <x:v>Steve Castell</x:v>
      </x:c>
      <x:c r="AB1410" s="6">
        <x:v>46279.94318553241</x:v>
      </x:c>
      <x:c r="AC1410" t="n" s="2">
        <x:v>40008</x:v>
      </x:c>
      <x:c r="AD1410" s="0"/>
      <x:c r="AE1410" s="0"/>
      <x:c r="AF1410" s="0"/>
      <x:c r="AG1410" s="0"/>
      <x:c r="AH1410" s="0"/>
      <x:c r="AI1410" s="0"/>
      <x:c r="AJ1410" s="0"/>
      <x:c r="AK1410" s="0"/>
    </x:row>
    <x:row r="1411">
      <x:c r="A1411" t="str" s="2">
        <x:f>=HYPERLINK("https://rsms.futurehomex.com/lead/40009", "Tatum Kitchen")</x:f>
      </x:c>
      <x:c r="B1411" t="n" s="2">
        <x:v>29</x:v>
      </x:c>
      <x:c r="C1411" t="str" s="2">
        <x:v/>
      </x:c>
      <x:c r="D1411" t="str" s="2">
        <x:f>=""</x:f>
      </x:c>
      <x:c r="E1411" s="0"/>
      <x:c r="F1411" t="str" s="2">
        <x:v>Landing_BPM</x:v>
      </x:c>
      <x:c r="G1411" t="str" s="2">
        <x:v>Heritage Housing Mt Pleasant</x:v>
      </x:c>
      <x:c r="H1411" t="str" s="2">
        <x:v>Yarelis Torres</x:v>
      </x:c>
      <x:c r="I1411" s="0"/>
      <x:c r="J1411" t="str" s="2">
        <x:v>Yarelis Torres</x:v>
      </x:c>
      <x:c r="K1411" t="n" s="2">
        <x:v>5</x:v>
      </x:c>
      <x:c r="L1411" t="str" s="2">
        <x:v>1.1</x:v>
      </x:c>
      <x:c r="M1411" t="str" s="2">
        <x:v>Tentative</x:v>
      </x:c>
      <x:c r="N1411" t="str" s="2">
        <x:v>Prospect</x:v>
      </x:c>
      <x:c r="O1411" s="0"/>
      <x:c r="P1411" s="6">
        <x:v>46279</x:v>
      </x:c>
      <x:c r="Q1411" s="6">
        <x:v>46279.96718799769</x:v>
      </x:c>
      <x:c r="R1411" s="0"/>
      <x:c r="S1411" s="0"/>
      <x:c r="T1411" s="0"/>
      <x:c r="U1411" s="0"/>
      <x:c r="V1411" s="0"/>
      <x:c r="W1411" s="0"/>
      <x:c r="X1411" t="str" s="2">
        <x:v>9034315326</x:v>
      </x:c>
      <x:c r="Y1411" t="str" s="2">
        <x:v>t3682330@gmail.com</x:v>
      </x:c>
      <x:c r="Z1411" s="6">
        <x:v>46279.97134444444</x:v>
      </x:c>
      <x:c r="AA1411" t="str" s="2">
        <x:v>Yarelis Torres</x:v>
      </x:c>
      <x:c r="AB1411" s="6">
        <x:v>46279.96718885416</x:v>
      </x:c>
      <x:c r="AC1411" t="n" s="2">
        <x:v>40009</x:v>
      </x:c>
      <x:c r="AD1411" s="0"/>
      <x:c r="AE1411" s="0"/>
      <x:c r="AF1411" s="0"/>
      <x:c r="AG1411" s="0"/>
      <x:c r="AH1411" s="0"/>
      <x:c r="AI1411" s="0"/>
      <x:c r="AJ1411" s="0"/>
      <x:c r="AK1411" s="0"/>
    </x:row>
    <x:row r="1412">
      <x:c r="A1412" t="str" s="2">
        <x:f>=HYPERLINK("https://rsms.futurehomex.com/lead/40010", "Sheila Braddy")</x:f>
      </x:c>
      <x:c r="B1412" t="n" s="2">
        <x:v>29</x:v>
      </x:c>
      <x:c r="C1412" t="str" s="2">
        <x:v>0/7</x:v>
      </x:c>
      <x:c r="D1412" t="str" s="2">
        <x:f>=""</x:f>
      </x:c>
      <x:c r="E1412" s="0"/>
      <x:c r="F1412" t="str" s="2">
        <x:v>Landing_BPM</x:v>
      </x:c>
      <x:c r="G1412" t="str" s="2">
        <x:v>Heritage Housing of Oklahoma City</x:v>
      </x:c>
      <x:c r="H1412" t="str" s="2">
        <x:v>Noemi Rojo</x:v>
      </x:c>
      <x:c r="I1412" s="0"/>
      <x:c r="J1412" s="0"/>
      <x:c r="K1412" t="n" s="2">
        <x:v>5</x:v>
      </x:c>
      <x:c r="L1412" t="str" s="2">
        <x:v>1.1</x:v>
      </x:c>
      <x:c r="M1412" t="str" s="2">
        <x:v>Tentative</x:v>
      </x:c>
      <x:c r="N1412" t="str" s="2">
        <x:v>Deal Created</x:v>
      </x:c>
      <x:c r="O1412" s="0"/>
      <x:c r="P1412" s="6">
        <x:v>46279</x:v>
      </x:c>
      <x:c r="Q1412" s="6">
        <x:v>46290.87411107639</x:v>
      </x:c>
      <x:c r="R1412" s="0"/>
      <x:c r="S1412" s="0"/>
      <x:c r="T1412" s="0"/>
      <x:c r="U1412" s="0"/>
      <x:c r="V1412" s="0"/>
      <x:c r="W1412" s="0"/>
      <x:c r="X1412" t="str" s="2">
        <x:v>9034806741</x:v>
      </x:c>
      <x:c r="Y1412" t="str" s="2">
        <x:v>sheilabraddy69@gmail.com</x:v>
      </x:c>
      <x:c r="Z1412" s="6">
        <x:v>46301.721415011576</x:v>
      </x:c>
      <x:c r="AA1412" t="str" s="2">
        <x:v>Noemi Rojo</x:v>
      </x:c>
      <x:c r="AB1412" s="6">
        <x:v>46282.97204163195</x:v>
      </x:c>
      <x:c r="AC1412" t="n" s="2">
        <x:v>40010</x:v>
      </x:c>
      <x:c r="AD1412" s="0"/>
      <x:c r="AE1412" s="0"/>
      <x:c r="AF1412" s="0"/>
      <x:c r="AG1412" s="0"/>
      <x:c r="AH1412" s="0"/>
      <x:c r="AI1412" s="0"/>
      <x:c r="AJ1412" s="0"/>
      <x:c r="AK1412" s="0"/>
    </x:row>
    <x:row r="1413">
      <x:c r="A1413" t="str" s="2">
        <x:f>=HYPERLINK("https://rsms.futurehomex.com/lead/40012", "Maria Zamora")</x:f>
      </x:c>
      <x:c r="B1413" t="n" s="2">
        <x:v>28</x:v>
      </x:c>
      <x:c r="C1413" t="str" s="2">
        <x:v>0/1</x:v>
      </x:c>
      <x:c r="D1413" t="str" s="2">
        <x:f>=""</x:f>
      </x:c>
      <x:c r="E1413" s="0"/>
      <x:c r="F1413" t="str" s="2">
        <x:v>Facebook Messenger</x:v>
      </x:c>
      <x:c r="G1413" t="str" s="2">
        <x:v>Heritage Housing Mt Pleasant</x:v>
      </x:c>
      <x:c r="H1413" t="str" s="2">
        <x:v>Yarelis Torres</x:v>
      </x:c>
      <x:c r="I1413" s="0"/>
      <x:c r="J1413" t="str" s="2">
        <x:v>Yarelis Torres</x:v>
      </x:c>
      <x:c r="K1413" t="n" s="2">
        <x:v>5</x:v>
      </x:c>
      <x:c r="L1413" t="str" s="2">
        <x:v>1.1</x:v>
      </x:c>
      <x:c r="M1413" t="str" s="2">
        <x:v>Tentative</x:v>
      </x:c>
      <x:c r="N1413" t="str" s="2">
        <x:v>Deal Created</x:v>
      </x:c>
      <x:c r="O1413" s="0"/>
      <x:c r="P1413" s="6">
        <x:v>46280</x:v>
      </x:c>
      <x:c r="Q1413" s="6">
        <x:v>46283.715121608795</x:v>
      </x:c>
      <x:c r="R1413" s="0"/>
      <x:c r="S1413" s="0"/>
      <x:c r="T1413" s="0"/>
      <x:c r="U1413" s="0"/>
      <x:c r="V1413" s="0"/>
      <x:c r="W1413" s="0"/>
      <x:c r="X1413" t="str" s="2">
        <x:v>5126965411</x:v>
      </x:c>
      <x:c r="Y1413" t="str" s="2">
        <x:v>5126696541</x:v>
      </x:c>
      <x:c r="Z1413" s="6">
        <x:v>46283.719574386574</x:v>
      </x:c>
      <x:c r="AA1413" t="str" s="2">
        <x:v>Yarelis Torres</x:v>
      </x:c>
      <x:c r="AB1413" s="6">
        <x:v>46280.00471380787</x:v>
      </x:c>
      <x:c r="AC1413" t="n" s="2">
        <x:v>40012</x:v>
      </x:c>
      <x:c r="AD1413" s="0"/>
      <x:c r="AE1413" s="0"/>
      <x:c r="AF1413" s="0"/>
      <x:c r="AG1413" s="0"/>
      <x:c r="AH1413" s="0"/>
      <x:c r="AI1413" s="0"/>
      <x:c r="AJ1413" s="0"/>
      <x:c r="AK1413" s="0"/>
    </x:row>
    <x:row r="1414">
      <x:c r="A1414" t="str" s="2">
        <x:f>=HYPERLINK("https://rsms.futurehomex.com/lead/40013", "Victor Hernandez")</x:f>
      </x:c>
      <x:c r="B1414" t="n" s="2">
        <x:v>28</x:v>
      </x:c>
      <x:c r="C1414" t="str" s="2">
        <x:v/>
      </x:c>
      <x:c r="D1414" t="str" s="2">
        <x:f>=""</x:f>
      </x:c>
      <x:c r="E1414" s="0"/>
      <x:c r="F1414" t="str" s="2">
        <x:v>Walk-in</x:v>
      </x:c>
      <x:c r="G1414" t="str" s="2">
        <x:v>Heritage Housing of Asheboro</x:v>
      </x:c>
      <x:c r="H1414" t="str" s="2">
        <x:v>Maria Lopez</x:v>
      </x:c>
      <x:c r="I1414" s="0"/>
      <x:c r="J1414" s="0"/>
      <x:c r="K1414" t="n" s="2">
        <x:v>21</x:v>
      </x:c>
      <x:c r="L1414" t="str" s="2">
        <x:v>2.1</x:v>
      </x:c>
      <x:c r="M1414" t="str" s="2">
        <x:v>Tentative</x:v>
      </x:c>
      <x:c r="N1414" t="str" s="2">
        <x:v>Qualified</x:v>
      </x:c>
      <x:c r="O1414" s="0"/>
      <x:c r="P1414" s="6">
        <x:v>46280</x:v>
      </x:c>
      <x:c r="Q1414" s="6">
        <x:v>46282.57542233796</x:v>
      </x:c>
      <x:c r="R1414" s="0"/>
      <x:c r="S1414" s="0"/>
      <x:c r="T1414" s="0"/>
      <x:c r="U1414" s="0"/>
      <x:c r="V1414" s="0"/>
      <x:c r="W1414" s="0"/>
      <x:c r="X1414" t="str" s="2">
        <x:v>3363016735</x:v>
      </x:c>
      <x:c r="Y1414" t="str" s="2">
        <x:v>victorhernndez@yahoo.com</x:v>
      </x:c>
      <x:c r="Z1414" s="6">
        <x:v>46282.575410613426</x:v>
      </x:c>
      <x:c r="AA1414" t="str" s="2">
        <x:v>Jeremy Jacques</x:v>
      </x:c>
      <x:c r="AB1414" s="6">
        <x:v>46280.583724537035</x:v>
      </x:c>
      <x:c r="AC1414" t="n" s="2">
        <x:v>40013</x:v>
      </x:c>
      <x:c r="AD1414" s="0"/>
      <x:c r="AE1414" s="0"/>
      <x:c r="AF1414" s="0"/>
      <x:c r="AG1414" s="0"/>
      <x:c r="AH1414" s="0"/>
      <x:c r="AI1414" s="0"/>
      <x:c r="AJ1414" s="0"/>
      <x:c r="AK1414" s="0"/>
    </x:row>
    <x:row r="1415">
      <x:c r="A1415" t="str" s="2">
        <x:f>=HYPERLINK("https://rsms.futurehomex.com/lead/40014", "Roman Hernandez")</x:f>
      </x:c>
      <x:c r="B1415" t="n" s="2">
        <x:v>28</x:v>
      </x:c>
      <x:c r="C1415" t="str" s="2">
        <x:v>0/3</x:v>
      </x:c>
      <x:c r="D1415" t="str" s="2">
        <x:f>=""</x:f>
      </x:c>
      <x:c r="E1415" s="0"/>
      <x:c r="F1415" t="str" s="2">
        <x:v>TikTok</x:v>
      </x:c>
      <x:c r="G1415" t="str" s="2">
        <x:v>Heritage Housing of Greenville</x:v>
      </x:c>
      <x:c r="H1415" t="str" s="2">
        <x:v>Oscar Osorio</x:v>
      </x:c>
      <x:c r="I1415" s="0"/>
      <x:c r="J1415" t="str" s="2">
        <x:v>Oscar Osorio</x:v>
      </x:c>
      <x:c r="K1415" t="n" s="2">
        <x:v>40</x:v>
      </x:c>
      <x:c r="L1415" t="str" s="2">
        <x:v>3.3</x:v>
      </x:c>
      <x:c r="M1415" t="str" s="2">
        <x:v>Active</x:v>
      </x:c>
      <x:c r="N1415" t="str" s="2">
        <x:v>Application</x:v>
      </x:c>
      <x:c r="O1415" s="0"/>
      <x:c r="P1415" s="6">
        <x:v>46280</x:v>
      </x:c>
      <x:c r="Q1415" s="6">
        <x:v>46302.773392511575</x:v>
      </x:c>
      <x:c r="R1415" s="0"/>
      <x:c r="S1415" s="6">
        <x:v>46279</x:v>
      </x:c>
      <x:c r="T1415" s="6">
        <x:v>46279</x:v>
      </x:c>
      <x:c r="U1415" s="6">
        <x:v>46280</x:v>
      </x:c>
      <x:c r="V1415" s="0"/>
      <x:c r="W1415" s="0"/>
      <x:c r="X1415" t="str" s="2">
        <x:v>9403997943</x:v>
      </x:c>
      <x:c r="Y1415" t="str" s="2">
        <x:v>aaron06.sp@gmail.com</x:v>
      </x:c>
      <x:c r="Z1415" s="6">
        <x:v>46303.73978498843</x:v>
      </x:c>
      <x:c r="AA1415" t="str" s="2">
        <x:v>Meliza Banda</x:v>
      </x:c>
      <x:c r="AB1415" s="6">
        <x:v>46280.59678422454</x:v>
      </x:c>
      <x:c r="AC1415" t="n" s="2">
        <x:v>40014</x:v>
      </x:c>
      <x:c r="AD1415" t="str" s="2">
        <x:v>Singlewide</x:v>
      </x:c>
      <x:c r="AE1415" t="str" s="2">
        <x:v>Legacy Housing Corporation</x:v>
      </x:c>
      <x:c r="AF1415" s="0"/>
      <x:c r="AG1415" s="7">
        <x:v>8500</x:v>
      </x:c>
      <x:c r="AH1415" s="0"/>
      <x:c r="AI1415" t="str" s="2">
        <x:v>690</x:v>
      </x:c>
      <x:c r="AJ1415" s="0"/>
      <x:c r="AK1415" s="0"/>
    </x:row>
    <x:row r="1416">
      <x:c r="A1416" t="str" s="2">
        <x:f>=HYPERLINK("https://rsms.futurehomex.com/lead/40015", "Raymond Lyon")</x:f>
      </x:c>
      <x:c r="B1416" t="n" s="2">
        <x:v>28</x:v>
      </x:c>
      <x:c r="C1416" t="str" s="2">
        <x:v>0/1</x:v>
      </x:c>
      <x:c r="D1416" t="str" s="2">
        <x:f>=""</x:f>
      </x:c>
      <x:c r="E1416" s="0"/>
      <x:c r="F1416" t="str" s="2">
        <x:v>Youtube</x:v>
      </x:c>
      <x:c r="G1416" t="str" s="2">
        <x:v>Heritage Housing of Oklahoma City</x:v>
      </x:c>
      <x:c r="H1416" t="str" s="2">
        <x:v>Steve Castell</x:v>
      </x:c>
      <x:c r="I1416" s="0"/>
      <x:c r="J1416" t="str" s="2">
        <x:v>Steve Castell</x:v>
      </x:c>
      <x:c r="K1416" t="n" s="2">
        <x:v>5</x:v>
      </x:c>
      <x:c r="L1416" t="str" s="2">
        <x:v>1.1</x:v>
      </x:c>
      <x:c r="M1416" t="str" s="2">
        <x:v>Inactive</x:v>
      </x:c>
      <x:c r="N1416" t="str" s="2">
        <x:v>Deal Created</x:v>
      </x:c>
      <x:c r="O1416" s="0"/>
      <x:c r="P1416" s="6">
        <x:v>46280</x:v>
      </x:c>
      <x:c r="Q1416" s="6">
        <x:v>46283.99485123843</x:v>
      </x:c>
      <x:c r="R1416" s="0"/>
      <x:c r="S1416" s="0"/>
      <x:c r="T1416" s="0"/>
      <x:c r="U1416" s="0"/>
      <x:c r="V1416" s="0"/>
      <x:c r="W1416" s="0"/>
      <x:c r="X1416" t="str" s="2">
        <x:v>2075803950</x:v>
      </x:c>
      <x:c r="Y1416" t="str" s="2">
        <x:v>relliottlyon@gmail.com</x:v>
      </x:c>
      <x:c r="Z1416" s="6">
        <x:v>46283.99606582176</x:v>
      </x:c>
      <x:c r="AA1416" t="str" s="2">
        <x:v>Steve Castell</x:v>
      </x:c>
      <x:c r="AB1416" s="6">
        <x:v>46280.61722824074</x:v>
      </x:c>
      <x:c r="AC1416" t="n" s="2">
        <x:v>40015</x:v>
      </x:c>
      <x:c r="AD1416" s="0"/>
      <x:c r="AE1416" s="0"/>
      <x:c r="AF1416" s="0"/>
      <x:c r="AG1416" s="0"/>
      <x:c r="AH1416" s="0"/>
      <x:c r="AI1416" s="0"/>
      <x:c r="AJ1416" s="0"/>
      <x:c r="AK1416" s="0"/>
    </x:row>
    <x:row r="1417">
      <x:c r="A1417" t="str" s="2">
        <x:f>=HYPERLINK("https://rsms.futurehomex.com/lead/40016", "Gwendolyn Ivey")</x:f>
      </x:c>
      <x:c r="B1417" t="n" s="2">
        <x:v>28</x:v>
      </x:c>
      <x:c r="C1417" t="str" s="2">
        <x:v/>
      </x:c>
      <x:c r="D1417" t="str" s="2">
        <x:f>=""</x:f>
      </x:c>
      <x:c r="E1417" s="0"/>
      <x:c r="F1417" t="str" s="2">
        <x:v>Walk-in</x:v>
      </x:c>
      <x:c r="G1417" t="str" s="2">
        <x:v>Heritage Housing of Augusta</x:v>
      </x:c>
      <x:c r="H1417" t="str" s="2">
        <x:v>Faye Lively</x:v>
      </x:c>
      <x:c r="I1417" t="str" s="2">
        <x:v>Karol Romero</x:v>
      </x:c>
      <x:c r="J1417" s="0"/>
      <x:c r="K1417" t="n" s="2">
        <x:v>5</x:v>
      </x:c>
      <x:c r="L1417" t="str" s="2">
        <x:v>1.1</x:v>
      </x:c>
      <x:c r="M1417" t="str" s="2">
        <x:v>Tentative</x:v>
      </x:c>
      <x:c r="N1417" t="str" s="2">
        <x:v>Prospect</x:v>
      </x:c>
      <x:c r="O1417" s="0"/>
      <x:c r="P1417" s="6">
        <x:v>46280</x:v>
      </x:c>
      <x:c r="Q1417" s="6">
        <x:v>46280.62827800926</x:v>
      </x:c>
      <x:c r="R1417" s="0"/>
      <x:c r="S1417" s="6">
        <x:v>46280</x:v>
      </x:c>
      <x:c r="T1417" s="0"/>
      <x:c r="U1417" s="0"/>
      <x:c r="V1417" s="0"/>
      <x:c r="W1417" s="0"/>
      <x:c r="X1417" t="str" s="2">
        <x:v>7963613835</x:v>
      </x:c>
      <x:c r="Y1417" t="str" s="2">
        <x:v>gwenivey2017@gmail.com</x:v>
      </x:c>
      <x:c r="Z1417" s="0"/>
      <x:c r="AA1417" s="0"/>
      <x:c r="AB1417" s="6">
        <x:v>46280.628278738426</x:v>
      </x:c>
      <x:c r="AC1417" t="n" s="2">
        <x:v>40016</x:v>
      </x:c>
      <x:c r="AD1417" s="0"/>
      <x:c r="AE1417" s="0"/>
      <x:c r="AF1417" s="0"/>
      <x:c r="AG1417" s="0"/>
      <x:c r="AH1417" s="0"/>
      <x:c r="AI1417" s="0"/>
      <x:c r="AJ1417" s="0"/>
      <x:c r="AK1417" s="0"/>
    </x:row>
    <x:row r="1418">
      <x:c r="A1418" t="str" s="2">
        <x:f>=HYPERLINK("https://rsms.futurehomex.com/lead/40017", "Chloe Butler")</x:f>
      </x:c>
      <x:c r="B1418" t="n" s="2">
        <x:v>28</x:v>
      </x:c>
      <x:c r="C1418" t="str" s="2">
        <x:v/>
      </x:c>
      <x:c r="D1418" t="str" s="2">
        <x:f>=""</x:f>
      </x:c>
      <x:c r="E1418" s="0"/>
      <x:c r="F1418" t="str" s="2">
        <x:v>Walk-in</x:v>
      </x:c>
      <x:c r="G1418" t="str" s="2">
        <x:v>Heritage Housing of Tulsa</x:v>
      </x:c>
      <x:c r="H1418" t="str" s="2">
        <x:v>Jenna Fransisco</x:v>
      </x:c>
      <x:c r="I1418" s="0"/>
      <x:c r="J1418" s="0"/>
      <x:c r="K1418" t="n" s="2">
        <x:v>5</x:v>
      </x:c>
      <x:c r="L1418" t="str" s="2">
        <x:v>1.1</x:v>
      </x:c>
      <x:c r="M1418" t="str" s="2">
        <x:v>Tentative</x:v>
      </x:c>
      <x:c r="N1418" t="str" s="2">
        <x:v>Prospect</x:v>
      </x:c>
      <x:c r="O1418" s="0"/>
      <x:c r="P1418" s="6">
        <x:v>46280</x:v>
      </x:c>
      <x:c r="Q1418" s="6">
        <x:v>46280.63134626157</x:v>
      </x:c>
      <x:c r="R1418" s="0"/>
      <x:c r="S1418" s="0"/>
      <x:c r="T1418" s="0"/>
      <x:c r="U1418" s="0"/>
      <x:c r="V1418" s="0"/>
      <x:c r="W1418" s="0"/>
      <x:c r="X1418" t="str" s="2">
        <x:v>9188073739</x:v>
      </x:c>
      <x:c r="Y1418" t="str" s="2">
        <x:v>chloee.n215@gmail.com</x:v>
      </x:c>
      <x:c r="Z1418" s="0"/>
      <x:c r="AA1418" s="0"/>
      <x:c r="AB1418" s="6">
        <x:v>46280.63134699074</x:v>
      </x:c>
      <x:c r="AC1418" t="n" s="2">
        <x:v>40017</x:v>
      </x:c>
      <x:c r="AD1418" s="0"/>
      <x:c r="AE1418" s="0"/>
      <x:c r="AF1418" s="0"/>
      <x:c r="AG1418" s="0"/>
      <x:c r="AH1418" s="0"/>
      <x:c r="AI1418" s="0"/>
      <x:c r="AJ1418" s="0"/>
      <x:c r="AK1418" s="0"/>
    </x:row>
    <x:row r="1419">
      <x:c r="A1419" t="str" s="2">
        <x:f>=HYPERLINK("https://rsms.futurehomex.com/lead/40019", "Terry Martin")</x:f>
      </x:c>
      <x:c r="B1419" t="n" s="2">
        <x:v>28</x:v>
      </x:c>
      <x:c r="C1419" t="str" s="2">
        <x:v>0/2</x:v>
      </x:c>
      <x:c r="D1419" t="str" s="2">
        <x:f>=""</x:f>
      </x:c>
      <x:c r="E1419" s="0"/>
      <x:c r="F1419" t="str" s="2">
        <x:v>Walk-in</x:v>
      </x:c>
      <x:c r="G1419" t="str" s="2">
        <x:v>Heritage Housing of Minden</x:v>
      </x:c>
      <x:c r="H1419" t="str" s="2">
        <x:v>Patrick Schuchart</x:v>
      </x:c>
      <x:c r="I1419" t="str" s="2">
        <x:v>Karol Romero</x:v>
      </x:c>
      <x:c r="J1419" t="str" s="2">
        <x:v>Patrick Schuchart</x:v>
      </x:c>
      <x:c r="K1419" t="n" s="2">
        <x:v>5</x:v>
      </x:c>
      <x:c r="L1419" t="str" s="2">
        <x:v>1.1</x:v>
      </x:c>
      <x:c r="M1419" t="str" s="2">
        <x:v>Tentative</x:v>
      </x:c>
      <x:c r="N1419" t="str" s="2">
        <x:v>Prospect</x:v>
      </x:c>
      <x:c r="O1419" s="0"/>
      <x:c r="P1419" s="6">
        <x:v>46280</x:v>
      </x:c>
      <x:c r="Q1419" s="6">
        <x:v>46280.65521149305</x:v>
      </x:c>
      <x:c r="R1419" t="str" s="2">
        <x:v>Patrick Schuchart</x:v>
      </x:c>
      <x:c r="S1419" s="0"/>
      <x:c r="T1419" s="0"/>
      <x:c r="U1419" s="0"/>
      <x:c r="V1419" s="0"/>
      <x:c r="W1419" s="0"/>
      <x:c r="X1419" t="str" s="2">
        <x:v>3183219210</x:v>
      </x:c>
      <x:c r="Y1419" t="str" s="2">
        <x:v>venessa.scherrier@icloud.com</x:v>
      </x:c>
      <x:c r="Z1419" s="6">
        <x:v>46295.83541234954</x:v>
      </x:c>
      <x:c r="AA1419" t="str" s="2">
        <x:v>Kyla Brown</x:v>
      </x:c>
      <x:c r="AB1419" s="6">
        <x:v>46280.65521215278</x:v>
      </x:c>
      <x:c r="AC1419" t="n" s="2">
        <x:v>40019</x:v>
      </x:c>
      <x:c r="AD1419" s="0"/>
      <x:c r="AE1419" s="0"/>
      <x:c r="AF1419" s="0"/>
      <x:c r="AG1419" s="0"/>
      <x:c r="AH1419" s="0"/>
      <x:c r="AI1419" s="0"/>
      <x:c r="AJ1419" s="0"/>
      <x:c r="AK1419" s="0"/>
    </x:row>
    <x:row r="1420">
      <x:c r="A1420" t="str" s="2">
        <x:f>=HYPERLINK("https://rsms.futurehomex.com/lead/40020", "Jesus Rafael Campusano")</x:f>
      </x:c>
      <x:c r="B1420" t="n" s="2">
        <x:v>28</x:v>
      </x:c>
      <x:c r="C1420" t="str" s="2">
        <x:v>0/1</x:v>
      </x:c>
      <x:c r="D1420" t="str" s="2">
        <x:f>=""</x:f>
      </x:c>
      <x:c r="E1420" s="0"/>
      <x:c r="F1420" t="str" s="2">
        <x:v>Youtube</x:v>
      </x:c>
      <x:c r="G1420" t="str" s="2">
        <x:v>Legacy Housing Corp. DBA Americasa</x:v>
      </x:c>
      <x:c r="H1420" t="str" s="2">
        <x:v>Joey Marquez</x:v>
      </x:c>
      <x:c r="I1420" s="0"/>
      <x:c r="J1420" t="str" s="2">
        <x:v>Rodrigo Ramirez</x:v>
      </x:c>
      <x:c r="K1420" t="n" s="2">
        <x:v>5</x:v>
      </x:c>
      <x:c r="L1420" t="str" s="2">
        <x:v>1.1</x:v>
      </x:c>
      <x:c r="M1420" t="str" s="2">
        <x:v>Tentative</x:v>
      </x:c>
      <x:c r="N1420" t="str" s="2">
        <x:v>Deal Created</x:v>
      </x:c>
      <x:c r="O1420" s="0"/>
      <x:c r="P1420" s="6">
        <x:v>46280</x:v>
      </x:c>
      <x:c r="Q1420" s="6">
        <x:v>46281.04455902778</x:v>
      </x:c>
      <x:c r="R1420" s="0"/>
      <x:c r="S1420" s="0"/>
      <x:c r="T1420" s="0"/>
      <x:c r="U1420" s="0"/>
      <x:c r="V1420" s="0"/>
      <x:c r="W1420" s="0"/>
      <x:c r="X1420" t="str" s="2">
        <x:v>8328583465</x:v>
      </x:c>
      <x:c r="Y1420" t="str" s="2">
        <x:v>arcaenoc@gmail.com</x:v>
      </x:c>
      <x:c r="Z1420" s="6">
        <x:v>46282.86169903935</x:v>
      </x:c>
      <x:c r="AA1420" t="str" s="2">
        <x:v>Victoria Sanchez</x:v>
      </x:c>
      <x:c r="AB1420" s="6">
        <x:v>46280.65583082176</x:v>
      </x:c>
      <x:c r="AC1420" t="n" s="2">
        <x:v>40020</x:v>
      </x:c>
      <x:c r="AD1420" s="0"/>
      <x:c r="AE1420" s="0"/>
      <x:c r="AF1420" s="0"/>
      <x:c r="AG1420" s="0"/>
      <x:c r="AH1420" s="0"/>
      <x:c r="AI1420" s="0"/>
      <x:c r="AJ1420" s="0"/>
      <x:c r="AK1420" s="0"/>
    </x:row>
    <x:row r="1421">
      <x:c r="A1421" t="str" s="2">
        <x:f>=HYPERLINK("https://rsms.futurehomex.com/lead/40021", "Sarah Allen")</x:f>
      </x:c>
      <x:c r="B1421" t="n" s="2">
        <x:v>28</x:v>
      </x:c>
      <x:c r="C1421" t="str" s="2">
        <x:v/>
      </x:c>
      <x:c r="D1421" t="str" s="2">
        <x:f>=""</x:f>
      </x:c>
      <x:c r="E1421" s="0"/>
      <x:c r="F1421" t="str" s="2">
        <x:v>Landing_BPM</x:v>
      </x:c>
      <x:c r="G1421" t="str" s="2">
        <x:v>Heritage Housing Mt Pleasant</x:v>
      </x:c>
      <x:c r="H1421" t="str" s="2">
        <x:v>Sandra Saldana</x:v>
      </x:c>
      <x:c r="I1421" s="0"/>
      <x:c r="J1421" s="0"/>
      <x:c r="K1421" t="n" s="2">
        <x:v>5</x:v>
      </x:c>
      <x:c r="L1421" t="str" s="2">
        <x:v>1.1</x:v>
      </x:c>
      <x:c r="M1421" t="str" s="2">
        <x:v>Tentative</x:v>
      </x:c>
      <x:c r="N1421" t="str" s="2">
        <x:v>Prospect</x:v>
      </x:c>
      <x:c r="O1421" s="0"/>
      <x:c r="P1421" s="6">
        <x:v>46280</x:v>
      </x:c>
      <x:c r="Q1421" s="6">
        <x:v>46280.70372230324</x:v>
      </x:c>
      <x:c r="R1421" s="0"/>
      <x:c r="S1421" s="0"/>
      <x:c r="T1421" s="0"/>
      <x:c r="U1421" s="0"/>
      <x:c r="V1421" s="0"/>
      <x:c r="W1421" s="0"/>
      <x:c r="X1421" t="str" s="2">
        <x:v>6362590051</x:v>
      </x:c>
      <x:c r="Y1421" t="str" s="2">
        <x:v>sgva89@yahoo.com</x:v>
      </x:c>
      <x:c r="Z1421" s="6">
        <x:v>46280.775559456015</x:v>
      </x:c>
      <x:c r="AA1421" t="str" s="2">
        <x:v>Sandra Saldana</x:v>
      </x:c>
      <x:c r="AB1421" s="6">
        <x:v>46280.703724039355</x:v>
      </x:c>
      <x:c r="AC1421" t="n" s="2">
        <x:v>40021</x:v>
      </x:c>
      <x:c r="AD1421" s="0"/>
      <x:c r="AE1421" s="0"/>
      <x:c r="AF1421" s="0"/>
      <x:c r="AG1421" s="0"/>
      <x:c r="AH1421" s="0"/>
      <x:c r="AI1421" s="0"/>
      <x:c r="AJ1421" s="0"/>
      <x:c r="AK1421" s="0"/>
    </x:row>
    <x:row r="1422">
      <x:c r="A1422" t="str" s="2">
        <x:f>=HYPERLINK("https://rsms.futurehomex.com/lead/40022", "Debbie Rowell")</x:f>
      </x:c>
      <x:c r="B1422" t="n" s="2">
        <x:v>28</x:v>
      </x:c>
      <x:c r="C1422" t="str" s="2">
        <x:v/>
      </x:c>
      <x:c r="D1422" t="str" s="2">
        <x:f>=""</x:f>
      </x:c>
      <x:c r="E1422" t="str" s="2">
        <x:v>Stephanne Olsen</x:v>
      </x:c>
      <x:c r="F1422" t="str" s="2">
        <x:v>TikTok Ads -  Froms</x:v>
      </x:c>
      <x:c r="G1422" t="str" s="2">
        <x:v>Heritage Housing of Greenville</x:v>
      </x:c>
      <x:c r="H1422" t="str" s="2">
        <x:v>Oscar Osorio</x:v>
      </x:c>
      <x:c r="I1422" s="0"/>
      <x:c r="J1422" s="0"/>
      <x:c r="K1422" t="n" s="2">
        <x:v>5</x:v>
      </x:c>
      <x:c r="L1422" t="str" s="2">
        <x:v>1.1</x:v>
      </x:c>
      <x:c r="M1422" t="str" s="2">
        <x:v>Dead</x:v>
      </x:c>
      <x:c r="N1422" t="str" s="2">
        <x:v>Prospect</x:v>
      </x:c>
      <x:c r="O1422" s="0"/>
      <x:c r="P1422" s="6">
        <x:v>46280</x:v>
      </x:c>
      <x:c r="Q1422" s="6">
        <x:v>46280.74315246528</x:v>
      </x:c>
      <x:c r="R1422" s="0"/>
      <x:c r="S1422" s="0"/>
      <x:c r="T1422" s="0"/>
      <x:c r="U1422" s="0"/>
      <x:c r="V1422" s="0"/>
      <x:c r="W1422" s="0"/>
      <x:c r="X1422" t="str" s="2">
        <x:v>8177070912</x:v>
      </x:c>
      <x:c r="Y1422" t="str" s="2">
        <x:v>D45babytaz@yahoo.com</x:v>
      </x:c>
      <x:c r="Z1422" s="0"/>
      <x:c r="AA1422" s="0"/>
      <x:c r="AB1422" s="6">
        <x:v>46280.71250991898</x:v>
      </x:c>
      <x:c r="AC1422" t="n" s="2">
        <x:v>40022</x:v>
      </x:c>
      <x:c r="AD1422" s="0"/>
      <x:c r="AE1422" s="0"/>
      <x:c r="AF1422" s="0"/>
      <x:c r="AG1422" s="7">
        <x:v>20000</x:v>
      </x:c>
      <x:c r="AH1422" s="0"/>
      <x:c r="AI1422" t="str" s="2">
        <x:v>699</x:v>
      </x:c>
      <x:c r="AJ1422" s="0"/>
      <x:c r="AK1422" s="0"/>
    </x:row>
    <x:row r="1423">
      <x:c r="A1423" t="str" s="2">
        <x:f>=HYPERLINK("https://rsms.futurehomex.com/lead/40023", "Lorie Horn")</x:f>
      </x:c>
      <x:c r="B1423" t="n" s="2">
        <x:v>28</x:v>
      </x:c>
      <x:c r="C1423" t="str" s="2">
        <x:v>1/1</x:v>
      </x:c>
      <x:c r="D1423" t="str" s="2">
        <x:f>=""</x:f>
      </x:c>
      <x:c r="E1423" s="0"/>
      <x:c r="F1423" t="str" s="2">
        <x:v>Financing Form</x:v>
      </x:c>
      <x:c r="G1423" t="str" s="2">
        <x:v>Heritage Housing of Tulsa</x:v>
      </x:c>
      <x:c r="H1423" t="str" s="2">
        <x:v>Jenna Fransisco</x:v>
      </x:c>
      <x:c r="I1423" s="0"/>
      <x:c r="J1423" t="str" s="2">
        <x:v>Derek Searcy</x:v>
      </x:c>
      <x:c r="K1423" t="n" s="2">
        <x:v>5</x:v>
      </x:c>
      <x:c r="L1423" t="str" s="2">
        <x:v>1.1</x:v>
      </x:c>
      <x:c r="M1423" t="str" s="2">
        <x:v>Tentative</x:v>
      </x:c>
      <x:c r="N1423" t="str" s="2">
        <x:v>Deal Created</x:v>
      </x:c>
      <x:c r="O1423" s="0"/>
      <x:c r="P1423" s="6">
        <x:v>46280</x:v>
      </x:c>
      <x:c r="Q1423" s="6">
        <x:v>46280.73124016204</x:v>
      </x:c>
      <x:c r="R1423" s="0"/>
      <x:c r="S1423" s="0"/>
      <x:c r="T1423" s="0"/>
      <x:c r="U1423" s="0"/>
      <x:c r="V1423" s="0"/>
      <x:c r="W1423" s="0"/>
      <x:c r="X1423" t="str" s="2">
        <x:v>4199899744</x:v>
      </x:c>
      <x:c r="Y1423" t="str" s="2">
        <x:v>loriehorn419@gmail.com</x:v>
      </x:c>
      <x:c r="Z1423" s="0"/>
      <x:c r="AA1423" s="0"/>
      <x:c r="AB1423" s="6">
        <x:v>46280.73124116898</x:v>
      </x:c>
      <x:c r="AC1423" t="n" s="2">
        <x:v>40023</x:v>
      </x:c>
      <x:c r="AD1423" s="0"/>
      <x:c r="AE1423" s="0"/>
      <x:c r="AF1423" s="0"/>
      <x:c r="AG1423" s="0"/>
      <x:c r="AH1423" s="0"/>
      <x:c r="AI1423" s="0"/>
      <x:c r="AJ1423" s="0"/>
      <x:c r="AK1423" s="0"/>
    </x:row>
    <x:row r="1424">
      <x:c r="A1424" t="str" s="2">
        <x:f>=HYPERLINK("https://rsms.futurehomex.com/lead/40024", "Paola Leal Garcia")</x:f>
      </x:c>
      <x:c r="B1424" t="n" s="2">
        <x:v>28</x:v>
      </x:c>
      <x:c r="C1424" t="str" s="2">
        <x:v>0/4</x:v>
      </x:c>
      <x:c r="D1424" t="str" s="2">
        <x:f>=""</x:f>
      </x:c>
      <x:c r="E1424" s="0"/>
      <x:c r="F1424" t="str" s="2">
        <x:v>Facebook Messenger</x:v>
      </x:c>
      <x:c r="G1424" t="str" s="2">
        <x:v>Heritage Housing of Canton</x:v>
      </x:c>
      <x:c r="H1424" t="str" s="2">
        <x:v>Maira Garcia</x:v>
      </x:c>
      <x:c r="I1424" s="0"/>
      <x:c r="J1424" t="str" s="2">
        <x:v>Maira Garcia</x:v>
      </x:c>
      <x:c r="K1424" t="n" s="2">
        <x:v>100</x:v>
      </x:c>
      <x:c r="L1424" t="str" s="2">
        <x:v>6.2</x:v>
      </x:c>
      <x:c r="M1424" t="str" s="2">
        <x:v>Closed</x:v>
      </x:c>
      <x:c r="N1424" t="str" s="2">
        <x:v>Delivered</x:v>
      </x:c>
      <x:c r="O1424" s="6">
        <x:v>46291</x:v>
      </x:c>
      <x:c r="P1424" s="6">
        <x:v>46280</x:v>
      </x:c>
      <x:c r="Q1424" s="6">
        <x:v>46295.54474618055</x:v>
      </x:c>
      <x:c r="R1424" s="0"/>
      <x:c r="S1424" s="6">
        <x:v>46280</x:v>
      </x:c>
      <x:c r="T1424" s="6">
        <x:v>46280</x:v>
      </x:c>
      <x:c r="U1424" s="6">
        <x:v>46282</x:v>
      </x:c>
      <x:c r="V1424" s="6">
        <x:v>46282</x:v>
      </x:c>
      <x:c r="W1424" s="6">
        <x:v>46294</x:v>
      </x:c>
      <x:c r="X1424" t="str" s="2">
        <x:v>4694631849</x:v>
      </x:c>
      <x:c r="Y1424" t="str" s="2">
        <x:v>paoregialeal@gmail.com</x:v>
      </x:c>
      <x:c r="Z1424" s="6">
        <x:v>46293.57683237269</x:v>
      </x:c>
      <x:c r="AA1424" t="str" s="2">
        <x:v>Kristin Breedlove</x:v>
      </x:c>
      <x:c r="AB1424" s="6">
        <x:v>46280.737606793984</x:v>
      </x:c>
      <x:c r="AC1424" t="n" s="2">
        <x:v>40024</x:v>
      </x:c>
      <x:c r="AD1424" t="str" s="2">
        <x:v>Singlewide</x:v>
      </x:c>
      <x:c r="AE1424" t="str" s="2">
        <x:v>Legacy Housing Corporation</x:v>
      </x:c>
      <x:c r="AF1424" s="7">
        <x:v>12020</x:v>
      </x:c>
      <x:c r="AG1424" s="7">
        <x:v>12020</x:v>
      </x:c>
      <x:c r="AH1424" s="7">
        <x:v>12020</x:v>
      </x:c>
      <x:c r="AI1424" s="0"/>
      <x:c r="AJ1424" s="0"/>
      <x:c r="AK1424" s="0"/>
    </x:row>
    <x:row r="1425">
      <x:c r="A1425" t="str" s="2">
        <x:f>=HYPERLINK("https://rsms.futurehomex.com/lead/40025", "Wesley Griffith")</x:f>
      </x:c>
      <x:c r="B1425" t="n" s="2">
        <x:v>28</x:v>
      </x:c>
      <x:c r="C1425" t="str" s="2">
        <x:v>0/1</x:v>
      </x:c>
      <x:c r="D1425" t="str" s="2">
        <x:f>=""</x:f>
      </x:c>
      <x:c r="E1425" s="0"/>
      <x:c r="F1425" t="str" s="2">
        <x:v>Financing Form</x:v>
      </x:c>
      <x:c r="G1425" t="str" s="2">
        <x:v>Heritage Housing of Minden</x:v>
      </x:c>
      <x:c r="H1425" t="str" s="2">
        <x:v>Patrick Schuchart</x:v>
      </x:c>
      <x:c r="I1425" t="str" s="2">
        <x:v>Karol Romero</x:v>
      </x:c>
      <x:c r="J1425" t="str" s="2">
        <x:v>Patrick Schuchart</x:v>
      </x:c>
      <x:c r="K1425" t="n" s="2">
        <x:v>5</x:v>
      </x:c>
      <x:c r="L1425" t="str" s="2">
        <x:v>1.1</x:v>
      </x:c>
      <x:c r="M1425" t="str" s="2">
        <x:v>Tentative</x:v>
      </x:c>
      <x:c r="N1425" t="str" s="2">
        <x:v>Prospect</x:v>
      </x:c>
      <x:c r="O1425" s="0"/>
      <x:c r="P1425" s="6">
        <x:v>46280</x:v>
      </x:c>
      <x:c r="Q1425" s="6">
        <x:v>46283.91558082176</x:v>
      </x:c>
      <x:c r="R1425" t="str" s="2">
        <x:v>Patrick Schuchart</x:v>
      </x:c>
      <x:c r="S1425" s="0"/>
      <x:c r="T1425" s="0"/>
      <x:c r="U1425" s="0"/>
      <x:c r="V1425" s="0"/>
      <x:c r="W1425" s="0"/>
      <x:c r="X1425" t="str" s="2">
        <x:v>3373314672</x:v>
      </x:c>
      <x:c r="Y1425" t="str" s="2">
        <x:v>tonihartz18@gmail.com</x:v>
      </x:c>
      <x:c r="Z1425" s="6">
        <x:v>46295.8308466088</x:v>
      </x:c>
      <x:c r="AA1425" t="str" s="2">
        <x:v>Kyla Brown</x:v>
      </x:c>
      <x:c r="AB1425" s="6">
        <x:v>46280.746596377314</x:v>
      </x:c>
      <x:c r="AC1425" t="n" s="2">
        <x:v>40025</x:v>
      </x:c>
      <x:c r="AD1425" s="0"/>
      <x:c r="AE1425" s="0"/>
      <x:c r="AF1425" s="0"/>
      <x:c r="AG1425" s="0"/>
      <x:c r="AH1425" s="0"/>
      <x:c r="AI1425" s="0"/>
      <x:c r="AJ1425" s="0"/>
      <x:c r="AK1425" s="0"/>
    </x:row>
    <x:row r="1426">
      <x:c r="A1426" t="str" s="2">
        <x:f>=HYPERLINK("https://rsms.futurehomex.com/lead/40026", "Justin Bagley")</x:f>
      </x:c>
      <x:c r="B1426" t="n" s="2">
        <x:v>28</x:v>
      </x:c>
      <x:c r="C1426" t="str" s="2">
        <x:v/>
      </x:c>
      <x:c r="D1426" t="str" s="2">
        <x:f>=""</x:f>
      </x:c>
      <x:c r="E1426" s="0"/>
      <x:c r="F1426" t="str" s="2">
        <x:v>Walk-in</x:v>
      </x:c>
      <x:c r="G1426" t="str" s="2">
        <x:v>Heritage Housing of Augusta</x:v>
      </x:c>
      <x:c r="H1426" t="str" s="2">
        <x:v>Faye Lively</x:v>
      </x:c>
      <x:c r="I1426" s="0"/>
      <x:c r="J1426" s="0"/>
      <x:c r="K1426" t="n" s="2">
        <x:v>5</x:v>
      </x:c>
      <x:c r="L1426" t="str" s="2">
        <x:v>1.1</x:v>
      </x:c>
      <x:c r="M1426" t="str" s="2">
        <x:v>Tentative</x:v>
      </x:c>
      <x:c r="N1426" t="str" s="2">
        <x:v>Prospect</x:v>
      </x:c>
      <x:c r="O1426" s="0"/>
      <x:c r="P1426" s="6">
        <x:v>46280</x:v>
      </x:c>
      <x:c r="Q1426" s="6">
        <x:v>46280.751745023146</x:v>
      </x:c>
      <x:c r="R1426" s="0"/>
      <x:c r="S1426" s="0"/>
      <x:c r="T1426" s="0"/>
      <x:c r="U1426" s="0"/>
      <x:c r="V1426" s="0"/>
      <x:c r="W1426" s="0"/>
      <x:c r="X1426" t="str" s="2">
        <x:v>6789513399</x:v>
      </x:c>
      <x:c r="Y1426" t="str" s="2">
        <x:v>bagleyjustin76@gmail.com</x:v>
      </x:c>
      <x:c r="Z1426" s="0"/>
      <x:c r="AA1426" s="0"/>
      <x:c r="AB1426" s="6">
        <x:v>46280.75174571759</x:v>
      </x:c>
      <x:c r="AC1426" t="n" s="2">
        <x:v>40026</x:v>
      </x:c>
      <x:c r="AD1426" s="0"/>
      <x:c r="AE1426" s="0"/>
      <x:c r="AF1426" s="0"/>
      <x:c r="AG1426" s="0"/>
      <x:c r="AH1426" s="0"/>
      <x:c r="AI1426" s="0"/>
      <x:c r="AJ1426" s="0"/>
      <x:c r="AK1426" s="0"/>
    </x:row>
    <x:row r="1427">
      <x:c r="A1427" t="str" s="2">
        <x:f>=HYPERLINK("https://rsms.futurehomex.com/lead/40027", "Lynnette Hunter")</x:f>
      </x:c>
      <x:c r="B1427" t="n" s="2">
        <x:v>28</x:v>
      </x:c>
      <x:c r="C1427" t="str" s="2">
        <x:v/>
      </x:c>
      <x:c r="D1427" t="str" s="2">
        <x:f>=""</x:f>
      </x:c>
      <x:c r="E1427" s="0"/>
      <x:c r="F1427" t="str" s="2">
        <x:v>Walk-in</x:v>
      </x:c>
      <x:c r="G1427" t="str" s="2">
        <x:v>Heritage Housing of Tulsa</x:v>
      </x:c>
      <x:c r="H1427" t="str" s="2">
        <x:v>Jenna Fransisco</x:v>
      </x:c>
      <x:c r="I1427" s="0"/>
      <x:c r="J1427" s="0"/>
      <x:c r="K1427" t="n" s="2">
        <x:v>5</x:v>
      </x:c>
      <x:c r="L1427" t="str" s="2">
        <x:v>1.1</x:v>
      </x:c>
      <x:c r="M1427" t="str" s="2">
        <x:v>Tentative</x:v>
      </x:c>
      <x:c r="N1427" t="str" s="2">
        <x:v>Prospect</x:v>
      </x:c>
      <x:c r="O1427" s="0"/>
      <x:c r="P1427" s="6">
        <x:v>46280</x:v>
      </x:c>
      <x:c r="Q1427" s="6">
        <x:v>46280.75954892361</x:v>
      </x:c>
      <x:c r="R1427" s="0"/>
      <x:c r="S1427" s="0"/>
      <x:c r="T1427" s="0"/>
      <x:c r="U1427" s="0"/>
      <x:c r="V1427" s="0"/>
      <x:c r="W1427" s="0"/>
      <x:c r="X1427" t="str" s="2">
        <x:v>9183061258</x:v>
      </x:c>
      <x:c r="Y1427" t="str" s="2">
        <x:v>lynnettehunter@hotmail.com</x:v>
      </x:c>
      <x:c r="Z1427" s="0"/>
      <x:c r="AA1427" s="0"/>
      <x:c r="AB1427" s="6">
        <x:v>46280.75954957176</x:v>
      </x:c>
      <x:c r="AC1427" t="n" s="2">
        <x:v>40027</x:v>
      </x:c>
      <x:c r="AD1427" s="0"/>
      <x:c r="AE1427" s="0"/>
      <x:c r="AF1427" s="0"/>
      <x:c r="AG1427" s="0"/>
      <x:c r="AH1427" s="0"/>
      <x:c r="AI1427" s="0"/>
      <x:c r="AJ1427" s="0"/>
      <x:c r="AK1427" s="0"/>
    </x:row>
    <x:row r="1428">
      <x:c r="A1428" t="str" s="2">
        <x:f>=HYPERLINK("https://rsms.futurehomex.com/lead/40028", "Rebecca Hasbell")</x:f>
      </x:c>
      <x:c r="B1428" t="n" s="2">
        <x:v>28</x:v>
      </x:c>
      <x:c r="C1428" t="str" s="2">
        <x:v>0/4</x:v>
      </x:c>
      <x:c r="D1428" t="str" s="2">
        <x:f>=""</x:f>
      </x:c>
      <x:c r="E1428" t="str" s="2">
        <x:v>Mia Hasbell</x:v>
      </x:c>
      <x:c r="F1428" t="str" s="2">
        <x:v>Facebook Messenger</x:v>
      </x:c>
      <x:c r="G1428" t="str" s="2">
        <x:v>Heritage Housing of Oklahoma City</x:v>
      </x:c>
      <x:c r="H1428" t="str" s="2">
        <x:v>Steve Castell</x:v>
      </x:c>
      <x:c r="I1428" s="0"/>
      <x:c r="J1428" t="str" s="2">
        <x:v>Steve Castell</x:v>
      </x:c>
      <x:c r="K1428" t="n" s="2">
        <x:v>59</x:v>
      </x:c>
      <x:c r="L1428" t="str" s="2">
        <x:v>4.3</x:v>
      </x:c>
      <x:c r="M1428" t="str" s="2">
        <x:v>Inactive</x:v>
      </x:c>
      <x:c r="N1428" t="str" s="2">
        <x:v>Loan Approved</x:v>
      </x:c>
      <x:c r="O1428" s="0"/>
      <x:c r="P1428" s="6">
        <x:v>46280</x:v>
      </x:c>
      <x:c r="Q1428" s="6">
        <x:v>46291.64536380787</x:v>
      </x:c>
      <x:c r="R1428" s="0"/>
      <x:c r="S1428" s="6">
        <x:v>46280</x:v>
      </x:c>
      <x:c r="T1428" s="6">
        <x:v>46281</x:v>
      </x:c>
      <x:c r="U1428" s="6">
        <x:v>46290</x:v>
      </x:c>
      <x:c r="V1428" s="6">
        <x:v>46294</x:v>
      </x:c>
      <x:c r="W1428" s="0"/>
      <x:c r="X1428" t="str" s="2">
        <x:v>4053430022</x:v>
      </x:c>
      <x:c r="Y1428" t="str" s="2">
        <x:v>beckyhasbell@gmail.com</x:v>
      </x:c>
      <x:c r="Z1428" s="6">
        <x:v>46294.93330092593</x:v>
      </x:c>
      <x:c r="AA1428" t="str" s="2">
        <x:v>Steve Castell</x:v>
      </x:c>
      <x:c r="AB1428" s="6">
        <x:v>46280.76271461805</x:v>
      </x:c>
      <x:c r="AC1428" t="n" s="2">
        <x:v>40028</x:v>
      </x:c>
      <x:c r="AD1428" t="str" s="2">
        <x:v>Singlewide</x:v>
      </x:c>
      <x:c r="AE1428" t="str" s="2">
        <x:v>21st Mortgage Corporation</x:v>
      </x:c>
      <x:c r="AF1428" s="7">
        <x:v>3500</x:v>
      </x:c>
      <x:c r="AG1428" s="7">
        <x:v>7000</x:v>
      </x:c>
      <x:c r="AH1428" s="0"/>
      <x:c r="AI1428" t="str" s="2">
        <x:v>669</x:v>
      </x:c>
      <x:c r="AJ1428" s="0"/>
      <x:c r="AK1428" s="0"/>
    </x:row>
    <x:row r="1429">
      <x:c r="A1429" t="str" s="2">
        <x:f>=HYPERLINK("https://rsms.futurehomex.com/lead/40029", "Tracy Wright")</x:f>
      </x:c>
      <x:c r="B1429" t="n" s="2">
        <x:v>28</x:v>
      </x:c>
      <x:c r="C1429" t="str" s="2">
        <x:v/>
      </x:c>
      <x:c r="D1429" t="str" s="2">
        <x:f>=""</x:f>
      </x:c>
      <x:c r="E1429" s="0"/>
      <x:c r="F1429" t="str" s="2">
        <x:v>Landing_BPM</x:v>
      </x:c>
      <x:c r="G1429" t="str" s="2">
        <x:v>Heritage Housing of Athens</x:v>
      </x:c>
      <x:c r="H1429" t="str" s="2">
        <x:v>Ethan Fossett</x:v>
      </x:c>
      <x:c r="I1429" s="0"/>
      <x:c r="J1429" t="str" s="2">
        <x:v>Ethan Fossett</x:v>
      </x:c>
      <x:c r="K1429" t="n" s="2">
        <x:v>5</x:v>
      </x:c>
      <x:c r="L1429" t="str" s="2">
        <x:v>1.1</x:v>
      </x:c>
      <x:c r="M1429" t="str" s="2">
        <x:v>Active</x:v>
      </x:c>
      <x:c r="N1429" t="str" s="2">
        <x:v>Prospect</x:v>
      </x:c>
      <x:c r="O1429" s="0"/>
      <x:c r="P1429" s="6">
        <x:v>46280</x:v>
      </x:c>
      <x:c r="Q1429" s="6">
        <x:v>46280.76632306713</x:v>
      </x:c>
      <x:c r="R1429" s="0"/>
      <x:c r="S1429" s="0"/>
      <x:c r="T1429" s="0"/>
      <x:c r="U1429" s="0"/>
      <x:c r="V1429" s="0"/>
      <x:c r="W1429" s="0"/>
      <x:c r="X1429" t="str" s="2">
        <x:v>7627218134</x:v>
      </x:c>
      <x:c r="Y1429" t="str" s="2">
        <x:v>twright2012.tw@gmail.com</x:v>
      </x:c>
      <x:c r="Z1429" s="0"/>
      <x:c r="AA1429" s="0"/>
      <x:c r="AB1429" s="6">
        <x:v>46280.76632369213</x:v>
      </x:c>
      <x:c r="AC1429" t="n" s="2">
        <x:v>40029</x:v>
      </x:c>
      <x:c r="AD1429" s="0"/>
      <x:c r="AE1429" s="0"/>
      <x:c r="AF1429" s="0"/>
      <x:c r="AG1429" s="0"/>
      <x:c r="AH1429" s="0"/>
      <x:c r="AI1429" s="0"/>
      <x:c r="AJ1429" s="0"/>
      <x:c r="AK1429" s="0"/>
    </x:row>
    <x:row r="1430">
      <x:c r="A1430" t="str" s="2">
        <x:f>=HYPERLINK("https://rsms.futurehomex.com/lead/40030", "Charlita Clay")</x:f>
      </x:c>
      <x:c r="B1430" t="n" s="2">
        <x:v>28</x:v>
      </x:c>
      <x:c r="C1430" t="str" s="2">
        <x:v/>
      </x:c>
      <x:c r="D1430" t="str" s="2">
        <x:f>=""</x:f>
      </x:c>
      <x:c r="E1430" s="0"/>
      <x:c r="F1430" t="str" s="2">
        <x:v>Youtube</x:v>
      </x:c>
      <x:c r="G1430" t="str" s="2">
        <x:v>Heritage Housing of Oklahoma City</x:v>
      </x:c>
      <x:c r="H1430" t="str" s="2">
        <x:v>Steve Castell</x:v>
      </x:c>
      <x:c r="I1430" s="0"/>
      <x:c r="J1430" t="str" s="2">
        <x:v>Steve Castell</x:v>
      </x:c>
      <x:c r="K1430" t="n" s="2">
        <x:v>5</x:v>
      </x:c>
      <x:c r="L1430" t="str" s="2">
        <x:v>1.1</x:v>
      </x:c>
      <x:c r="M1430" t="str" s="2">
        <x:v>Dead</x:v>
      </x:c>
      <x:c r="N1430" t="str" s="2">
        <x:v>Deal Created</x:v>
      </x:c>
      <x:c r="O1430" s="0"/>
      <x:c r="P1430" s="6">
        <x:v>46280</x:v>
      </x:c>
      <x:c r="Q1430" s="6">
        <x:v>46280.77816099537</x:v>
      </x:c>
      <x:c r="R1430" s="0"/>
      <x:c r="S1430" s="0"/>
      <x:c r="T1430" s="0"/>
      <x:c r="U1430" s="0"/>
      <x:c r="V1430" s="0"/>
      <x:c r="W1430" s="0"/>
      <x:c r="X1430" t="str" s="2">
        <x:v>4059681526</x:v>
      </x:c>
      <x:c r="Y1430" t="str" s="2">
        <x:v>charlitaclay62@yahoo.com</x:v>
      </x:c>
      <x:c r="Z1430" s="6">
        <x:v>46280.78499980324</x:v>
      </x:c>
      <x:c r="AA1430" t="str" s="2">
        <x:v>Steve Castell</x:v>
      </x:c>
      <x:c r="AB1430" s="6">
        <x:v>46280.77816177083</x:v>
      </x:c>
      <x:c r="AC1430" t="n" s="2">
        <x:v>40030</x:v>
      </x:c>
      <x:c r="AD1430" s="0"/>
      <x:c r="AE1430" s="0"/>
      <x:c r="AF1430" s="0"/>
      <x:c r="AG1430" s="0"/>
      <x:c r="AH1430" s="0"/>
      <x:c r="AI1430" s="0"/>
      <x:c r="AJ1430" s="0"/>
      <x:c r="AK1430" s="0"/>
    </x:row>
    <x:row r="1431">
      <x:c r="A1431" t="str" s="2">
        <x:f>=HYPERLINK("https://rsms.futurehomex.com/lead/40031", "Tina Yeargin")</x:f>
      </x:c>
      <x:c r="B1431" t="n" s="2">
        <x:v>28</x:v>
      </x:c>
      <x:c r="C1431" t="str" s="2">
        <x:v>0/2</x:v>
      </x:c>
      <x:c r="D1431" t="str" s="2">
        <x:f>=""</x:f>
      </x:c>
      <x:c r="E1431" s="0"/>
      <x:c r="F1431" t="str" s="2">
        <x:v>Landing_BPM</x:v>
      </x:c>
      <x:c r="G1431" t="str" s="2">
        <x:v>Heritage Housing of Oklahoma City</x:v>
      </x:c>
      <x:c r="H1431" t="str" s="2">
        <x:v>Steve Castell</x:v>
      </x:c>
      <x:c r="I1431" s="0"/>
      <x:c r="J1431" t="str" s="2">
        <x:v>Steve Castell</x:v>
      </x:c>
      <x:c r="K1431" t="n" s="2">
        <x:v>5</x:v>
      </x:c>
      <x:c r="L1431" t="str" s="2">
        <x:v>1.1</x:v>
      </x:c>
      <x:c r="M1431" t="str" s="2">
        <x:v>Dead</x:v>
      </x:c>
      <x:c r="N1431" t="str" s="2">
        <x:v>Deal Created</x:v>
      </x:c>
      <x:c r="O1431" s="0"/>
      <x:c r="P1431" s="6">
        <x:v>46280</x:v>
      </x:c>
      <x:c r="Q1431" s="6">
        <x:v>46280.785400347224</x:v>
      </x:c>
      <x:c r="R1431" s="0"/>
      <x:c r="S1431" s="0"/>
      <x:c r="T1431" s="0"/>
      <x:c r="U1431" s="0"/>
      <x:c r="V1431" s="0"/>
      <x:c r="W1431" s="0"/>
      <x:c r="X1431" t="str" s="2">
        <x:v>8647725081</x:v>
      </x:c>
      <x:c r="Y1431" t="str" s="2">
        <x:v>ctinatinac@gmail.com</x:v>
      </x:c>
      <x:c r="Z1431" s="6">
        <x:v>46282.99198090278</x:v>
      </x:c>
      <x:c r="AA1431" t="str" s="2">
        <x:v>Steve Castell</x:v>
      </x:c>
      <x:c r="AB1431" s="6">
        <x:v>46280.78540115741</x:v>
      </x:c>
      <x:c r="AC1431" t="n" s="2">
        <x:v>40031</x:v>
      </x:c>
      <x:c r="AD1431" s="0"/>
      <x:c r="AE1431" s="0"/>
      <x:c r="AF1431" s="0"/>
      <x:c r="AG1431" s="0"/>
      <x:c r="AH1431" s="0"/>
      <x:c r="AI1431" s="0"/>
      <x:c r="AJ1431" s="0"/>
      <x:c r="AK1431" s="0"/>
    </x:row>
    <x:row r="1432">
      <x:c r="A1432" t="str" s="2">
        <x:f>=HYPERLINK("https://rsms.futurehomex.com/lead/40034", "Trinity Fisher")</x:f>
      </x:c>
      <x:c r="B1432" t="n" s="2">
        <x:v>28</x:v>
      </x:c>
      <x:c r="C1432" t="str" s="2">
        <x:v>0/4</x:v>
      </x:c>
      <x:c r="D1432" t="str" s="2">
        <x:f>=""</x:f>
      </x:c>
      <x:c r="E1432" s="0"/>
      <x:c r="F1432" t="str" s="2">
        <x:v>Landing_BPM</x:v>
      </x:c>
      <x:c r="G1432" t="str" s="2">
        <x:v>Heritage Housing of Oklahoma City</x:v>
      </x:c>
      <x:c r="H1432" t="str" s="2">
        <x:v>Noemi Rojo</x:v>
      </x:c>
      <x:c r="I1432" s="0"/>
      <x:c r="J1432" s="0"/>
      <x:c r="K1432" t="n" s="2">
        <x:v>5</x:v>
      </x:c>
      <x:c r="L1432" t="str" s="2">
        <x:v>1.1</x:v>
      </x:c>
      <x:c r="M1432" t="str" s="2">
        <x:v>Tentative</x:v>
      </x:c>
      <x:c r="N1432" t="str" s="2">
        <x:v>Deal Created</x:v>
      </x:c>
      <x:c r="O1432" s="0"/>
      <x:c r="P1432" s="6">
        <x:v>46280</x:v>
      </x:c>
      <x:c r="Q1432" s="6">
        <x:v>46295.935207372684</x:v>
      </x:c>
      <x:c r="R1432" s="0"/>
      <x:c r="S1432" s="0"/>
      <x:c r="T1432" s="0"/>
      <x:c r="U1432" s="0"/>
      <x:c r="V1432" s="0"/>
      <x:c r="W1432" s="0"/>
      <x:c r="X1432" t="str" s="2">
        <x:v>4054932011</x:v>
      </x:c>
      <x:c r="Y1432" t="str" s="2">
        <x:v>trfisher1116@gmail.com</x:v>
      </x:c>
      <x:c r="Z1432" s="6">
        <x:v>46301.721138657405</x:v>
      </x:c>
      <x:c r="AA1432" t="str" s="2">
        <x:v>Noemi Rojo</x:v>
      </x:c>
      <x:c r="AB1432" s="6">
        <x:v>46282.99266172454</x:v>
      </x:c>
      <x:c r="AC1432" t="n" s="2">
        <x:v>40034</x:v>
      </x:c>
      <x:c r="AD1432" s="0"/>
      <x:c r="AE1432" s="0"/>
      <x:c r="AF1432" s="0"/>
      <x:c r="AG1432" s="0"/>
      <x:c r="AH1432" s="0"/>
      <x:c r="AI1432" s="0"/>
      <x:c r="AJ1432" s="0"/>
      <x:c r="AK1432" s="0"/>
    </x:row>
    <x:row r="1433">
      <x:c r="A1433" t="str" s="2">
        <x:f>=HYPERLINK("https://rsms.futurehomex.com/lead/40035", "Sintia Vinden")</x:f>
      </x:c>
      <x:c r="B1433" t="n" s="2">
        <x:v>28</x:v>
      </x:c>
      <x:c r="C1433" t="str" s="2">
        <x:v/>
      </x:c>
      <x:c r="D1433" t="str" s="2">
        <x:f>=""</x:f>
      </x:c>
      <x:c r="E1433" s="0"/>
      <x:c r="F1433" t="str" s="2">
        <x:v>Referrals</x:v>
      </x:c>
      <x:c r="G1433" t="str" s="2">
        <x:v>Legacy Housing Corp. DBA Americasa</x:v>
      </x:c>
      <x:c r="H1433" t="str" s="2">
        <x:v>Jose Parada</x:v>
      </x:c>
      <x:c r="I1433" t="str" s="2">
        <x:v>Karol Romero</x:v>
      </x:c>
      <x:c r="J1433" t="str" s="2">
        <x:v>Jose Parada</x:v>
      </x:c>
      <x:c r="K1433" t="n" s="2">
        <x:v>5</x:v>
      </x:c>
      <x:c r="L1433" t="str" s="2">
        <x:v>1.1</x:v>
      </x:c>
      <x:c r="M1433" t="str" s="2">
        <x:v>Tentative</x:v>
      </x:c>
      <x:c r="N1433" t="str" s="2">
        <x:v>Deal Created</x:v>
      </x:c>
      <x:c r="O1433" s="0"/>
      <x:c r="P1433" s="6">
        <x:v>46280</x:v>
      </x:c>
      <x:c r="Q1433" s="6">
        <x:v>46280.84817670139</x:v>
      </x:c>
      <x:c r="R1433" s="0"/>
      <x:c r="S1433" s="0"/>
      <x:c r="T1433" s="0"/>
      <x:c r="U1433" s="0"/>
      <x:c r="V1433" s="0"/>
      <x:c r="W1433" s="0"/>
      <x:c r="X1433" t="str" s="2">
        <x:v>2818184487</x:v>
      </x:c>
      <x:c r="Y1433" t="str" s="2">
        <x:v>2818184487</x:v>
      </x:c>
      <x:c r="Z1433" s="0"/>
      <x:c r="AA1433" s="0"/>
      <x:c r="AB1433" s="6">
        <x:v>46280.84817878472</x:v>
      </x:c>
      <x:c r="AC1433" t="n" s="2">
        <x:v>40035</x:v>
      </x:c>
      <x:c r="AD1433" s="0"/>
      <x:c r="AE1433" s="0"/>
      <x:c r="AF1433" s="0"/>
      <x:c r="AG1433" s="0"/>
      <x:c r="AH1433" s="0"/>
      <x:c r="AI1433" s="0"/>
      <x:c r="AJ1433" s="0"/>
      <x:c r="AK1433" s="0"/>
    </x:row>
    <x:row r="1434">
      <x:c r="A1434" t="str" s="2">
        <x:f>=HYPERLINK("https://rsms.futurehomex.com/lead/40036", "Gwen Bryant")</x:f>
      </x:c>
      <x:c r="B1434" t="n" s="2">
        <x:v>28</x:v>
      </x:c>
      <x:c r="C1434" t="str" s="2">
        <x:v>1/2</x:v>
      </x:c>
      <x:c r="D1434" t="str" s="2">
        <x:f>=""</x:f>
      </x:c>
      <x:c r="E1434" s="0"/>
      <x:c r="F1434" t="str" s="2">
        <x:v>Walk-in</x:v>
      </x:c>
      <x:c r="G1434" t="str" s="2">
        <x:v>Heritage Housing of Oklahoma City</x:v>
      </x:c>
      <x:c r="H1434" t="str" s="2">
        <x:v>Alejandra Calderon</x:v>
      </x:c>
      <x:c r="I1434" t="str" s="2">
        <x:v>Karol Romero</x:v>
      </x:c>
      <x:c r="J1434" s="0"/>
      <x:c r="K1434" t="n" s="2">
        <x:v>5</x:v>
      </x:c>
      <x:c r="L1434" t="str" s="2">
        <x:v>1.1</x:v>
      </x:c>
      <x:c r="M1434" t="str" s="2">
        <x:v>Tentative</x:v>
      </x:c>
      <x:c r="N1434" t="str" s="2">
        <x:v>Prospect</x:v>
      </x:c>
      <x:c r="O1434" s="0"/>
      <x:c r="P1434" s="6">
        <x:v>46280</x:v>
      </x:c>
      <x:c r="Q1434" s="6">
        <x:v>46280.85607005787</x:v>
      </x:c>
      <x:c r="R1434" s="0"/>
      <x:c r="S1434" s="6">
        <x:v>46280</x:v>
      </x:c>
      <x:c r="T1434" s="0"/>
      <x:c r="U1434" s="0"/>
      <x:c r="V1434" s="0"/>
      <x:c r="W1434" s="0"/>
      <x:c r="X1434" t="str" s="2">
        <x:v>4056273939</x:v>
      </x:c>
      <x:c r="Y1434" t="str" s="2">
        <x:v>gnjbryant@gmail.com</x:v>
      </x:c>
      <x:c r="Z1434" s="6">
        <x:v>46289.97628603009</x:v>
      </x:c>
      <x:c r="AA1434" t="str" s="2">
        <x:v>Alejandra Calderon</x:v>
      </x:c>
      <x:c r="AB1434" s="6">
        <x:v>46280.85607230324</x:v>
      </x:c>
      <x:c r="AC1434" t="n" s="2">
        <x:v>40036</x:v>
      </x:c>
      <x:c r="AD1434" s="0"/>
      <x:c r="AE1434" s="0"/>
      <x:c r="AF1434" s="0"/>
      <x:c r="AG1434" s="0"/>
      <x:c r="AH1434" s="0"/>
      <x:c r="AI1434" s="0"/>
      <x:c r="AJ1434" s="0"/>
      <x:c r="AK1434" s="0"/>
    </x:row>
    <x:row r="1435">
      <x:c r="A1435" t="str" s="2">
        <x:f>=HYPERLINK("https://rsms.futurehomex.com/lead/40038", "Walter Gammill")</x:f>
      </x:c>
      <x:c r="B1435" t="n" s="2">
        <x:v>28</x:v>
      </x:c>
      <x:c r="C1435" t="str" s="2">
        <x:v>0/1</x:v>
      </x:c>
      <x:c r="D1435" t="str" s="2">
        <x:f>=""</x:f>
      </x:c>
      <x:c r="E1435" t="str" s="2">
        <x:v>Athena Smith</x:v>
      </x:c>
      <x:c r="F1435" t="str" s="2">
        <x:v>Financing Form</x:v>
      </x:c>
      <x:c r="G1435" t="str" s="2">
        <x:v>Heritage Housing of Minden</x:v>
      </x:c>
      <x:c r="H1435" t="str" s="2">
        <x:v>Patrick Schuchart</x:v>
      </x:c>
      <x:c r="I1435" t="str" s="2">
        <x:v>Karol Romero</x:v>
      </x:c>
      <x:c r="J1435" t="str" s="2">
        <x:v>Patrick Schuchart</x:v>
      </x:c>
      <x:c r="K1435" t="n" s="2">
        <x:v>59</x:v>
      </x:c>
      <x:c r="L1435" t="str" s="2">
        <x:v>4.3</x:v>
      </x:c>
      <x:c r="M1435" t="str" s="2">
        <x:v>Active</x:v>
      </x:c>
      <x:c r="N1435" t="str" s="2">
        <x:v>Loan Approved</x:v>
      </x:c>
      <x:c r="O1435" s="6">
        <x:v>46311</x:v>
      </x:c>
      <x:c r="P1435" s="6">
        <x:v>46280</x:v>
      </x:c>
      <x:c r="Q1435" s="6">
        <x:v>46297.63952268518</x:v>
      </x:c>
      <x:c r="R1435" t="str" s="2">
        <x:v>Patrick Schuchart</x:v>
      </x:c>
      <x:c r="S1435" s="6">
        <x:v>46281</x:v>
      </x:c>
      <x:c r="T1435" s="6">
        <x:v>46281</x:v>
      </x:c>
      <x:c r="U1435" s="6">
        <x:v>46287</x:v>
      </x:c>
      <x:c r="V1435" s="6">
        <x:v>46288</x:v>
      </x:c>
      <x:c r="W1435" s="0"/>
      <x:c r="X1435" t="str" s="2">
        <x:v>3373151653</x:v>
      </x:c>
      <x:c r="Y1435" t="str" s="2">
        <x:v>keith.gammill@gmail.com</x:v>
      </x:c>
      <x:c r="Z1435" s="6">
        <x:v>46288.93759424768</x:v>
      </x:c>
      <x:c r="AA1435" t="str" s="2">
        <x:v>Meliza Banda</x:v>
      </x:c>
      <x:c r="AB1435" s="6">
        <x:v>46280.87375165509</x:v>
      </x:c>
      <x:c r="AC1435" t="n" s="2">
        <x:v>40038</x:v>
      </x:c>
      <x:c r="AD1435" t="str" s="2">
        <x:v>Singlewide</x:v>
      </x:c>
      <x:c r="AE1435" t="str" s="2">
        <x:v>Legacy Housing Corporation</x:v>
      </x:c>
      <x:c r="AF1435" s="7">
        <x:v>13675</x:v>
      </x:c>
      <x:c r="AG1435" s="7">
        <x:v>7000</x:v>
      </x:c>
      <x:c r="AH1435" s="0"/>
      <x:c r="AI1435" t="str" s="2">
        <x:v>611</x:v>
      </x:c>
      <x:c r="AJ1435" s="0"/>
      <x:c r="AK1435" s="0"/>
    </x:row>
    <x:row r="1436">
      <x:c r="A1436" t="str" s="2">
        <x:f>=HYPERLINK("https://rsms.futurehomex.com/lead/40040", "Stephanne Olsen")</x:f>
      </x:c>
      <x:c r="B1436" t="n" s="2">
        <x:v>28</x:v>
      </x:c>
      <x:c r="C1436" t="str" s="2">
        <x:v>0/4</x:v>
      </x:c>
      <x:c r="D1436" t="str" s="2">
        <x:f>=""</x:f>
      </x:c>
      <x:c r="E1436" s="0"/>
      <x:c r="F1436" t="str" s="2">
        <x:v>Facebook Messenger</x:v>
      </x:c>
      <x:c r="G1436" t="str" s="2">
        <x:v>Heritage Housing of Greenville</x:v>
      </x:c>
      <x:c r="H1436" t="str" s="2">
        <x:v>Oscar Osorio</x:v>
      </x:c>
      <x:c r="I1436" s="0"/>
      <x:c r="J1436" t="str" s="2">
        <x:v>Oscar Osorio</x:v>
      </x:c>
      <x:c r="K1436" t="n" s="2">
        <x:v>100</x:v>
      </x:c>
      <x:c r="L1436" t="str" s="2">
        <x:v>6.2</x:v>
      </x:c>
      <x:c r="M1436" t="str" s="2">
        <x:v>Closed</x:v>
      </x:c>
      <x:c r="N1436" t="str" s="2">
        <x:v>Delivered</x:v>
      </x:c>
      <x:c r="O1436" s="6">
        <x:v>46290</x:v>
      </x:c>
      <x:c r="P1436" s="6">
        <x:v>46280</x:v>
      </x:c>
      <x:c r="Q1436" s="6">
        <x:v>46294.77195859954</x:v>
      </x:c>
      <x:c r="R1436" s="0"/>
      <x:c r="S1436" s="6">
        <x:v>46280</x:v>
      </x:c>
      <x:c r="T1436" s="6">
        <x:v>46280</x:v>
      </x:c>
      <x:c r="U1436" s="6">
        <x:v>46282</x:v>
      </x:c>
      <x:c r="V1436" s="6">
        <x:v>46282</x:v>
      </x:c>
      <x:c r="W1436" s="6">
        <x:v>46295</x:v>
      </x:c>
      <x:c r="X1436" t="str" s="2">
        <x:v>8178743479</x:v>
      </x:c>
      <x:c r="Y1436" t="str" s="2">
        <x:v>D45babytaz@yahoo.com</x:v>
      </x:c>
      <x:c r="Z1436" s="6">
        <x:v>46293.62827028935</x:v>
      </x:c>
      <x:c r="AA1436" t="str" s="2">
        <x:v>Dane Lara</x:v>
      </x:c>
      <x:c r="AB1436" s="6">
        <x:v>46280.8891596875</x:v>
      </x:c>
      <x:c r="AC1436" t="n" s="2">
        <x:v>40040</x:v>
      </x:c>
      <x:c r="AD1436" t="str" s="2">
        <x:v>Singlewide</x:v>
      </x:c>
      <x:c r="AE1436" t="str" s="2">
        <x:v>Legacy Housing Corporation</x:v>
      </x:c>
      <x:c r="AF1436" s="7">
        <x:v>23411</x:v>
      </x:c>
      <x:c r="AG1436" s="7">
        <x:v>20000</x:v>
      </x:c>
      <x:c r="AH1436" s="7">
        <x:v>23411</x:v>
      </x:c>
      <x:c r="AI1436" t="str" s="2">
        <x:v>662</x:v>
      </x:c>
      <x:c r="AJ1436" s="0"/>
      <x:c r="AK1436" t="str" s="6">
        <x:v>2026-09-29</x:v>
      </x:c>
    </x:row>
    <x:row r="1437">
      <x:c r="A1437" t="str" s="2">
        <x:f>=HYPERLINK("https://rsms.futurehomex.com/lead/40041", "Amy Bussard")</x:f>
      </x:c>
      <x:c r="B1437" t="n" s="2">
        <x:v>28</x:v>
      </x:c>
      <x:c r="C1437" t="str" s="2">
        <x:v/>
      </x:c>
      <x:c r="D1437" t="str" s="2">
        <x:f>=""</x:f>
      </x:c>
      <x:c r="E1437" s="0"/>
      <x:c r="F1437" t="str" s="2">
        <x:v>Walk-in</x:v>
      </x:c>
      <x:c r="G1437" t="str" s="2">
        <x:v>Heritage Housing of Tulsa</x:v>
      </x:c>
      <x:c r="H1437" t="str" s="2">
        <x:v>Jenna Fransisco</x:v>
      </x:c>
      <x:c r="I1437" s="0"/>
      <x:c r="J1437" s="0"/>
      <x:c r="K1437" t="n" s="2">
        <x:v>5</x:v>
      </x:c>
      <x:c r="L1437" t="str" s="2">
        <x:v>1.1</x:v>
      </x:c>
      <x:c r="M1437" t="str" s="2">
        <x:v>Tentative</x:v>
      </x:c>
      <x:c r="N1437" t="str" s="2">
        <x:v>Prospect</x:v>
      </x:c>
      <x:c r="O1437" s="0"/>
      <x:c r="P1437" s="6">
        <x:v>46280</x:v>
      </x:c>
      <x:c r="Q1437" s="6">
        <x:v>46280.894397951386</x:v>
      </x:c>
      <x:c r="R1437" s="0"/>
      <x:c r="S1437" s="0"/>
      <x:c r="T1437" s="0"/>
      <x:c r="U1437" s="0"/>
      <x:c r="V1437" s="0"/>
      <x:c r="W1437" s="0"/>
      <x:c r="X1437" t="str" s="2">
        <x:v>9185096708</x:v>
      </x:c>
      <x:c r="Y1437" t="str" s="2">
        <x:v>amybussard9@gmail.com</x:v>
      </x:c>
      <x:c r="Z1437" s="0"/>
      <x:c r="AA1437" s="0"/>
      <x:c r="AB1437" s="6">
        <x:v>46280.89439864583</x:v>
      </x:c>
      <x:c r="AC1437" t="n" s="2">
        <x:v>40041</x:v>
      </x:c>
      <x:c r="AD1437" s="0"/>
      <x:c r="AE1437" s="0"/>
      <x:c r="AF1437" s="0"/>
      <x:c r="AG1437" s="0"/>
      <x:c r="AH1437" s="0"/>
      <x:c r="AI1437" s="0"/>
      <x:c r="AJ1437" s="0"/>
      <x:c r="AK1437" s="0"/>
    </x:row>
    <x:row r="1438">
      <x:c r="A1438" t="str" s="2">
        <x:f>=HYPERLINK("https://rsms.futurehomex.com/lead/40042", "Tiffany Hernandez")</x:f>
      </x:c>
      <x:c r="B1438" t="n" s="2">
        <x:v>28</x:v>
      </x:c>
      <x:c r="C1438" t="str" s="2">
        <x:v>0/5</x:v>
      </x:c>
      <x:c r="D1438" t="str" s="2">
        <x:f>=""</x:f>
      </x:c>
      <x:c r="E1438" s="0"/>
      <x:c r="F1438" t="str" s="2">
        <x:v>LandingPage</x:v>
      </x:c>
      <x:c r="G1438" t="str" s="2">
        <x:v>Heritage Housing of Oklahoma City</x:v>
      </x:c>
      <x:c r="H1438" t="str" s="2">
        <x:v>Noemi Rojo</x:v>
      </x:c>
      <x:c r="I1438" s="0"/>
      <x:c r="J1438" s="0"/>
      <x:c r="K1438" t="n" s="2">
        <x:v>5</x:v>
      </x:c>
      <x:c r="L1438" t="str" s="2">
        <x:v>1.1</x:v>
      </x:c>
      <x:c r="M1438" t="str" s="2">
        <x:v>Tentative</x:v>
      </x:c>
      <x:c r="N1438" t="str" s="2">
        <x:v>Deal Created</x:v>
      </x:c>
      <x:c r="O1438" s="0"/>
      <x:c r="P1438" s="6">
        <x:v>46280</x:v>
      </x:c>
      <x:c r="Q1438" s="6">
        <x:v>46295.946886770835</x:v>
      </x:c>
      <x:c r="R1438" s="0"/>
      <x:c r="S1438" s="0"/>
      <x:c r="T1438" s="0"/>
      <x:c r="U1438" s="0"/>
      <x:c r="V1438" s="0"/>
      <x:c r="W1438" s="0"/>
      <x:c r="X1438" t="str" s="2">
        <x:v>4059130542</x:v>
      </x:c>
      <x:c r="Y1438" t="str" s="2">
        <x:v>tiffanymansfield55@gmail.com</x:v>
      </x:c>
      <x:c r="Z1438" s="6">
        <x:v>46301.721067164355</x:v>
      </x:c>
      <x:c r="AA1438" t="str" s="2">
        <x:v>Noemi Rojo</x:v>
      </x:c>
      <x:c r="AB1438" s="6">
        <x:v>46282.99465454861</x:v>
      </x:c>
      <x:c r="AC1438" t="n" s="2">
        <x:v>40042</x:v>
      </x:c>
      <x:c r="AD1438" s="0"/>
      <x:c r="AE1438" s="0"/>
      <x:c r="AF1438" s="0"/>
      <x:c r="AG1438" s="0"/>
      <x:c r="AH1438" s="0"/>
      <x:c r="AI1438" s="0"/>
      <x:c r="AJ1438" s="0"/>
      <x:c r="AK1438" s="0"/>
    </x:row>
    <x:row r="1439">
      <x:c r="A1439" t="str" s="2">
        <x:f>=HYPERLINK("https://rsms.futurehomex.com/lead/40044", "Edwin Flores")</x:f>
      </x:c>
      <x:c r="B1439" t="n" s="2">
        <x:v>28</x:v>
      </x:c>
      <x:c r="C1439" t="str" s="2">
        <x:v>0/1</x:v>
      </x:c>
      <x:c r="D1439" t="str" s="2">
        <x:f>=""</x:f>
      </x:c>
      <x:c r="E1439" s="0"/>
      <x:c r="F1439" t="str" s="2">
        <x:v>Walk-in</x:v>
      </x:c>
      <x:c r="G1439" t="str" s="2">
        <x:v>Legacy Housing Corp. DBA Americasa</x:v>
      </x:c>
      <x:c r="H1439" t="str" s="2">
        <x:v>Joey Marquez</x:v>
      </x:c>
      <x:c r="I1439" t="str" s="2">
        <x:v>Karol Romero</x:v>
      </x:c>
      <x:c r="J1439" t="str" s="2">
        <x:v>Rodrigo Ramirez</x:v>
      </x:c>
      <x:c r="K1439" t="n" s="2">
        <x:v>5</x:v>
      </x:c>
      <x:c r="L1439" t="str" s="2">
        <x:v>1.1</x:v>
      </x:c>
      <x:c r="M1439" t="str" s="2">
        <x:v>Inactive</x:v>
      </x:c>
      <x:c r="N1439" t="str" s="2">
        <x:v>Deal Created</x:v>
      </x:c>
      <x:c r="O1439" s="0"/>
      <x:c r="P1439" s="6">
        <x:v>46280</x:v>
      </x:c>
      <x:c r="Q1439" s="6">
        <x:v>46280.9252153125</x:v>
      </x:c>
      <x:c r="R1439" s="0"/>
      <x:c r="S1439" s="6">
        <x:v>46280</x:v>
      </x:c>
      <x:c r="T1439" s="0"/>
      <x:c r="U1439" s="0"/>
      <x:c r="V1439" s="0"/>
      <x:c r="W1439" s="0"/>
      <x:c r="X1439" t="str" s="2">
        <x:v>3467796046</x:v>
      </x:c>
      <x:c r="Y1439" t="str" s="2">
        <x:v>3467796046</x:v>
      </x:c>
      <x:c r="Z1439" s="6">
        <x:v>46296.666785381945</x:v>
      </x:c>
      <x:c r="AA1439" t="str" s="2">
        <x:v>Joey Marquez</x:v>
      </x:c>
      <x:c r="AB1439" s="6">
        <x:v>46280.92521721065</x:v>
      </x:c>
      <x:c r="AC1439" t="n" s="2">
        <x:v>40044</x:v>
      </x:c>
      <x:c r="AD1439" s="0"/>
      <x:c r="AE1439" s="0"/>
      <x:c r="AF1439" s="0"/>
      <x:c r="AG1439" s="0"/>
      <x:c r="AH1439" s="0"/>
      <x:c r="AI1439" s="0"/>
      <x:c r="AJ1439" s="0"/>
      <x:c r="AK1439" s="0"/>
    </x:row>
    <x:row r="1440">
      <x:c r="A1440" t="str" s="2">
        <x:f>=HYPERLINK("https://rsms.futurehomex.com/lead/40045", "Laura Francis")</x:f>
      </x:c>
      <x:c r="B1440" t="n" s="2">
        <x:v>28</x:v>
      </x:c>
      <x:c r="C1440" t="str" s="2">
        <x:v>0/4</x:v>
      </x:c>
      <x:c r="D1440" t="str" s="2">
        <x:f>=""</x:f>
      </x:c>
      <x:c r="E1440" s="0"/>
      <x:c r="F1440" t="str" s="2">
        <x:v>Youtube</x:v>
      </x:c>
      <x:c r="G1440" t="str" s="2">
        <x:v>Heritage Housing of Oklahoma City</x:v>
      </x:c>
      <x:c r="H1440" t="str" s="2">
        <x:v>Steve Castell</x:v>
      </x:c>
      <x:c r="I1440" s="0"/>
      <x:c r="J1440" t="str" s="2">
        <x:v>Steve Castell</x:v>
      </x:c>
      <x:c r="K1440" t="n" s="2">
        <x:v>5</x:v>
      </x:c>
      <x:c r="L1440" t="str" s="2">
        <x:v>1.1</x:v>
      </x:c>
      <x:c r="M1440" t="str" s="2">
        <x:v>Dead</x:v>
      </x:c>
      <x:c r="N1440" t="str" s="2">
        <x:v>Deal Created</x:v>
      </x:c>
      <x:c r="O1440" s="0"/>
      <x:c r="P1440" s="6">
        <x:v>46280</x:v>
      </x:c>
      <x:c r="Q1440" s="6">
        <x:v>46281.06171307871</x:v>
      </x:c>
      <x:c r="R1440" s="0"/>
      <x:c r="S1440" s="0"/>
      <x:c r="T1440" s="0"/>
      <x:c r="U1440" s="0"/>
      <x:c r="V1440" s="0"/>
      <x:c r="W1440" s="0"/>
      <x:c r="X1440" t="str" s="2">
        <x:v>5802776197</x:v>
      </x:c>
      <x:c r="Y1440" t="str" s="2">
        <x:v>pircnm27@gmail.com</x:v>
      </x:c>
      <x:c r="Z1440" s="6">
        <x:v>46296.65095717592</x:v>
      </x:c>
      <x:c r="AA1440" t="str" s="2">
        <x:v>Steve Castell</x:v>
      </x:c>
      <x:c r="AB1440" s="6">
        <x:v>46280.951500613424</x:v>
      </x:c>
      <x:c r="AC1440" t="n" s="2">
        <x:v>40045</x:v>
      </x:c>
      <x:c r="AD1440" s="0"/>
      <x:c r="AE1440" s="0"/>
      <x:c r="AF1440" s="0"/>
      <x:c r="AG1440" s="0"/>
      <x:c r="AH1440" s="0"/>
      <x:c r="AI1440" s="0"/>
      <x:c r="AJ1440" s="0"/>
      <x:c r="AK1440" s="0"/>
    </x:row>
    <x:row r="1441">
      <x:c r="A1441" t="str" s="2">
        <x:f>=HYPERLINK("https://rsms.futurehomex.com/lead/40046", "John Mays")</x:f>
      </x:c>
      <x:c r="B1441" t="n" s="2">
        <x:v>28</x:v>
      </x:c>
      <x:c r="C1441" t="str" s="2">
        <x:v/>
      </x:c>
      <x:c r="D1441" t="str" s="2">
        <x:f>=""</x:f>
      </x:c>
      <x:c r="E1441" s="0"/>
      <x:c r="F1441" t="str" s="2">
        <x:v>Meta Ads - Forms</x:v>
      </x:c>
      <x:c r="G1441" t="str" s="2">
        <x:v>Heritage Housing of Oklahoma City</x:v>
      </x:c>
      <x:c r="H1441" t="str" s="2">
        <x:v>Steve Castell</x:v>
      </x:c>
      <x:c r="I1441" s="0"/>
      <x:c r="J1441" t="str" s="2">
        <x:v>Steve Castell</x:v>
      </x:c>
      <x:c r="K1441" t="n" s="2">
        <x:v>5</x:v>
      </x:c>
      <x:c r="L1441" t="str" s="2">
        <x:v>1.1</x:v>
      </x:c>
      <x:c r="M1441" t="str" s="2">
        <x:v>Inactive</x:v>
      </x:c>
      <x:c r="N1441" t="str" s="2">
        <x:v>Deal Created</x:v>
      </x:c>
      <x:c r="O1441" s="0"/>
      <x:c r="P1441" s="6">
        <x:v>46280</x:v>
      </x:c>
      <x:c r="Q1441" s="6">
        <x:v>46280.97691315972</x:v>
      </x:c>
      <x:c r="R1441" s="0"/>
      <x:c r="S1441" s="0"/>
      <x:c r="T1441" s="0"/>
      <x:c r="U1441" s="0"/>
      <x:c r="V1441" s="0"/>
      <x:c r="W1441" s="0"/>
      <x:c r="X1441" t="str" s="2">
        <x:v>4054417342</x:v>
      </x:c>
      <x:c r="Y1441" t="str" s="2">
        <x:v>johnmays1972@gmail.com</x:v>
      </x:c>
      <x:c r="Z1441" s="6">
        <x:v>46280.97779907408</x:v>
      </x:c>
      <x:c r="AA1441" t="str" s="2">
        <x:v>Steve Castell</x:v>
      </x:c>
      <x:c r="AB1441" s="6">
        <x:v>46280.97691385417</x:v>
      </x:c>
      <x:c r="AC1441" t="n" s="2">
        <x:v>40046</x:v>
      </x:c>
      <x:c r="AD1441" s="0"/>
      <x:c r="AE1441" s="0"/>
      <x:c r="AF1441" s="0"/>
      <x:c r="AG1441" s="0"/>
      <x:c r="AH1441" s="0"/>
      <x:c r="AI1441" s="0"/>
      <x:c r="AJ1441" s="0"/>
      <x:c r="AK1441" s="0"/>
    </x:row>
    <x:row r="1442">
      <x:c r="A1442" t="str" s="2">
        <x:f>=HYPERLINK("https://rsms.futurehomex.com/lead/40047", "Casey Rosales")</x:f>
      </x:c>
      <x:c r="B1442" t="n" s="2">
        <x:v>28</x:v>
      </x:c>
      <x:c r="C1442" t="str" s="2">
        <x:v/>
      </x:c>
      <x:c r="D1442" t="str" s="2">
        <x:f>=""</x:f>
      </x:c>
      <x:c r="E1442" s="0"/>
      <x:c r="F1442" t="str" s="2">
        <x:v>Financing Form</x:v>
      </x:c>
      <x:c r="G1442" t="str" s="2">
        <x:v>Heritage Housing of Oklahoma City</x:v>
      </x:c>
      <x:c r="H1442" t="str" s="2">
        <x:v>Steve Castell</x:v>
      </x:c>
      <x:c r="I1442" s="0"/>
      <x:c r="J1442" t="str" s="2">
        <x:v>Steve Castell</x:v>
      </x:c>
      <x:c r="K1442" t="n" s="2">
        <x:v>5</x:v>
      </x:c>
      <x:c r="L1442" t="str" s="2">
        <x:v>1.1</x:v>
      </x:c>
      <x:c r="M1442" t="str" s="2">
        <x:v>Inactive</x:v>
      </x:c>
      <x:c r="N1442" t="str" s="2">
        <x:v>Deal Created</x:v>
      </x:c>
      <x:c r="O1442" s="0"/>
      <x:c r="P1442" s="6">
        <x:v>46280</x:v>
      </x:c>
      <x:c r="Q1442" s="6">
        <x:v>46280.979667858795</x:v>
      </x:c>
      <x:c r="R1442" s="0"/>
      <x:c r="S1442" s="0"/>
      <x:c r="T1442" s="0"/>
      <x:c r="U1442" s="0"/>
      <x:c r="V1442" s="0"/>
      <x:c r="W1442" s="0"/>
      <x:c r="X1442" t="str" s="2">
        <x:v>5803743630</x:v>
      </x:c>
      <x:c r="Y1442" t="str" s="2">
        <x:v>1bubba3doo@gmail.com</x:v>
      </x:c>
      <x:c r="Z1442" s="6">
        <x:v>46280.980540543984</x:v>
      </x:c>
      <x:c r="AA1442" t="str" s="2">
        <x:v>Steve Castell</x:v>
      </x:c>
      <x:c r="AB1442" s="6">
        <x:v>46280.97966875</x:v>
      </x:c>
      <x:c r="AC1442" t="n" s="2">
        <x:v>40047</x:v>
      </x:c>
      <x:c r="AD1442" s="0"/>
      <x:c r="AE1442" s="0"/>
      <x:c r="AF1442" s="0"/>
      <x:c r="AG1442" s="0"/>
      <x:c r="AH1442" s="0"/>
      <x:c r="AI1442" s="0"/>
      <x:c r="AJ1442" s="0"/>
      <x:c r="AK1442" s="0"/>
    </x:row>
    <x:row r="1443">
      <x:c r="A1443" t="str" s="2">
        <x:f>=HYPERLINK("https://rsms.futurehomex.com/lead/40048", "Shelby Stockdale")</x:f>
      </x:c>
      <x:c r="B1443" t="n" s="2">
        <x:v>28</x:v>
      </x:c>
      <x:c r="C1443" t="str" s="2">
        <x:v>1/5</x:v>
      </x:c>
      <x:c r="D1443" t="str" s="2">
        <x:f>=""</x:f>
      </x:c>
      <x:c r="E1443" s="0"/>
      <x:c r="F1443" t="str" s="2">
        <x:v>Website</x:v>
      </x:c>
      <x:c r="G1443" t="str" s="2">
        <x:v>Heritage Housing of Oklahoma City</x:v>
      </x:c>
      <x:c r="H1443" t="str" s="2">
        <x:v>Noemi Rojo</x:v>
      </x:c>
      <x:c r="I1443" s="0"/>
      <x:c r="J1443" s="0"/>
      <x:c r="K1443" t="n" s="2">
        <x:v>5</x:v>
      </x:c>
      <x:c r="L1443" t="str" s="2">
        <x:v>1.1</x:v>
      </x:c>
      <x:c r="M1443" t="str" s="2">
        <x:v>Tentative</x:v>
      </x:c>
      <x:c r="N1443" t="str" s="2">
        <x:v>Deal Created</x:v>
      </x:c>
      <x:c r="O1443" s="0"/>
      <x:c r="P1443" s="6">
        <x:v>46280</x:v>
      </x:c>
      <x:c r="Q1443" s="6">
        <x:v>46291.84432769676</x:v>
      </x:c>
      <x:c r="R1443" s="0"/>
      <x:c r="S1443" s="0"/>
      <x:c r="T1443" s="0"/>
      <x:c r="U1443" s="0"/>
      <x:c r="V1443" s="0"/>
      <x:c r="W1443" s="0"/>
      <x:c r="X1443" t="str" s="2">
        <x:v>5722761273</x:v>
      </x:c>
      <x:c r="Y1443" t="str" s="2">
        <x:v>stockdaleshelby23@gmail.com</x:v>
      </x:c>
      <x:c r="Z1443" s="6">
        <x:v>46301.99355289352</x:v>
      </x:c>
      <x:c r="AA1443" t="str" s="2">
        <x:v>Alejandra Calderon</x:v>
      </x:c>
      <x:c r="AB1443" s="6">
        <x:v>46282.99713449074</x:v>
      </x:c>
      <x:c r="AC1443" t="n" s="2">
        <x:v>40048</x:v>
      </x:c>
      <x:c r="AD1443" s="0"/>
      <x:c r="AE1443" s="0"/>
      <x:c r="AF1443" s="0"/>
      <x:c r="AG1443" s="0"/>
      <x:c r="AH1443" s="0"/>
      <x:c r="AI1443" s="0"/>
      <x:c r="AJ1443" s="0"/>
      <x:c r="AK1443" s="0"/>
    </x:row>
    <x:row r="1444">
      <x:c r="A1444" t="str" s="2">
        <x:f>=HYPERLINK("https://rsms.futurehomex.com/lead/40049", "Gerardo Reyes Barrera")</x:f>
      </x:c>
      <x:c r="B1444" t="n" s="2">
        <x:v>27</x:v>
      </x:c>
      <x:c r="C1444" t="str" s="2">
        <x:v>1/2</x:v>
      </x:c>
      <x:c r="D1444" t="str" s="2">
        <x:f>=""</x:f>
      </x:c>
      <x:c r="E1444" s="0"/>
      <x:c r="F1444" t="str" s="2">
        <x:v>Financing Form</x:v>
      </x:c>
      <x:c r="G1444" t="str" s="2">
        <x:v>Heritage Housing of Oklahoma City</x:v>
      </x:c>
      <x:c r="H1444" t="str" s="2">
        <x:v>Steve Castell</x:v>
      </x:c>
      <x:c r="I1444" s="0"/>
      <x:c r="J1444" t="str" s="2">
        <x:v>Steve Castell</x:v>
      </x:c>
      <x:c r="K1444" t="n" s="2">
        <x:v>21</x:v>
      </x:c>
      <x:c r="L1444" t="str" s="2">
        <x:v>2.1</x:v>
      </x:c>
      <x:c r="M1444" t="str" s="2">
        <x:v>Tentative</x:v>
      </x:c>
      <x:c r="N1444" t="str" s="2">
        <x:v>Qualified</x:v>
      </x:c>
      <x:c r="O1444" s="0"/>
      <x:c r="P1444" s="6">
        <x:v>46281</x:v>
      </x:c>
      <x:c r="Q1444" s="6">
        <x:v>46284.68564783565</x:v>
      </x:c>
      <x:c r="R1444" t="str" s="2">
        <x:v>Eva Misheva</x:v>
      </x:c>
      <x:c r="S1444" s="6">
        <x:v>46284</x:v>
      </x:c>
      <x:c r="T1444" s="6">
        <x:v>46284</x:v>
      </x:c>
      <x:c r="U1444" s="0"/>
      <x:c r="V1444" s="0"/>
      <x:c r="W1444" s="0"/>
      <x:c r="X1444" t="str" s="2">
        <x:v>4053659223</x:v>
      </x:c>
      <x:c r="Y1444" t="str" s="2">
        <x:v>ivanreyes737@gmail.com</x:v>
      </x:c>
      <x:c r="Z1444" s="6">
        <x:v>46290.6084434838</x:v>
      </x:c>
      <x:c r="AA1444" t="str" s="2">
        <x:v>Steve Castell</x:v>
      </x:c>
      <x:c r="AB1444" s="6">
        <x:v>46281.04678159722</x:v>
      </x:c>
      <x:c r="AC1444" t="n" s="2">
        <x:v>40049</x:v>
      </x:c>
      <x:c r="AD1444" s="0"/>
      <x:c r="AE1444" s="0"/>
      <x:c r="AF1444" s="0"/>
      <x:c r="AG1444" s="0"/>
      <x:c r="AH1444" s="0"/>
      <x:c r="AI1444" t="str" s="2">
        <x:v>554</x:v>
      </x:c>
      <x:c r="AJ1444" s="0"/>
      <x:c r="AK1444" s="0"/>
    </x:row>
    <x:row r="1445">
      <x:c r="A1445" t="str" s="2">
        <x:f>=HYPERLINK("https://rsms.futurehomex.com/lead/40050", "Michael Landrith")</x:f>
      </x:c>
      <x:c r="B1445" t="n" s="2">
        <x:v>27</x:v>
      </x:c>
      <x:c r="C1445" t="str" s="2">
        <x:v>0/3</x:v>
      </x:c>
      <x:c r="D1445" t="str" s="2">
        <x:f>=""</x:f>
      </x:c>
      <x:c r="E1445" s="0"/>
      <x:c r="F1445" t="str" s="2">
        <x:v>Facebook Messenger</x:v>
      </x:c>
      <x:c r="G1445" t="str" s="2">
        <x:v>Heritage Housing of Oklahoma City</x:v>
      </x:c>
      <x:c r="H1445" t="str" s="2">
        <x:v>Steve Castell</x:v>
      </x:c>
      <x:c r="I1445" s="0"/>
      <x:c r="J1445" t="str" s="2">
        <x:v>Steve Castell</x:v>
      </x:c>
      <x:c r="K1445" t="n" s="2">
        <x:v>5</x:v>
      </x:c>
      <x:c r="L1445" t="str" s="2">
        <x:v>1.1</x:v>
      </x:c>
      <x:c r="M1445" t="str" s="2">
        <x:v>Inactive</x:v>
      </x:c>
      <x:c r="N1445" t="str" s="2">
        <x:v>Deal Created</x:v>
      </x:c>
      <x:c r="O1445" s="0"/>
      <x:c r="P1445" s="6">
        <x:v>46281</x:v>
      </x:c>
      <x:c r="Q1445" s="6">
        <x:v>46281.102797569445</x:v>
      </x:c>
      <x:c r="R1445" s="0"/>
      <x:c r="S1445" s="0"/>
      <x:c r="T1445" s="0"/>
      <x:c r="U1445" s="0"/>
      <x:c r="V1445" s="0"/>
      <x:c r="W1445" s="0"/>
      <x:c r="X1445" t="str" s="2">
        <x:v>4052553246</x:v>
      </x:c>
      <x:c r="Y1445" t="str" s="2">
        <x:v>4052553246</x:v>
      </x:c>
      <x:c r="Z1445" s="6">
        <x:v>46304.04436292824</x:v>
      </x:c>
      <x:c r="AA1445" t="str" s="2">
        <x:v>Steve Castell</x:v>
      </x:c>
      <x:c r="AB1445" s="6">
        <x:v>46281.102800381945</x:v>
      </x:c>
      <x:c r="AC1445" t="n" s="2">
        <x:v>40050</x:v>
      </x:c>
      <x:c r="AD1445" s="0"/>
      <x:c r="AE1445" s="0"/>
      <x:c r="AF1445" s="0"/>
      <x:c r="AG1445" s="0"/>
      <x:c r="AH1445" s="0"/>
      <x:c r="AI1445" s="0"/>
      <x:c r="AJ1445" s="0"/>
      <x:c r="AK1445" s="0"/>
    </x:row>
    <x:row r="1446">
      <x:c r="A1446" t="str" s="2">
        <x:f>=HYPERLINK("https://rsms.futurehomex.com/lead/40051", "Raul Montoya Laguna")</x:f>
      </x:c>
      <x:c r="B1446" t="n" s="2">
        <x:v>27</x:v>
      </x:c>
      <x:c r="C1446" t="str" s="2">
        <x:v>0/2</x:v>
      </x:c>
      <x:c r="D1446" t="str" s="2">
        <x:f>="REPO"</x:f>
      </x:c>
      <x:c r="E1446" s="0"/>
      <x:c r="F1446" t="str" s="2">
        <x:v>TikTok</x:v>
      </x:c>
      <x:c r="G1446" t="str" s="2">
        <x:v>Heritage Housing of Greenville</x:v>
      </x:c>
      <x:c r="H1446" t="str" s="2">
        <x:v>Ana Garcia</x:v>
      </x:c>
      <x:c r="I1446" s="0"/>
      <x:c r="J1446" t="str" s="2">
        <x:v>Ana Garcia</x:v>
      </x:c>
      <x:c r="K1446" t="n" s="2">
        <x:v>100</x:v>
      </x:c>
      <x:c r="L1446" t="str" s="2">
        <x:v>6.2</x:v>
      </x:c>
      <x:c r="M1446" t="str" s="2">
        <x:v>Closed</x:v>
      </x:c>
      <x:c r="N1446" t="str" s="2">
        <x:v>Delivered</x:v>
      </x:c>
      <x:c r="O1446" s="6">
        <x:v>46292</x:v>
      </x:c>
      <x:c r="P1446" s="6">
        <x:v>46281</x:v>
      </x:c>
      <x:c r="Q1446" s="6">
        <x:v>46294.77242916667</x:v>
      </x:c>
      <x:c r="R1446" s="0"/>
      <x:c r="S1446" s="6">
        <x:v>46277</x:v>
      </x:c>
      <x:c r="T1446" s="6">
        <x:v>46281</x:v>
      </x:c>
      <x:c r="U1446" s="6">
        <x:v>46286</x:v>
      </x:c>
      <x:c r="V1446" s="6">
        <x:v>46289</x:v>
      </x:c>
      <x:c r="W1446" s="6">
        <x:v>46295</x:v>
      </x:c>
      <x:c r="X1446" t="str" s="2">
        <x:v>2145791366</x:v>
      </x:c>
      <x:c r="Y1446" t="str" s="2">
        <x:v>rmontoyalaguna2@gmail.com</x:v>
      </x:c>
      <x:c r="Z1446" s="6">
        <x:v>46293.58086554398</x:v>
      </x:c>
      <x:c r="AA1446" t="str" s="2">
        <x:v>Brandie Sartor</x:v>
      </x:c>
      <x:c r="AB1446" s="6">
        <x:v>46281.584824074074</x:v>
      </x:c>
      <x:c r="AC1446" t="n" s="2">
        <x:v>40051</x:v>
      </x:c>
      <x:c r="AD1446" t="str" s="2">
        <x:v>Singlewide</x:v>
      </x:c>
      <x:c r="AE1446" t="str" s="2">
        <x:v>Legacy Housing Corporation</x:v>
      </x:c>
      <x:c r="AF1446" s="7">
        <x:v>2410</x:v>
      </x:c>
      <x:c r="AG1446" s="7">
        <x:v>2400</x:v>
      </x:c>
      <x:c r="AH1446" s="7">
        <x:v>2410</x:v>
      </x:c>
      <x:c r="AI1446" t="str" s="2">
        <x:v>617</x:v>
      </x:c>
      <x:c r="AJ1446" s="0"/>
      <x:c r="AK1446" t="str" s="6">
        <x:v>2026-09-29</x:v>
      </x:c>
    </x:row>
    <x:row r="1447">
      <x:c r="A1447" t="str" s="2">
        <x:f>=HYPERLINK("https://rsms.futurehomex.com/lead/40053", "Joseph McManigal")</x:f>
      </x:c>
      <x:c r="B1447" t="n" s="2">
        <x:v>27</x:v>
      </x:c>
      <x:c r="C1447" t="str" s="2">
        <x:v>1/1</x:v>
      </x:c>
      <x:c r="D1447" t="str" s="2">
        <x:f>=""</x:f>
      </x:c>
      <x:c r="E1447" s="0"/>
      <x:c r="F1447" t="str" s="2">
        <x:v>Youtube</x:v>
      </x:c>
      <x:c r="G1447" t="str" s="2">
        <x:v>Heritage Housing of Oklahoma City</x:v>
      </x:c>
      <x:c r="H1447" t="str" s="2">
        <x:v>Trey Rixleben</x:v>
      </x:c>
      <x:c r="I1447" s="0"/>
      <x:c r="J1447" t="str" s="2">
        <x:v>Trey Rixleben</x:v>
      </x:c>
      <x:c r="K1447" t="n" s="2">
        <x:v>5</x:v>
      </x:c>
      <x:c r="L1447" t="str" s="2">
        <x:v>1.1</x:v>
      </x:c>
      <x:c r="M1447" t="str" s="2">
        <x:v>Tentative</x:v>
      </x:c>
      <x:c r="N1447" t="str" s="2">
        <x:v>Deal Created</x:v>
      </x:c>
      <x:c r="O1447" s="0"/>
      <x:c r="P1447" s="6">
        <x:v>46281</x:v>
      </x:c>
      <x:c r="Q1447" s="6">
        <x:v>46308.71130462963</x:v>
      </x:c>
      <x:c r="R1447" s="0"/>
      <x:c r="S1447" s="0"/>
      <x:c r="T1447" s="0"/>
      <x:c r="U1447" s="0"/>
      <x:c r="V1447" s="0"/>
      <x:c r="W1447" s="0"/>
      <x:c r="X1447" t="str" s="2">
        <x:v>4696840846</x:v>
      </x:c>
      <x:c r="Y1447" t="str" s="2">
        <x:v>mcmanigaljoseph@gmail.com</x:v>
      </x:c>
      <x:c r="Z1447" s="6">
        <x:v>46308.71323498843</x:v>
      </x:c>
      <x:c r="AA1447" t="str" s="2">
        <x:v>Trey Rixleben</x:v>
      </x:c>
      <x:c r="AB1447" s="6">
        <x:v>46281.61063730324</x:v>
      </x:c>
      <x:c r="AC1447" t="n" s="2">
        <x:v>40053</x:v>
      </x:c>
      <x:c r="AD1447" s="0"/>
      <x:c r="AE1447" s="0"/>
      <x:c r="AF1447" s="0"/>
      <x:c r="AG1447" s="0"/>
      <x:c r="AH1447" s="0"/>
      <x:c r="AI1447" s="0"/>
      <x:c r="AJ1447" s="0"/>
      <x:c r="AK1447" s="0"/>
    </x:row>
    <x:row r="1448">
      <x:c r="A1448" t="str" s="2">
        <x:f>=HYPERLINK("https://rsms.futurehomex.com/lead/40054", "Thea Wanamaker")</x:f>
      </x:c>
      <x:c r="B1448" t="n" s="2">
        <x:v>27</x:v>
      </x:c>
      <x:c r="C1448" t="str" s="2">
        <x:v>1/1</x:v>
      </x:c>
      <x:c r="D1448" t="str" s="2">
        <x:f>=""</x:f>
      </x:c>
      <x:c r="E1448" s="0"/>
      <x:c r="F1448" t="str" s="2">
        <x:v>Youtube</x:v>
      </x:c>
      <x:c r="G1448" t="str" s="2">
        <x:v>Heritage Housing of Oklahoma City</x:v>
      </x:c>
      <x:c r="H1448" t="str" s="2">
        <x:v>Trey Rixleben</x:v>
      </x:c>
      <x:c r="I1448" s="0"/>
      <x:c r="J1448" t="str" s="2">
        <x:v>Trey Rixleben</x:v>
      </x:c>
      <x:c r="K1448" t="n" s="2">
        <x:v>5</x:v>
      </x:c>
      <x:c r="L1448" t="str" s="2">
        <x:v>1.1</x:v>
      </x:c>
      <x:c r="M1448" t="str" s="2">
        <x:v>Tentative</x:v>
      </x:c>
      <x:c r="N1448" t="str" s="2">
        <x:v>Deal Created</x:v>
      </x:c>
      <x:c r="O1448" s="0"/>
      <x:c r="P1448" s="6">
        <x:v>46281</x:v>
      </x:c>
      <x:c r="Q1448" s="6">
        <x:v>46296.89728005787</x:v>
      </x:c>
      <x:c r="R1448" s="0"/>
      <x:c r="S1448" s="0"/>
      <x:c r="T1448" s="0"/>
      <x:c r="U1448" s="0"/>
      <x:c r="V1448" s="0"/>
      <x:c r="W1448" s="0"/>
      <x:c r="X1448" t="str" s="2">
        <x:v>9187183030</x:v>
      </x:c>
      <x:c r="Y1448" t="str" s="2">
        <x:v>Crazysexywanamaker@gmail.com</x:v>
      </x:c>
      <x:c r="Z1448" s="6">
        <x:v>46296.89855575231</x:v>
      </x:c>
      <x:c r="AA1448" t="str" s="2">
        <x:v>Trey Rixleben</x:v>
      </x:c>
      <x:c r="AB1448" s="6">
        <x:v>46281.614193946756</x:v>
      </x:c>
      <x:c r="AC1448" t="n" s="2">
        <x:v>40054</x:v>
      </x:c>
      <x:c r="AD1448" s="0"/>
      <x:c r="AE1448" s="0"/>
      <x:c r="AF1448" s="0"/>
      <x:c r="AG1448" s="0"/>
      <x:c r="AH1448" s="0"/>
      <x:c r="AI1448" s="0"/>
      <x:c r="AJ1448" s="0"/>
      <x:c r="AK1448" s="0"/>
    </x:row>
    <x:row r="1449">
      <x:c r="A1449" t="str" s="2">
        <x:f>=HYPERLINK("https://rsms.futurehomex.com/lead/40055", "Alex Noriega")</x:f>
      </x:c>
      <x:c r="B1449" t="n" s="2">
        <x:v>27</x:v>
      </x:c>
      <x:c r="C1449" t="str" s="2">
        <x:v/>
      </x:c>
      <x:c r="D1449" t="str" s="2">
        <x:f>=""</x:f>
      </x:c>
      <x:c r="E1449" s="0"/>
      <x:c r="F1449" t="str" s="2">
        <x:v>Walk-in</x:v>
      </x:c>
      <x:c r="G1449" t="str" s="2">
        <x:v>Heritage Housing Gainesville</x:v>
      </x:c>
      <x:c r="H1449" t="str" s="2">
        <x:v>Kelly Ford</x:v>
      </x:c>
      <x:c r="I1449" s="0"/>
      <x:c r="J1449" t="str" s="2">
        <x:v>Kelly Ford</x:v>
      </x:c>
      <x:c r="K1449" t="n" s="2">
        <x:v>5</x:v>
      </x:c>
      <x:c r="L1449" t="str" s="2">
        <x:v>1.1</x:v>
      </x:c>
      <x:c r="M1449" t="str" s="2">
        <x:v>Active</x:v>
      </x:c>
      <x:c r="N1449" t="str" s="2">
        <x:v>Deal Created</x:v>
      </x:c>
      <x:c r="O1449" s="0"/>
      <x:c r="P1449" s="6">
        <x:v>46281</x:v>
      </x:c>
      <x:c r="Q1449" s="6">
        <x:v>46281.61725138889</x:v>
      </x:c>
      <x:c r="R1449" s="0"/>
      <x:c r="S1449" s="6">
        <x:v>46280</x:v>
      </x:c>
      <x:c r="T1449" s="0"/>
      <x:c r="U1449" s="0"/>
      <x:c r="V1449" s="0"/>
      <x:c r="W1449" s="0"/>
      <x:c r="X1449" t="str" s="2">
        <x:v>2144555981</x:v>
      </x:c>
      <x:c r="Y1449" t="str" s="2">
        <x:v>ElviagNoriega@gmail.com</x:v>
      </x:c>
      <x:c r="Z1449" s="6">
        <x:v>46281.61988070602</x:v>
      </x:c>
      <x:c r="AA1449" t="str" s="2">
        <x:v>Kelly Ford</x:v>
      </x:c>
      <x:c r="AB1449" s="6">
        <x:v>46281.61422199074</x:v>
      </x:c>
      <x:c r="AC1449" t="n" s="2">
        <x:v>40055</x:v>
      </x:c>
      <x:c r="AD1449" s="0"/>
      <x:c r="AE1449" s="0"/>
      <x:c r="AF1449" s="0"/>
      <x:c r="AG1449" s="0"/>
      <x:c r="AH1449" s="0"/>
      <x:c r="AI1449" s="0"/>
      <x:c r="AJ1449" s="0"/>
      <x:c r="AK1449" s="0"/>
    </x:row>
    <x:row r="1450">
      <x:c r="A1450" t="str" s="2">
        <x:f>=HYPERLINK("https://rsms.futurehomex.com/lead/40056", "Taylor Springer")</x:f>
      </x:c>
      <x:c r="B1450" t="n" s="2">
        <x:v>27</x:v>
      </x:c>
      <x:c r="C1450" t="str" s="2">
        <x:v>1/1</x:v>
      </x:c>
      <x:c r="D1450" t="str" s="2">
        <x:f>=""</x:f>
      </x:c>
      <x:c r="E1450" s="0"/>
      <x:c r="F1450" t="str" s="2">
        <x:v>Landing_BPM</x:v>
      </x:c>
      <x:c r="G1450" t="str" s="2">
        <x:v>Heritage Housing of Oklahoma City</x:v>
      </x:c>
      <x:c r="H1450" t="str" s="2">
        <x:v>Trey Rixleben</x:v>
      </x:c>
      <x:c r="I1450" s="0"/>
      <x:c r="J1450" t="str" s="2">
        <x:v>Trey Rixleben</x:v>
      </x:c>
      <x:c r="K1450" t="n" s="2">
        <x:v>5</x:v>
      </x:c>
      <x:c r="L1450" t="str" s="2">
        <x:v>1.1</x:v>
      </x:c>
      <x:c r="M1450" t="str" s="2">
        <x:v>Tentative</x:v>
      </x:c>
      <x:c r="N1450" t="str" s="2">
        <x:v>Deal Created</x:v>
      </x:c>
      <x:c r="O1450" s="0"/>
      <x:c r="P1450" s="6">
        <x:v>46281</x:v>
      </x:c>
      <x:c r="Q1450" s="6">
        <x:v>46296.66296403935</x:v>
      </x:c>
      <x:c r="R1450" s="0"/>
      <x:c r="S1450" s="0"/>
      <x:c r="T1450" s="0"/>
      <x:c r="U1450" s="0"/>
      <x:c r="V1450" s="0"/>
      <x:c r="W1450" s="0"/>
      <x:c r="X1450" t="str" s="2">
        <x:v>4054352652</x:v>
      </x:c>
      <x:c r="Y1450" t="str" s="2">
        <x:v>taylorspringer0207@gmsil.com</x:v>
      </x:c>
      <x:c r="Z1450" s="6">
        <x:v>46296.66358827546</x:v>
      </x:c>
      <x:c r="AA1450" t="str" s="2">
        <x:v>Trey Rixleben</x:v>
      </x:c>
      <x:c r="AB1450" s="6">
        <x:v>46281.61813530092</x:v>
      </x:c>
      <x:c r="AC1450" t="n" s="2">
        <x:v>40056</x:v>
      </x:c>
      <x:c r="AD1450" s="0"/>
      <x:c r="AE1450" s="0"/>
      <x:c r="AF1450" s="0"/>
      <x:c r="AG1450" s="0"/>
      <x:c r="AH1450" s="0"/>
      <x:c r="AI1450" s="0"/>
      <x:c r="AJ1450" s="0"/>
      <x:c r="AK1450" s="0"/>
    </x:row>
    <x:row r="1451">
      <x:c r="A1451" t="str" s="2">
        <x:f>=HYPERLINK("https://rsms.futurehomex.com/lead/40057", "Robert Pierce")</x:f>
      </x:c>
      <x:c r="B1451" t="n" s="2">
        <x:v>27</x:v>
      </x:c>
      <x:c r="C1451" t="str" s="2">
        <x:v/>
      </x:c>
      <x:c r="D1451" t="str" s="2">
        <x:f>=""</x:f>
      </x:c>
      <x:c r="E1451" s="0"/>
      <x:c r="F1451" t="str" s="2">
        <x:v>Walk-in</x:v>
      </x:c>
      <x:c r="G1451" t="str" s="2">
        <x:v>Heritage Housing of Minden</x:v>
      </x:c>
      <x:c r="H1451" t="str" s="2">
        <x:v>Patrick Schuchart</x:v>
      </x:c>
      <x:c r="I1451" t="str" s="2">
        <x:v>Karol Romero</x:v>
      </x:c>
      <x:c r="J1451" t="str" s="2">
        <x:v>Patrick Schuchart</x:v>
      </x:c>
      <x:c r="K1451" t="n" s="2">
        <x:v>5</x:v>
      </x:c>
      <x:c r="L1451" t="str" s="2">
        <x:v>1.1</x:v>
      </x:c>
      <x:c r="M1451" t="str" s="2">
        <x:v>Tentative</x:v>
      </x:c>
      <x:c r="N1451" t="str" s="2">
        <x:v>Prospect</x:v>
      </x:c>
      <x:c r="O1451" s="0"/>
      <x:c r="P1451" s="6">
        <x:v>46281</x:v>
      </x:c>
      <x:c r="Q1451" s="6">
        <x:v>46281.63527361111</x:v>
      </x:c>
      <x:c r="R1451" t="str" s="2">
        <x:v>Patrick Schuchart</x:v>
      </x:c>
      <x:c r="S1451" s="0"/>
      <x:c r="T1451" s="0"/>
      <x:c r="U1451" s="0"/>
      <x:c r="V1451" s="0"/>
      <x:c r="W1451" s="0"/>
      <x:c r="X1451" t="str" s="2">
        <x:v>3182057416</x:v>
      </x:c>
      <x:c r="Y1451" t="str" s="2">
        <x:v>Rpierce654@yahoo.com</x:v>
      </x:c>
      <x:c r="Z1451" s="6">
        <x:v>46281.70902144676</x:v>
      </x:c>
      <x:c r="AA1451" t="str" s="2">
        <x:v>Patrick Schuchart</x:v>
      </x:c>
      <x:c r="AB1451" s="6">
        <x:v>46281.635274189815</x:v>
      </x:c>
      <x:c r="AC1451" t="n" s="2">
        <x:v>40057</x:v>
      </x:c>
      <x:c r="AD1451" s="0"/>
      <x:c r="AE1451" s="0"/>
      <x:c r="AF1451" s="0"/>
      <x:c r="AG1451" s="0"/>
      <x:c r="AH1451" s="0"/>
      <x:c r="AI1451" s="0"/>
      <x:c r="AJ1451" s="0"/>
      <x:c r="AK1451" s="0"/>
    </x:row>
    <x:row r="1452">
      <x:c r="A1452" t="str" s="2">
        <x:f>=HYPERLINK("https://rsms.futurehomex.com/lead/40058", "Catherine Welch")</x:f>
      </x:c>
      <x:c r="B1452" t="n" s="2">
        <x:v>27</x:v>
      </x:c>
      <x:c r="C1452" t="str" s="2">
        <x:v>0/1</x:v>
      </x:c>
      <x:c r="D1452" t="str" s="2">
        <x:f>=""</x:f>
      </x:c>
      <x:c r="E1452" s="0"/>
      <x:c r="F1452" t="str" s="2">
        <x:v>Walk-in</x:v>
      </x:c>
      <x:c r="G1452" t="str" s="2">
        <x:v>Heritage Housing of Minden</x:v>
      </x:c>
      <x:c r="H1452" t="str" s="2">
        <x:v>Patrick Schuchart</x:v>
      </x:c>
      <x:c r="I1452" t="str" s="2">
        <x:v>Karol Romero</x:v>
      </x:c>
      <x:c r="J1452" t="str" s="2">
        <x:v>Patrick Schuchart</x:v>
      </x:c>
      <x:c r="K1452" t="n" s="2">
        <x:v>5</x:v>
      </x:c>
      <x:c r="L1452" t="str" s="2">
        <x:v>1.1</x:v>
      </x:c>
      <x:c r="M1452" t="str" s="2">
        <x:v>Tentative</x:v>
      </x:c>
      <x:c r="N1452" t="str" s="2">
        <x:v>Prospect</x:v>
      </x:c>
      <x:c r="O1452" s="0"/>
      <x:c r="P1452" s="6">
        <x:v>46281</x:v>
      </x:c>
      <x:c r="Q1452" s="6">
        <x:v>46281.6397565625</x:v>
      </x:c>
      <x:c r="R1452" t="str" s="2">
        <x:v>Patrick Schuchart</x:v>
      </x:c>
      <x:c r="S1452" s="0"/>
      <x:c r="T1452" s="0"/>
      <x:c r="U1452" s="0"/>
      <x:c r="V1452" s="0"/>
      <x:c r="W1452" s="0"/>
      <x:c r="X1452" t="str" s="2">
        <x:v>3182652467</x:v>
      </x:c>
      <x:c r="Y1452" t="str" s="2">
        <x:v>kathrynddoss@gmail.com</x:v>
      </x:c>
      <x:c r="Z1452" s="6">
        <x:v>46295.83276450232</x:v>
      </x:c>
      <x:c r="AA1452" t="str" s="2">
        <x:v>Kyla Brown</x:v>
      </x:c>
      <x:c r="AB1452" s="6">
        <x:v>46281.63975740741</x:v>
      </x:c>
      <x:c r="AC1452" t="n" s="2">
        <x:v>40058</x:v>
      </x:c>
      <x:c r="AD1452" s="0"/>
      <x:c r="AE1452" s="0"/>
      <x:c r="AF1452" s="0"/>
      <x:c r="AG1452" s="0"/>
      <x:c r="AH1452" s="0"/>
      <x:c r="AI1452" s="0"/>
      <x:c r="AJ1452" s="0"/>
      <x:c r="AK1452" s="0"/>
    </x:row>
    <x:row r="1453">
      <x:c r="A1453" t="str" s="2">
        <x:f>=HYPERLINK("https://rsms.futurehomex.com/lead/40059", "Lakita Walker")</x:f>
      </x:c>
      <x:c r="B1453" t="n" s="2">
        <x:v>27</x:v>
      </x:c>
      <x:c r="C1453" t="str" s="2">
        <x:v>0/1</x:v>
      </x:c>
      <x:c r="D1453" t="str" s="2">
        <x:f>=""</x:f>
      </x:c>
      <x:c r="E1453" s="0"/>
      <x:c r="F1453" t="str" s="2">
        <x:v>Landing_BPM</x:v>
      </x:c>
      <x:c r="G1453" t="str" s="2">
        <x:v>Heritage Housing of Athens</x:v>
      </x:c>
      <x:c r="H1453" t="str" s="2">
        <x:v>Nathan Bishop</x:v>
      </x:c>
      <x:c r="I1453" s="0"/>
      <x:c r="J1453" t="str" s="2">
        <x:v>Nathan Bishop</x:v>
      </x:c>
      <x:c r="K1453" t="n" s="2">
        <x:v>5</x:v>
      </x:c>
      <x:c r="L1453" t="str" s="2">
        <x:v>1.1</x:v>
      </x:c>
      <x:c r="M1453" t="str" s="2">
        <x:v>Tentative</x:v>
      </x:c>
      <x:c r="N1453" t="str" s="2">
        <x:v>Prospect</x:v>
      </x:c>
      <x:c r="O1453" s="0"/>
      <x:c r="P1453" s="6">
        <x:v>46281</x:v>
      </x:c>
      <x:c r="Q1453" s="6">
        <x:v>46281.64315859954</x:v>
      </x:c>
      <x:c r="R1453" s="0"/>
      <x:c r="S1453" s="0"/>
      <x:c r="T1453" s="0"/>
      <x:c r="U1453" s="0"/>
      <x:c r="V1453" s="0"/>
      <x:c r="W1453" s="0"/>
      <x:c r="X1453" t="str" s="2">
        <x:v>6785455962</x:v>
      </x:c>
      <x:c r="Y1453" t="str" s="2">
        <x:v>keyswithkita@gmail.com</x:v>
      </x:c>
      <x:c r="Z1453" s="6">
        <x:v>46288.74307384259</x:v>
      </x:c>
      <x:c r="AA1453" t="str" s="2">
        <x:v>Nathan Bishop</x:v>
      </x:c>
      <x:c r="AB1453" s="6">
        <x:v>46281.643159224535</x:v>
      </x:c>
      <x:c r="AC1453" t="n" s="2">
        <x:v>40059</x:v>
      </x:c>
      <x:c r="AD1453" s="0"/>
      <x:c r="AE1453" s="0"/>
      <x:c r="AF1453" s="0"/>
      <x:c r="AG1453" s="0"/>
      <x:c r="AH1453" s="0"/>
      <x:c r="AI1453" s="0"/>
      <x:c r="AJ1453" s="0"/>
      <x:c r="AK1453" s="0"/>
    </x:row>
    <x:row r="1454">
      <x:c r="A1454" t="str" s="2">
        <x:f>=HYPERLINK("https://rsms.futurehomex.com/lead/40060", "Paul Shaw")</x:f>
      </x:c>
      <x:c r="B1454" t="n" s="2">
        <x:v>27</x:v>
      </x:c>
      <x:c r="C1454" t="str" s="2">
        <x:v>0/1</x:v>
      </x:c>
      <x:c r="D1454" t="str" s="2">
        <x:f>=""</x:f>
      </x:c>
      <x:c r="E1454" s="0"/>
      <x:c r="F1454" t="str" s="2">
        <x:v>Facebook Messenger</x:v>
      </x:c>
      <x:c r="G1454" t="str" s="2">
        <x:v>Heritage Housing of Oklahoma City</x:v>
      </x:c>
      <x:c r="H1454" t="str" s="2">
        <x:v>Trey Rixleben</x:v>
      </x:c>
      <x:c r="I1454" t="str" s="2">
        <x:v>Karol Romero</x:v>
      </x:c>
      <x:c r="J1454" t="str" s="2">
        <x:v>Trey Rixleben</x:v>
      </x:c>
      <x:c r="K1454" t="n" s="2">
        <x:v>5</x:v>
      </x:c>
      <x:c r="L1454" t="str" s="2">
        <x:v>1.1</x:v>
      </x:c>
      <x:c r="M1454" t="str" s="2">
        <x:v>Dead</x:v>
      </x:c>
      <x:c r="N1454" t="str" s="2">
        <x:v>Deal Created</x:v>
      </x:c>
      <x:c r="O1454" s="0"/>
      <x:c r="P1454" s="6">
        <x:v>46281</x:v>
      </x:c>
      <x:c r="Q1454" s="6">
        <x:v>46281.69084174769</x:v>
      </x:c>
      <x:c r="R1454" s="0"/>
      <x:c r="S1454" s="0"/>
      <x:c r="T1454" s="0"/>
      <x:c r="U1454" s="0"/>
      <x:c r="V1454" s="0"/>
      <x:c r="W1454" s="0"/>
      <x:c r="X1454" t="str" s="2">
        <x:v>4054320881</x:v>
      </x:c>
      <x:c r="Y1454" t="str" s="2">
        <x:v>Pshawdoesitall@gmail.com</x:v>
      </x:c>
      <x:c r="Z1454" s="6">
        <x:v>46282.84570478009</x:v>
      </x:c>
      <x:c r="AA1454" t="str" s="2">
        <x:v>Richard Bell</x:v>
      </x:c>
      <x:c r="AB1454" s="6">
        <x:v>46281.6592474537</x:v>
      </x:c>
      <x:c r="AC1454" t="n" s="2">
        <x:v>40060</x:v>
      </x:c>
      <x:c r="AD1454" s="0"/>
      <x:c r="AE1454" s="0"/>
      <x:c r="AF1454" s="0"/>
      <x:c r="AG1454" s="0"/>
      <x:c r="AH1454" s="0"/>
      <x:c r="AI1454" t="str" s="2">
        <x:v>451</x:v>
      </x:c>
      <x:c r="AJ1454" s="0"/>
      <x:c r="AK1454" s="0"/>
    </x:row>
    <x:row r="1455">
      <x:c r="A1455" t="str" s="2">
        <x:f>=HYPERLINK("https://rsms.futurehomex.com/lead/40061", "Angel Christopher")</x:f>
      </x:c>
      <x:c r="B1455" t="n" s="2">
        <x:v>27</x:v>
      </x:c>
      <x:c r="C1455" t="str" s="2">
        <x:v/>
      </x:c>
      <x:c r="D1455" t="str" s="2">
        <x:f>=""</x:f>
      </x:c>
      <x:c r="E1455" s="0"/>
      <x:c r="F1455" t="str" s="2">
        <x:v>Walk-in</x:v>
      </x:c>
      <x:c r="G1455" t="str" s="2">
        <x:v>Heritage Housing of Athens</x:v>
      </x:c>
      <x:c r="H1455" t="str" s="2">
        <x:v>Ethan Fossett</x:v>
      </x:c>
      <x:c r="I1455" s="0"/>
      <x:c r="J1455" s="0"/>
      <x:c r="K1455" t="n" s="2">
        <x:v>5</x:v>
      </x:c>
      <x:c r="L1455" t="str" s="2">
        <x:v>1.1</x:v>
      </x:c>
      <x:c r="M1455" t="str" s="2">
        <x:v>Tentative</x:v>
      </x:c>
      <x:c r="N1455" t="str" s="2">
        <x:v>Prospect</x:v>
      </x:c>
      <x:c r="O1455" s="0"/>
      <x:c r="P1455" s="6">
        <x:v>46281</x:v>
      </x:c>
      <x:c r="Q1455" s="6">
        <x:v>46281.674276701386</x:v>
      </x:c>
      <x:c r="R1455" s="0"/>
      <x:c r="S1455" s="0"/>
      <x:c r="T1455" s="0"/>
      <x:c r="U1455" s="0"/>
      <x:c r="V1455" s="0"/>
      <x:c r="W1455" s="0"/>
      <x:c r="X1455" t="str" s="2">
        <x:v>7068185233</x:v>
      </x:c>
      <x:c r="Y1455" t="str" s="2">
        <x:v>angelchristopher76@gmail.com</x:v>
      </x:c>
      <x:c r="Z1455" s="0"/>
      <x:c r="AA1455" s="0"/>
      <x:c r="AB1455" s="6">
        <x:v>46281.67427746528</x:v>
      </x:c>
      <x:c r="AC1455" t="n" s="2">
        <x:v>40061</x:v>
      </x:c>
      <x:c r="AD1455" s="0"/>
      <x:c r="AE1455" s="0"/>
      <x:c r="AF1455" s="0"/>
      <x:c r="AG1455" s="0"/>
      <x:c r="AH1455" s="0"/>
      <x:c r="AI1455" s="0"/>
      <x:c r="AJ1455" s="0"/>
      <x:c r="AK1455" s="0"/>
    </x:row>
    <x:row r="1456">
      <x:c r="A1456" t="str" s="2">
        <x:f>=HYPERLINK("https://rsms.futurehomex.com/lead/40062", "Elijah Slaughter")</x:f>
      </x:c>
      <x:c r="B1456" t="n" s="2">
        <x:v>27</x:v>
      </x:c>
      <x:c r="C1456" t="str" s="2">
        <x:v/>
      </x:c>
      <x:c r="D1456" t="str" s="2">
        <x:f>=""</x:f>
      </x:c>
      <x:c r="E1456" s="0"/>
      <x:c r="F1456" t="str" s="2">
        <x:v>Walk-in</x:v>
      </x:c>
      <x:c r="G1456" t="str" s="2">
        <x:v>Heritage Housing of Asheboro</x:v>
      </x:c>
      <x:c r="H1456" t="str" s="2">
        <x:v>Maria Lopez</x:v>
      </x:c>
      <x:c r="I1456" s="0"/>
      <x:c r="J1456" s="0"/>
      <x:c r="K1456" t="n" s="2">
        <x:v>21</x:v>
      </x:c>
      <x:c r="L1456" t="str" s="2">
        <x:v>2.1</x:v>
      </x:c>
      <x:c r="M1456" t="str" s="2">
        <x:v>Tentative</x:v>
      </x:c>
      <x:c r="N1456" t="str" s="2">
        <x:v>Qualified</x:v>
      </x:c>
      <x:c r="O1456" s="0"/>
      <x:c r="P1456" s="6">
        <x:v>46281</x:v>
      </x:c>
      <x:c r="Q1456" s="6">
        <x:v>46282.57446304398</x:v>
      </x:c>
      <x:c r="R1456" s="0"/>
      <x:c r="S1456" s="0"/>
      <x:c r="T1456" s="0"/>
      <x:c r="U1456" s="0"/>
      <x:c r="V1456" s="0"/>
      <x:c r="W1456" s="0"/>
      <x:c r="X1456" t="str" s="2">
        <x:v>3366152473</x:v>
      </x:c>
      <x:c r="Y1456" t="str" s="2">
        <x:v>ejslaughter05@gmail.com</x:v>
      </x:c>
      <x:c r="Z1456" s="6">
        <x:v>46282.574450381944</x:v>
      </x:c>
      <x:c r="AA1456" t="str" s="2">
        <x:v>Jeremy Jacques</x:v>
      </x:c>
      <x:c r="AB1456" s="6">
        <x:v>46281.6757153588</x:v>
      </x:c>
      <x:c r="AC1456" t="n" s="2">
        <x:v>40062</x:v>
      </x:c>
      <x:c r="AD1456" s="0"/>
      <x:c r="AE1456" s="0"/>
      <x:c r="AF1456" s="0"/>
      <x:c r="AG1456" s="0"/>
      <x:c r="AH1456" s="0"/>
      <x:c r="AI1456" s="0"/>
      <x:c r="AJ1456" s="0"/>
      <x:c r="AK1456" s="0"/>
    </x:row>
    <x:row r="1457">
      <x:c r="A1457" t="str" s="2">
        <x:f>=HYPERLINK("https://rsms.futurehomex.com/lead/40063", "Angel Carr")</x:f>
      </x:c>
      <x:c r="B1457" t="n" s="2">
        <x:v>27</x:v>
      </x:c>
      <x:c r="C1457" t="str" s="2">
        <x:v/>
      </x:c>
      <x:c r="D1457" t="str" s="2">
        <x:f>=""</x:f>
      </x:c>
      <x:c r="E1457" s="0"/>
      <x:c r="F1457" t="str" s="2">
        <x:v>Website</x:v>
      </x:c>
      <x:c r="G1457" t="str" s="2">
        <x:v>Heritage Housing of Athens</x:v>
      </x:c>
      <x:c r="H1457" t="str" s="2">
        <x:v>Ethan Fossett</x:v>
      </x:c>
      <x:c r="I1457" s="0"/>
      <x:c r="J1457" s="0"/>
      <x:c r="K1457" t="n" s="2">
        <x:v>5</x:v>
      </x:c>
      <x:c r="L1457" t="str" s="2">
        <x:v>1.1</x:v>
      </x:c>
      <x:c r="M1457" t="str" s="2">
        <x:v>Tentative</x:v>
      </x:c>
      <x:c r="N1457" t="str" s="2">
        <x:v>Prospect</x:v>
      </x:c>
      <x:c r="O1457" s="0"/>
      <x:c r="P1457" s="6">
        <x:v>46281</x:v>
      </x:c>
      <x:c r="Q1457" s="6">
        <x:v>46281.67937650463</x:v>
      </x:c>
      <x:c r="R1457" s="0"/>
      <x:c r="S1457" s="0"/>
      <x:c r="T1457" s="0"/>
      <x:c r="U1457" s="0"/>
      <x:c r="V1457" s="0"/>
      <x:c r="W1457" s="0"/>
      <x:c r="X1457" t="str" s="2">
        <x:v>7062443999</x:v>
      </x:c>
      <x:c r="Y1457" t="str" s="2">
        <x:v>angelcarr382@gmail.com</x:v>
      </x:c>
      <x:c r="Z1457" s="0"/>
      <x:c r="AA1457" s="0"/>
      <x:c r="AB1457" s="6">
        <x:v>46281.679377546294</x:v>
      </x:c>
      <x:c r="AC1457" t="n" s="2">
        <x:v>40063</x:v>
      </x:c>
      <x:c r="AD1457" s="0"/>
      <x:c r="AE1457" s="0"/>
      <x:c r="AF1457" s="0"/>
      <x:c r="AG1457" s="0"/>
      <x:c r="AH1457" s="0"/>
      <x:c r="AI1457" s="0"/>
      <x:c r="AJ1457" s="0"/>
      <x:c r="AK1457" s="0"/>
    </x:row>
    <x:row r="1458">
      <x:c r="A1458" t="str" s="2">
        <x:f>=HYPERLINK("https://rsms.futurehomex.com/lead/40064", "Beverlyn Winfield")</x:f>
      </x:c>
      <x:c r="B1458" t="n" s="2">
        <x:v>27</x:v>
      </x:c>
      <x:c r="C1458" t="str" s="2">
        <x:v>0/1</x:v>
      </x:c>
      <x:c r="D1458" t="str" s="2">
        <x:f>=""</x:f>
      </x:c>
      <x:c r="E1458" s="0"/>
      <x:c r="F1458" t="str" s="2">
        <x:v>Landing_BPM</x:v>
      </x:c>
      <x:c r="G1458" t="str" s="2">
        <x:v>Heritage Housing of Athens</x:v>
      </x:c>
      <x:c r="H1458" t="str" s="2">
        <x:v>Nathan Bishop</x:v>
      </x:c>
      <x:c r="I1458" s="0"/>
      <x:c r="J1458" t="str" s="2">
        <x:v>Nathan Bishop</x:v>
      </x:c>
      <x:c r="K1458" t="n" s="2">
        <x:v>5</x:v>
      </x:c>
      <x:c r="L1458" t="str" s="2">
        <x:v>1.1</x:v>
      </x:c>
      <x:c r="M1458" t="str" s="2">
        <x:v>Tentative</x:v>
      </x:c>
      <x:c r="N1458" t="str" s="2">
        <x:v>Prospect</x:v>
      </x:c>
      <x:c r="O1458" s="0"/>
      <x:c r="P1458" s="6">
        <x:v>46281</x:v>
      </x:c>
      <x:c r="Q1458" s="6">
        <x:v>46302.62495251157</x:v>
      </x:c>
      <x:c r="R1458" s="0"/>
      <x:c r="S1458" s="6">
        <x:v>46284</x:v>
      </x:c>
      <x:c r="T1458" s="0"/>
      <x:c r="U1458" s="0"/>
      <x:c r="V1458" s="0"/>
      <x:c r="W1458" s="0"/>
      <x:c r="X1458" t="str" s="2">
        <x:v>4044544521</x:v>
      </x:c>
      <x:c r="Y1458" t="str" s="2">
        <x:v>beverlynwinfield7@gmail.com</x:v>
      </x:c>
      <x:c r="Z1458" s="6">
        <x:v>46288.56524722222</x:v>
      </x:c>
      <x:c r="AA1458" t="str" s="2">
        <x:v>Nathan Bishop</x:v>
      </x:c>
      <x:c r="AB1458" s="6">
        <x:v>46281.69122994213</x:v>
      </x:c>
      <x:c r="AC1458" t="n" s="2">
        <x:v>40064</x:v>
      </x:c>
      <x:c r="AD1458" s="0"/>
      <x:c r="AE1458" s="0"/>
      <x:c r="AF1458" s="0"/>
      <x:c r="AG1458" s="0"/>
      <x:c r="AH1458" s="0"/>
      <x:c r="AI1458" t="str" s="2">
        <x:v>567</x:v>
      </x:c>
      <x:c r="AJ1458" s="0"/>
      <x:c r="AK1458" s="0"/>
    </x:row>
    <x:row r="1459">
      <x:c r="A1459" t="str" s="2">
        <x:f>=HYPERLINK("https://rsms.futurehomex.com/lead/40066", "Jesse James Lombas")</x:f>
      </x:c>
      <x:c r="B1459" t="n" s="2">
        <x:v>27</x:v>
      </x:c>
      <x:c r="C1459" t="str" s="2">
        <x:v>0/4</x:v>
      </x:c>
      <x:c r="D1459" t="str" s="2">
        <x:f>=""</x:f>
      </x:c>
      <x:c r="E1459" t="str" s="2">
        <x:v>Tiffany Marie Lombas</x:v>
      </x:c>
      <x:c r="F1459" t="str" s="2">
        <x:v>Financing Form</x:v>
      </x:c>
      <x:c r="G1459" t="str" s="2">
        <x:v>Heritage Housing of Jennings</x:v>
      </x:c>
      <x:c r="H1459" t="str" s="2">
        <x:v>Mervin Leslie Smith</x:v>
      </x:c>
      <x:c r="I1459" s="0"/>
      <x:c r="J1459" s="0"/>
      <x:c r="K1459" t="n" s="2">
        <x:v>100</x:v>
      </x:c>
      <x:c r="L1459" t="str" s="2">
        <x:v>6.2</x:v>
      </x:c>
      <x:c r="M1459" t="str" s="2">
        <x:v>Closed</x:v>
      </x:c>
      <x:c r="N1459" t="str" s="2">
        <x:v>Delivered</x:v>
      </x:c>
      <x:c r="O1459" s="6">
        <x:v>46286</x:v>
      </x:c>
      <x:c r="P1459" s="6">
        <x:v>46281</x:v>
      </x:c>
      <x:c r="Q1459" s="6">
        <x:v>46290.7974903125</x:v>
      </x:c>
      <x:c r="R1459" s="0"/>
      <x:c r="S1459" s="6">
        <x:v>46282</x:v>
      </x:c>
      <x:c r="T1459" s="6">
        <x:v>46282</x:v>
      </x:c>
      <x:c r="U1459" s="6">
        <x:v>46282</x:v>
      </x:c>
      <x:c r="V1459" s="6">
        <x:v>46282</x:v>
      </x:c>
      <x:c r="W1459" s="6">
        <x:v>46295</x:v>
      </x:c>
      <x:c r="X1459" t="str" s="2">
        <x:v>3372510365</x:v>
      </x:c>
      <x:c r="Y1459" t="str" s="2">
        <x:v>lombasj@gmail.com</x:v>
      </x:c>
      <x:c r="Z1459" s="6">
        <x:v>46287.67446200232</x:v>
      </x:c>
      <x:c r="AA1459" t="str" s="2">
        <x:v>Kristin Breedlove</x:v>
      </x:c>
      <x:c r="AB1459" s="6">
        <x:v>46281.697657488425</x:v>
      </x:c>
      <x:c r="AC1459" t="n" s="2">
        <x:v>40066</x:v>
      </x:c>
      <x:c r="AD1459" t="str" s="2">
        <x:v>Singlewide</x:v>
      </x:c>
      <x:c r="AE1459" t="str" s="2">
        <x:v>Legacy Housing Corporation</x:v>
      </x:c>
      <x:c r="AF1459" s="7">
        <x:v>12457</x:v>
      </x:c>
      <x:c r="AG1459" s="7">
        <x:v>12457</x:v>
      </x:c>
      <x:c r="AH1459" s="7">
        <x:v>12457</x:v>
      </x:c>
      <x:c r="AI1459" t="str" s="2">
        <x:v>577</x:v>
      </x:c>
      <x:c r="AJ1459" s="0"/>
      <x:c r="AK1459" t="str" s="6">
        <x:v>2026-09-24</x:v>
      </x:c>
    </x:row>
    <x:row r="1460">
      <x:c r="A1460" t="str" s="2">
        <x:f>=HYPERLINK("https://rsms.futurehomex.com/lead/40067", "Johnnie Walker")</x:f>
      </x:c>
      <x:c r="B1460" t="n" s="2">
        <x:v>27</x:v>
      </x:c>
      <x:c r="C1460" t="str" s="2">
        <x:v>1/3</x:v>
      </x:c>
      <x:c r="D1460" t="str" s="2">
        <x:f>=""</x:f>
      </x:c>
      <x:c r="E1460" s="0"/>
      <x:c r="F1460" t="str" s="2">
        <x:v>Landing_BPM</x:v>
      </x:c>
      <x:c r="G1460" t="str" s="2">
        <x:v>Heritage Housing of Albany</x:v>
      </x:c>
      <x:c r="H1460" t="str" s="2">
        <x:v>Alexander Bryant</x:v>
      </x:c>
      <x:c r="I1460" t="str" s="2">
        <x:v>Karol Romero</x:v>
      </x:c>
      <x:c r="J1460" s="0"/>
      <x:c r="K1460" t="n" s="2">
        <x:v>5</x:v>
      </x:c>
      <x:c r="L1460" t="str" s="2">
        <x:v>1.1</x:v>
      </x:c>
      <x:c r="M1460" t="str" s="2">
        <x:v>Tentative</x:v>
      </x:c>
      <x:c r="N1460" t="str" s="2">
        <x:v>Prospect</x:v>
      </x:c>
      <x:c r="O1460" s="0"/>
      <x:c r="P1460" s="6">
        <x:v>46281</x:v>
      </x:c>
      <x:c r="Q1460" s="6">
        <x:v>46281.70579351852</x:v>
      </x:c>
      <x:c r="R1460" s="0"/>
      <x:c r="S1460" s="6">
        <x:v>46281</x:v>
      </x:c>
      <x:c r="T1460" s="0"/>
      <x:c r="U1460" s="0"/>
      <x:c r="V1460" s="0"/>
      <x:c r="W1460" s="0"/>
      <x:c r="X1460" t="str" s="2">
        <x:v>2294259799</x:v>
      </x:c>
      <x:c r="Y1460" t="str" s="2">
        <x:v>jonnielane4950@gmail.com</x:v>
      </x:c>
      <x:c r="Z1460" s="6">
        <x:v>46302.57589409722</x:v>
      </x:c>
      <x:c r="AA1460" t="str" s="2">
        <x:v>Justin Johnson</x:v>
      </x:c>
      <x:c r="AB1460" s="6">
        <x:v>46281.70579502315</x:v>
      </x:c>
      <x:c r="AC1460" t="n" s="2">
        <x:v>40067</x:v>
      </x:c>
      <x:c r="AD1460" s="0"/>
      <x:c r="AE1460" s="0"/>
      <x:c r="AF1460" s="0"/>
      <x:c r="AG1460" s="0"/>
      <x:c r="AH1460" s="0"/>
      <x:c r="AI1460" s="0"/>
      <x:c r="AJ1460" s="0"/>
      <x:c r="AK1460" s="0"/>
    </x:row>
    <x:row r="1461">
      <x:c r="A1461" t="str" s="2">
        <x:f>=HYPERLINK("https://rsms.futurehomex.com/lead/40072", "Beverly Kummer")</x:f>
      </x:c>
      <x:c r="B1461" t="n" s="2">
        <x:v>27</x:v>
      </x:c>
      <x:c r="C1461" t="str" s="2">
        <x:v>1/2</x:v>
      </x:c>
      <x:c r="D1461" t="str" s="2">
        <x:f>=""</x:f>
      </x:c>
      <x:c r="E1461" s="0"/>
      <x:c r="F1461" t="str" s="2">
        <x:v>Landing_BPM</x:v>
      </x:c>
      <x:c r="G1461" t="str" s="2">
        <x:v>Heritage Housing of Albany</x:v>
      </x:c>
      <x:c r="H1461" t="str" s="2">
        <x:v>Alexander Bryant</x:v>
      </x:c>
      <x:c r="I1461" s="0"/>
      <x:c r="J1461" s="0"/>
      <x:c r="K1461" t="n" s="2">
        <x:v>5</x:v>
      </x:c>
      <x:c r="L1461" t="str" s="2">
        <x:v>1.1</x:v>
      </x:c>
      <x:c r="M1461" t="str" s="2">
        <x:v>Tentative</x:v>
      </x:c>
      <x:c r="N1461" t="str" s="2">
        <x:v>Prospect</x:v>
      </x:c>
      <x:c r="O1461" s="0"/>
      <x:c r="P1461" s="6">
        <x:v>46281</x:v>
      </x:c>
      <x:c r="Q1461" s="6">
        <x:v>46282.82440853009</x:v>
      </x:c>
      <x:c r="R1461" s="0"/>
      <x:c r="S1461" s="0"/>
      <x:c r="T1461" s="0"/>
      <x:c r="U1461" s="0"/>
      <x:c r="V1461" s="0"/>
      <x:c r="W1461" s="0"/>
      <x:c r="X1461" t="str" s="2">
        <x:v>7045076233</x:v>
      </x:c>
      <x:c r="Y1461" t="str" s="2">
        <x:v>kummerbeverly@gmail.com</x:v>
      </x:c>
      <x:c r="Z1461" s="6">
        <x:v>46302.83058923611</x:v>
      </x:c>
      <x:c r="AA1461" t="str" s="2">
        <x:v>Justin Johnson</x:v>
      </x:c>
      <x:c r="AB1461" s="6">
        <x:v>46281.77569667824</x:v>
      </x:c>
      <x:c r="AC1461" t="n" s="2">
        <x:v>40072</x:v>
      </x:c>
      <x:c r="AD1461" s="0"/>
      <x:c r="AE1461" s="0"/>
      <x:c r="AF1461" s="0"/>
      <x:c r="AG1461" s="0"/>
      <x:c r="AH1461" s="0"/>
      <x:c r="AI1461" s="0"/>
      <x:c r="AJ1461" s="0"/>
      <x:c r="AK1461" s="0"/>
    </x:row>
    <x:row r="1462">
      <x:c r="A1462" t="str" s="2">
        <x:f>=HYPERLINK("https://rsms.futurehomex.com/lead/40073", "Mary Haggy")</x:f>
      </x:c>
      <x:c r="B1462" t="n" s="2">
        <x:v>27</x:v>
      </x:c>
      <x:c r="C1462" t="str" s="2">
        <x:v>1/1</x:v>
      </x:c>
      <x:c r="D1462" t="str" s="2">
        <x:f>=""</x:f>
      </x:c>
      <x:c r="E1462" s="0"/>
      <x:c r="F1462" t="str" s="2">
        <x:v>Website</x:v>
      </x:c>
      <x:c r="G1462" t="str" s="2">
        <x:v>Heritage Housing of Oklahoma City</x:v>
      </x:c>
      <x:c r="H1462" t="str" s="2">
        <x:v>Trey Rixleben</x:v>
      </x:c>
      <x:c r="I1462" s="0"/>
      <x:c r="J1462" t="str" s="2">
        <x:v>Trey Rixleben</x:v>
      </x:c>
      <x:c r="K1462" t="n" s="2">
        <x:v>5</x:v>
      </x:c>
      <x:c r="L1462" t="str" s="2">
        <x:v>1.1</x:v>
      </x:c>
      <x:c r="M1462" t="str" s="2">
        <x:v>Tentative</x:v>
      </x:c>
      <x:c r="N1462" t="str" s="2">
        <x:v>Deal Created</x:v>
      </x:c>
      <x:c r="O1462" s="0"/>
      <x:c r="P1462" s="6">
        <x:v>46281</x:v>
      </x:c>
      <x:c r="Q1462" s="6">
        <x:v>46290.7374403125</x:v>
      </x:c>
      <x:c r="R1462" s="0"/>
      <x:c r="S1462" s="0"/>
      <x:c r="T1462" s="0"/>
      <x:c r="U1462" s="0"/>
      <x:c r="V1462" s="0"/>
      <x:c r="W1462" s="0"/>
      <x:c r="X1462" t="str" s="2">
        <x:v>5722166127</x:v>
      </x:c>
      <x:c r="Y1462" t="str" s="2">
        <x:v>mhaggy.mh@gmail.com</x:v>
      </x:c>
      <x:c r="Z1462" s="6">
        <x:v>46290.739343981484</x:v>
      </x:c>
      <x:c r="AA1462" t="str" s="2">
        <x:v>Trey Rixleben</x:v>
      </x:c>
      <x:c r="AB1462" s="6">
        <x:v>46281.80145613426</x:v>
      </x:c>
      <x:c r="AC1462" t="n" s="2">
        <x:v>40073</x:v>
      </x:c>
      <x:c r="AD1462" s="0"/>
      <x:c r="AE1462" s="0"/>
      <x:c r="AF1462" s="0"/>
      <x:c r="AG1462" s="0"/>
      <x:c r="AH1462" s="0"/>
      <x:c r="AI1462" s="0"/>
      <x:c r="AJ1462" s="0"/>
      <x:c r="AK1462" s="0"/>
    </x:row>
    <x:row r="1463">
      <x:c r="A1463" t="str" s="2">
        <x:f>=HYPERLINK("https://rsms.futurehomex.com/lead/40074", "Shanell Jones")</x:f>
      </x:c>
      <x:c r="B1463" t="n" s="2">
        <x:v>27</x:v>
      </x:c>
      <x:c r="C1463" t="str" s="2">
        <x:v>1/1</x:v>
      </x:c>
      <x:c r="D1463" t="str" s="2">
        <x:f>=""</x:f>
      </x:c>
      <x:c r="E1463" s="0"/>
      <x:c r="F1463" t="str" s="2">
        <x:v>Landing_BPM</x:v>
      </x:c>
      <x:c r="G1463" t="str" s="2">
        <x:v>Heritage Housing of Oklahoma City</x:v>
      </x:c>
      <x:c r="H1463" t="str" s="2">
        <x:v>Trey Rixleben</x:v>
      </x:c>
      <x:c r="I1463" s="0"/>
      <x:c r="J1463" t="str" s="2">
        <x:v>Trey Rixleben</x:v>
      </x:c>
      <x:c r="K1463" t="n" s="2">
        <x:v>5</x:v>
      </x:c>
      <x:c r="L1463" t="str" s="2">
        <x:v>1.1</x:v>
      </x:c>
      <x:c r="M1463" t="str" s="2">
        <x:v>Tentative</x:v>
      </x:c>
      <x:c r="N1463" t="str" s="2">
        <x:v>Deal Created</x:v>
      </x:c>
      <x:c r="O1463" s="0"/>
      <x:c r="P1463" s="6">
        <x:v>46281</x:v>
      </x:c>
      <x:c r="Q1463" s="6">
        <x:v>46290.7400091088</x:v>
      </x:c>
      <x:c r="R1463" s="0"/>
      <x:c r="S1463" s="0"/>
      <x:c r="T1463" s="0"/>
      <x:c r="U1463" s="0"/>
      <x:c r="V1463" s="0"/>
      <x:c r="W1463" s="0"/>
      <x:c r="X1463" t="str" s="2">
        <x:v>4059261367</x:v>
      </x:c>
      <x:c r="Y1463" t="str" s="2">
        <x:v>Shanelljones99@gmail.com</x:v>
      </x:c>
      <x:c r="Z1463" s="6">
        <x:v>46290.74178009259</x:v>
      </x:c>
      <x:c r="AA1463" t="str" s="2">
        <x:v>Trey Rixleben</x:v>
      </x:c>
      <x:c r="AB1463" s="6">
        <x:v>46281.80491211805</x:v>
      </x:c>
      <x:c r="AC1463" t="n" s="2">
        <x:v>40074</x:v>
      </x:c>
      <x:c r="AD1463" s="0"/>
      <x:c r="AE1463" s="0"/>
      <x:c r="AF1463" s="0"/>
      <x:c r="AG1463" s="0"/>
      <x:c r="AH1463" s="0"/>
      <x:c r="AI1463" s="0"/>
      <x:c r="AJ1463" s="0"/>
      <x:c r="AK1463" s="0"/>
    </x:row>
    <x:row r="1464">
      <x:c r="A1464" t="str" s="2">
        <x:f>=HYPERLINK("https://rsms.futurehomex.com/lead/40075", "Katie Strand")</x:f>
      </x:c>
      <x:c r="B1464" t="n" s="2">
        <x:v>27</x:v>
      </x:c>
      <x:c r="C1464" t="str" s="2">
        <x:v>0/2</x:v>
      </x:c>
      <x:c r="D1464" t="str" s="2">
        <x:f>=""</x:f>
      </x:c>
      <x:c r="E1464" s="0"/>
      <x:c r="F1464" t="str" s="2">
        <x:v>Landing_BPM</x:v>
      </x:c>
      <x:c r="G1464" t="str" s="2">
        <x:v>Heritage Housing of Oklahoma City</x:v>
      </x:c>
      <x:c r="H1464" t="str" s="2">
        <x:v>Trey Rixleben</x:v>
      </x:c>
      <x:c r="I1464" s="0"/>
      <x:c r="J1464" t="str" s="2">
        <x:v>Trey Rixleben</x:v>
      </x:c>
      <x:c r="K1464" t="n" s="2">
        <x:v>5</x:v>
      </x:c>
      <x:c r="L1464" t="str" s="2">
        <x:v>1.1</x:v>
      </x:c>
      <x:c r="M1464" t="str" s="2">
        <x:v>Dead</x:v>
      </x:c>
      <x:c r="N1464" t="str" s="2">
        <x:v>Deal Created</x:v>
      </x:c>
      <x:c r="O1464" s="0"/>
      <x:c r="P1464" s="6">
        <x:v>46281</x:v>
      </x:c>
      <x:c r="Q1464" s="6">
        <x:v>46290.757882025464</x:v>
      </x:c>
      <x:c r="R1464" s="0"/>
      <x:c r="S1464" s="0"/>
      <x:c r="T1464" s="0"/>
      <x:c r="U1464" s="0"/>
      <x:c r="V1464" s="0"/>
      <x:c r="W1464" s="0"/>
      <x:c r="X1464" t="str" s="2">
        <x:v>4059928889</x:v>
      </x:c>
      <x:c r="Y1464" t="str" s="2">
        <x:v>kstrand218@gmail.com</x:v>
      </x:c>
      <x:c r="Z1464" s="6">
        <x:v>46291.76538711806</x:v>
      </x:c>
      <x:c r="AA1464" t="str" s="2">
        <x:v>Richard Bell</x:v>
      </x:c>
      <x:c r="AB1464" s="6">
        <x:v>46281.80734533565</x:v>
      </x:c>
      <x:c r="AC1464" t="n" s="2">
        <x:v>40075</x:v>
      </x:c>
      <x:c r="AD1464" s="0"/>
      <x:c r="AE1464" s="0"/>
      <x:c r="AF1464" s="0"/>
      <x:c r="AG1464" s="0"/>
      <x:c r="AH1464" s="0"/>
      <x:c r="AI1464" s="0"/>
      <x:c r="AJ1464" s="0"/>
      <x:c r="AK1464" s="0"/>
    </x:row>
    <x:row r="1465">
      <x:c r="A1465" t="str" s="2">
        <x:f>=HYPERLINK("https://rsms.futurehomex.com/lead/40076", "Heather Kutie")</x:f>
      </x:c>
      <x:c r="B1465" t="n" s="2">
        <x:v>27</x:v>
      </x:c>
      <x:c r="C1465" t="str" s="2">
        <x:v>1/1</x:v>
      </x:c>
      <x:c r="D1465" t="str" s="2">
        <x:f>="Follow up"</x:f>
      </x:c>
      <x:c r="E1465" s="0"/>
      <x:c r="F1465" t="str" s="2">
        <x:v>Walk-in</x:v>
      </x:c>
      <x:c r="G1465" t="str" s="2">
        <x:v>Heritage Housing Gainesville</x:v>
      </x:c>
      <x:c r="H1465" t="str" s="2">
        <x:v>Kelly Ford</x:v>
      </x:c>
      <x:c r="I1465" s="0"/>
      <x:c r="J1465" t="str" s="2">
        <x:v>Kelly Ford</x:v>
      </x:c>
      <x:c r="K1465" t="n" s="2">
        <x:v>5</x:v>
      </x:c>
      <x:c r="L1465" t="str" s="2">
        <x:v>1.1</x:v>
      </x:c>
      <x:c r="M1465" t="str" s="2">
        <x:v>Tentative</x:v>
      </x:c>
      <x:c r="N1465" t="str" s="2">
        <x:v>Deal Created</x:v>
      </x:c>
      <x:c r="O1465" s="0"/>
      <x:c r="P1465" s="6">
        <x:v>46281</x:v>
      </x:c>
      <x:c r="Q1465" s="6">
        <x:v>46281.817625</x:v>
      </x:c>
      <x:c r="R1465" s="0"/>
      <x:c r="S1465" s="6">
        <x:v>46281</x:v>
      </x:c>
      <x:c r="T1465" s="0"/>
      <x:c r="U1465" s="0"/>
      <x:c r="V1465" s="0"/>
      <x:c r="W1465" s="0"/>
      <x:c r="X1465" t="str" s="2">
        <x:v>9402332977</x:v>
      </x:c>
      <x:c r="Y1465" t="str" s="2">
        <x:v>fatboy072@gmail.com</x:v>
      </x:c>
      <x:c r="Z1465" s="6">
        <x:v>46281.819315775465</x:v>
      </x:c>
      <x:c r="AA1465" t="str" s="2">
        <x:v>Kelly Ford</x:v>
      </x:c>
      <x:c r="AB1465" s="6">
        <x:v>46281.817627233795</x:v>
      </x:c>
      <x:c r="AC1465" t="n" s="2">
        <x:v>40076</x:v>
      </x:c>
      <x:c r="AD1465" s="0"/>
      <x:c r="AE1465" s="0"/>
      <x:c r="AF1465" s="0"/>
      <x:c r="AG1465" s="0"/>
      <x:c r="AH1465" s="0"/>
      <x:c r="AI1465" s="0"/>
      <x:c r="AJ1465" s="0"/>
      <x:c r="AK1465" s="0"/>
    </x:row>
    <x:row r="1466">
      <x:c r="A1466" t="str" s="2">
        <x:f>=HYPERLINK("https://rsms.futurehomex.com/lead/40077", "Richard Tate")</x:f>
      </x:c>
      <x:c r="B1466" t="n" s="2">
        <x:v>27</x:v>
      </x:c>
      <x:c r="C1466" t="str" s="2">
        <x:v/>
      </x:c>
      <x:c r="D1466" t="str" s="2">
        <x:f>=""</x:f>
      </x:c>
      <x:c r="E1466" s="0"/>
      <x:c r="F1466" t="str" s="2">
        <x:v>Walk-in</x:v>
      </x:c>
      <x:c r="G1466" t="str" s="2">
        <x:v>Heritage Housing of Asheboro</x:v>
      </x:c>
      <x:c r="H1466" t="str" s="2">
        <x:v>Kate Gutierrez</x:v>
      </x:c>
      <x:c r="I1466" s="0"/>
      <x:c r="J1466" s="0"/>
      <x:c r="K1466" t="n" s="2">
        <x:v>21</x:v>
      </x:c>
      <x:c r="L1466" t="str" s="2">
        <x:v>2.1</x:v>
      </x:c>
      <x:c r="M1466" t="str" s="2">
        <x:v>Tentative</x:v>
      </x:c>
      <x:c r="N1466" t="str" s="2">
        <x:v>Qualified</x:v>
      </x:c>
      <x:c r="O1466" s="0"/>
      <x:c r="P1466" s="6">
        <x:v>46281</x:v>
      </x:c>
      <x:c r="Q1466" s="6">
        <x:v>46283.75614212963</x:v>
      </x:c>
      <x:c r="R1466" s="0"/>
      <x:c r="S1466" s="0"/>
      <x:c r="T1466" s="0"/>
      <x:c r="U1466" s="0"/>
      <x:c r="V1466" s="0"/>
      <x:c r="W1466" s="0"/>
      <x:c r="X1466" t="str" s="2">
        <x:v>3364719498</x:v>
      </x:c>
      <x:c r="Y1466" t="str" s="2">
        <x:v>richard.tate1001@yahoo.com</x:v>
      </x:c>
      <x:c r="Z1466" s="6">
        <x:v>46282.57488526621</x:v>
      </x:c>
      <x:c r="AA1466" t="str" s="2">
        <x:v>Jeremy Jacques</x:v>
      </x:c>
      <x:c r="AB1466" s="6">
        <x:v>46281.826309525466</x:v>
      </x:c>
      <x:c r="AC1466" t="n" s="2">
        <x:v>40077</x:v>
      </x:c>
      <x:c r="AD1466" s="0"/>
      <x:c r="AE1466" s="0"/>
      <x:c r="AF1466" s="0"/>
      <x:c r="AG1466" s="0"/>
      <x:c r="AH1466" s="0"/>
      <x:c r="AI1466" s="0"/>
      <x:c r="AJ1466" s="0"/>
      <x:c r="AK1466" s="0"/>
    </x:row>
    <x:row r="1467">
      <x:c r="A1467" t="str" s="2">
        <x:f>=HYPERLINK("https://rsms.futurehomex.com/lead/40078", "Jose Leal Quiterio")</x:f>
      </x:c>
      <x:c r="B1467" t="n" s="2">
        <x:v>27</x:v>
      </x:c>
      <x:c r="C1467" t="str" s="2">
        <x:v>1/3</x:v>
      </x:c>
      <x:c r="D1467" t="str" s="2">
        <x:f>=""</x:f>
      </x:c>
      <x:c r="E1467" t="str" s="2">
        <x:v>Michelle Rodriguez</x:v>
      </x:c>
      <x:c r="F1467" t="str" s="2">
        <x:v>Walk-in</x:v>
      </x:c>
      <x:c r="G1467" t="str" s="2">
        <x:v>Heritage Housing of Asheboro</x:v>
      </x:c>
      <x:c r="H1467" t="str" s="2">
        <x:v>Maria Lopez</x:v>
      </x:c>
      <x:c r="I1467" s="0"/>
      <x:c r="J1467" s="0"/>
      <x:c r="K1467" t="n" s="2">
        <x:v>38</x:v>
      </x:c>
      <x:c r="L1467" t="str" s="2">
        <x:v>3.2</x:v>
      </x:c>
      <x:c r="M1467" t="str" s="2">
        <x:v>Tentative</x:v>
      </x:c>
      <x:c r="N1467" t="str" s="2">
        <x:v>Application</x:v>
      </x:c>
      <x:c r="O1467" s="0"/>
      <x:c r="P1467" s="6">
        <x:v>46281</x:v>
      </x:c>
      <x:c r="Q1467" s="6">
        <x:v>46298.719745752314</x:v>
      </x:c>
      <x:c r="R1467" s="0"/>
      <x:c r="S1467" s="6">
        <x:v>46283</x:v>
      </x:c>
      <x:c r="T1467" s="0"/>
      <x:c r="U1467" s="0"/>
      <x:c r="V1467" s="0"/>
      <x:c r="W1467" s="0"/>
      <x:c r="X1467" t="str" s="2">
        <x:v>3362795573</x:v>
      </x:c>
      <x:c r="Y1467" t="str" s="2">
        <x:v>tunco18@yahoo.com</x:v>
      </x:c>
      <x:c r="Z1467" s="6">
        <x:v>46300.89135153935</x:v>
      </x:c>
      <x:c r="AA1467" t="str" s="2">
        <x:v>Meliza Banda</x:v>
      </x:c>
      <x:c r="AB1467" s="6">
        <x:v>46281.83121898148</x:v>
      </x:c>
      <x:c r="AC1467" t="n" s="2">
        <x:v>40078</x:v>
      </x:c>
      <x:c r="AD1467" s="0"/>
      <x:c r="AE1467" s="0"/>
      <x:c r="AF1467" s="0"/>
      <x:c r="AG1467" s="7">
        <x:v>10000</x:v>
      </x:c>
      <x:c r="AH1467" s="0"/>
      <x:c r="AI1467" t="str" s="2">
        <x:v>545</x:v>
      </x:c>
      <x:c r="AJ1467" s="0"/>
      <x:c r="AK1467" s="0"/>
    </x:row>
    <x:row r="1468">
      <x:c r="A1468" t="str" s="2">
        <x:f>=HYPERLINK("https://rsms.futurehomex.com/lead/40079", "Francisco Gutierrez")</x:f>
      </x:c>
      <x:c r="B1468" t="n" s="2">
        <x:v>27</x:v>
      </x:c>
      <x:c r="C1468" t="str" s="2">
        <x:v>0/1</x:v>
      </x:c>
      <x:c r="D1468" t="str" s="2">
        <x:f>=""</x:f>
      </x:c>
      <x:c r="E1468" s="0"/>
      <x:c r="F1468" t="str" s="2">
        <x:v>Financing Form</x:v>
      </x:c>
      <x:c r="G1468" t="str" s="2">
        <x:v>Heritage Housing of Minden</x:v>
      </x:c>
      <x:c r="H1468" t="str" s="2">
        <x:v>Patrick Schuchart</x:v>
      </x:c>
      <x:c r="I1468" t="str" s="2">
        <x:v>Karol Romero</x:v>
      </x:c>
      <x:c r="J1468" t="str" s="2">
        <x:v>Patrick Schuchart</x:v>
      </x:c>
      <x:c r="K1468" t="n" s="2">
        <x:v>5</x:v>
      </x:c>
      <x:c r="L1468" t="str" s="2">
        <x:v>1.1</x:v>
      </x:c>
      <x:c r="M1468" t="str" s="2">
        <x:v>Tentative</x:v>
      </x:c>
      <x:c r="N1468" t="str" s="2">
        <x:v>Prospect</x:v>
      </x:c>
      <x:c r="O1468" s="0"/>
      <x:c r="P1468" s="6">
        <x:v>46281</x:v>
      </x:c>
      <x:c r="Q1468" s="6">
        <x:v>46281.84434575232</x:v>
      </x:c>
      <x:c r="R1468" t="str" s="2">
        <x:v>Patrick Schuchart</x:v>
      </x:c>
      <x:c r="S1468" s="0"/>
      <x:c r="T1468" s="0"/>
      <x:c r="U1468" s="0"/>
      <x:c r="V1468" s="0"/>
      <x:c r="W1468" s="0"/>
      <x:c r="X1468" t="str" s="2">
        <x:v>3372757227</x:v>
      </x:c>
      <x:c r="Y1468" t="str" s="2">
        <x:v>Franciscoguti4216@gmail.com</x:v>
      </x:c>
      <x:c r="Z1468" s="6">
        <x:v>46284.62793248842</x:v>
      </x:c>
      <x:c r="AA1468" t="str" s="2">
        <x:v>Patrick Schuchart</x:v>
      </x:c>
      <x:c r="AB1468" s="6">
        <x:v>46281.84302523148</x:v>
      </x:c>
      <x:c r="AC1468" t="n" s="2">
        <x:v>40079</x:v>
      </x:c>
      <x:c r="AD1468" s="0"/>
      <x:c r="AE1468" s="0"/>
      <x:c r="AF1468" s="0"/>
      <x:c r="AG1468" s="0"/>
      <x:c r="AH1468" s="0"/>
      <x:c r="AI1468" s="0"/>
      <x:c r="AJ1468" s="0"/>
      <x:c r="AK1468" s="0"/>
    </x:row>
    <x:row r="1469">
      <x:c r="A1469" t="str" s="2">
        <x:f>=HYPERLINK("https://rsms.futurehomex.com/lead/40080", "Jessica Marshall")</x:f>
      </x:c>
      <x:c r="B1469" t="n" s="2">
        <x:v>27</x:v>
      </x:c>
      <x:c r="C1469" t="str" s="2">
        <x:v/>
      </x:c>
      <x:c r="D1469" t="str" s="2">
        <x:f>=""</x:f>
      </x:c>
      <x:c r="E1469" s="0"/>
      <x:c r="F1469" t="str" s="2">
        <x:v>Financing Form</x:v>
      </x:c>
      <x:c r="G1469" t="str" s="2">
        <x:v>Legacy Housing Corp. DBA Americasa</x:v>
      </x:c>
      <x:c r="H1469" t="str" s="2">
        <x:v>House</x:v>
      </x:c>
      <x:c r="I1469" t="str" s="2">
        <x:v>Karol Romero</x:v>
      </x:c>
      <x:c r="J1469" s="0"/>
      <x:c r="K1469" t="n" s="2">
        <x:v>5</x:v>
      </x:c>
      <x:c r="L1469" t="str" s="2">
        <x:v>1.1</x:v>
      </x:c>
      <x:c r="M1469" t="str" s="2">
        <x:v>Tentative</x:v>
      </x:c>
      <x:c r="N1469" t="str" s="2">
        <x:v>Prospect</x:v>
      </x:c>
      <x:c r="O1469" s="0"/>
      <x:c r="P1469" s="6">
        <x:v>46281</x:v>
      </x:c>
      <x:c r="Q1469" s="6">
        <x:v>46281.889104050926</x:v>
      </x:c>
      <x:c r="R1469" s="0"/>
      <x:c r="S1469" s="0"/>
      <x:c r="T1469" s="0"/>
      <x:c r="U1469" s="0"/>
      <x:c r="V1469" s="0"/>
      <x:c r="W1469" s="0"/>
      <x:c r="X1469" t="str" s="2">
        <x:v>7262508761</x:v>
      </x:c>
      <x:c r="Y1469" t="str" s="2">
        <x:v>jessicamarshall7281@yahoo.com</x:v>
      </x:c>
      <x:c r="Z1469" s="6">
        <x:v>46281.89888356481</x:v>
      </x:c>
      <x:c r="AA1469" t="str" s="2">
        <x:v>Angelica Mendoza </x:v>
      </x:c>
      <x:c r="AB1469" s="6">
        <x:v>46281.889105208335</x:v>
      </x:c>
      <x:c r="AC1469" t="n" s="2">
        <x:v>40080</x:v>
      </x:c>
      <x:c r="AD1469" s="0"/>
      <x:c r="AE1469" s="0"/>
      <x:c r="AF1469" s="0"/>
      <x:c r="AG1469" s="0"/>
      <x:c r="AH1469" s="0"/>
      <x:c r="AI1469" s="0"/>
      <x:c r="AJ1469" s="0"/>
      <x:c r="AK1469" s="0"/>
    </x:row>
    <x:row r="1470">
      <x:c r="A1470" t="str" s="2">
        <x:f>=HYPERLINK("https://rsms.futurehomex.com/lead/40081", "Kelly Davis")</x:f>
      </x:c>
      <x:c r="B1470" t="n" s="2">
        <x:v>27</x:v>
      </x:c>
      <x:c r="C1470" t="str" s="2">
        <x:v/>
      </x:c>
      <x:c r="D1470" t="str" s="2">
        <x:f>=""</x:f>
      </x:c>
      <x:c r="E1470" s="0"/>
      <x:c r="F1470" t="str" s="2">
        <x:v>Youtube</x:v>
      </x:c>
      <x:c r="G1470" t="str" s="2">
        <x:v>Heritage Housing Gainesville</x:v>
      </x:c>
      <x:c r="H1470" t="str" s="2">
        <x:v>Jeniffer Arellano</x:v>
      </x:c>
      <x:c r="I1470" s="0"/>
      <x:c r="J1470" t="str" s="2">
        <x:v>Jeniffer Arellano</x:v>
      </x:c>
      <x:c r="K1470" t="n" s="2">
        <x:v>5</x:v>
      </x:c>
      <x:c r="L1470" t="str" s="2">
        <x:v>1.1</x:v>
      </x:c>
      <x:c r="M1470" t="str" s="2">
        <x:v>Tentative</x:v>
      </x:c>
      <x:c r="N1470" t="str" s="2">
        <x:v>Deal Created</x:v>
      </x:c>
      <x:c r="O1470" s="0"/>
      <x:c r="P1470" s="6">
        <x:v>46281</x:v>
      </x:c>
      <x:c r="Q1470" s="6">
        <x:v>46281.896972256945</x:v>
      </x:c>
      <x:c r="R1470" s="0"/>
      <x:c r="S1470" s="0"/>
      <x:c r="T1470" s="0"/>
      <x:c r="U1470" s="0"/>
      <x:c r="V1470" s="0"/>
      <x:c r="W1470" s="0"/>
      <x:c r="X1470" t="str" s="2">
        <x:v>2149607221</x:v>
      </x:c>
      <x:c r="Y1470" t="str" s="2">
        <x:v>kdngp@yahoo.com</x:v>
      </x:c>
      <x:c r="Z1470" s="0"/>
      <x:c r="AA1470" s="0"/>
      <x:c r="AB1470" s="6">
        <x:v>46281.89697407407</x:v>
      </x:c>
      <x:c r="AC1470" t="n" s="2">
        <x:v>40081</x:v>
      </x:c>
      <x:c r="AD1470" s="0"/>
      <x:c r="AE1470" s="0"/>
      <x:c r="AF1470" s="0"/>
      <x:c r="AG1470" s="0"/>
      <x:c r="AH1470" s="0"/>
      <x:c r="AI1470" s="0"/>
      <x:c r="AJ1470" s="0"/>
      <x:c r="AK1470" s="0"/>
    </x:row>
    <x:row r="1471">
      <x:c r="A1471" t="str" s="2">
        <x:f>=HYPERLINK("https://rsms.futurehomex.com/lead/40082", "FRANCISCO ANTONIO REYES ANGEL")</x:f>
      </x:c>
      <x:c r="B1471" t="n" s="2">
        <x:v>27</x:v>
      </x:c>
      <x:c r="C1471" t="str" s="2">
        <x:v>0/2</x:v>
      </x:c>
      <x:c r="D1471" t="str" s="2">
        <x:f>=""</x:f>
      </x:c>
      <x:c r="E1471" s="0"/>
      <x:c r="F1471" t="str" s="2">
        <x:v>Terrenos Houston</x:v>
      </x:c>
      <x:c r="G1471" t="str" s="2">
        <x:v>Legacy Housing Corp. DBA Americasa</x:v>
      </x:c>
      <x:c r="H1471" t="str" s="2">
        <x:v>Joey Marquez</x:v>
      </x:c>
      <x:c r="I1471" s="0"/>
      <x:c r="J1471" t="str" s="2">
        <x:v>Rodrigo Ramirez</x:v>
      </x:c>
      <x:c r="K1471" t="n" s="2">
        <x:v>5</x:v>
      </x:c>
      <x:c r="L1471" t="str" s="2">
        <x:v>1.1</x:v>
      </x:c>
      <x:c r="M1471" t="str" s="2">
        <x:v>Tentative</x:v>
      </x:c>
      <x:c r="N1471" t="str" s="2">
        <x:v>Deal Created</x:v>
      </x:c>
      <x:c r="O1471" s="0"/>
      <x:c r="P1471" s="6">
        <x:v>46281</x:v>
      </x:c>
      <x:c r="Q1471" s="6">
        <x:v>46281.91918981481</x:v>
      </x:c>
      <x:c r="R1471" s="0"/>
      <x:c r="S1471" s="0"/>
      <x:c r="T1471" s="0"/>
      <x:c r="U1471" s="0"/>
      <x:c r="V1471" s="0"/>
      <x:c r="W1471" s="0"/>
      <x:c r="X1471" t="str" s="2">
        <x:v>8325197412</x:v>
      </x:c>
      <x:c r="Y1471" t="str" s="2">
        <x:v>freyesangel70@gmail.com</x:v>
      </x:c>
      <x:c r="Z1471" s="6">
        <x:v>46289.70181200231</x:v>
      </x:c>
      <x:c r="AA1471" t="str" s="2">
        <x:v>Joey Marquez</x:v>
      </x:c>
      <x:c r="AB1471" s="6">
        <x:v>46286.5842278125</x:v>
      </x:c>
      <x:c r="AC1471" t="n" s="2">
        <x:v>40082</x:v>
      </x:c>
      <x:c r="AD1471" s="0"/>
      <x:c r="AE1471" s="0"/>
      <x:c r="AF1471" s="0"/>
      <x:c r="AG1471" s="0"/>
      <x:c r="AH1471" s="0"/>
      <x:c r="AI1471" s="0"/>
      <x:c r="AJ1471" s="0"/>
      <x:c r="AK1471" s="0"/>
    </x:row>
    <x:row r="1472">
      <x:c r="A1472" t="str" s="2">
        <x:f>=HYPERLINK("https://rsms.futurehomex.com/lead/40085", "Carly Spriggs")</x:f>
      </x:c>
      <x:c r="B1472" t="n" s="2">
        <x:v>26</x:v>
      </x:c>
      <x:c r="C1472" t="str" s="2">
        <x:v/>
      </x:c>
      <x:c r="D1472" t="str" s="2">
        <x:f>=""</x:f>
      </x:c>
      <x:c r="E1472" s="0"/>
      <x:c r="F1472" t="str" s="2">
        <x:v>Walk-in</x:v>
      </x:c>
      <x:c r="G1472" t="str" s="2">
        <x:v>Heritage Housing of Asheboro</x:v>
      </x:c>
      <x:c r="H1472" t="str" s="2">
        <x:v>Kate Gutierrez</x:v>
      </x:c>
      <x:c r="I1472" s="0"/>
      <x:c r="J1472" s="0"/>
      <x:c r="K1472" t="n" s="2">
        <x:v>21</x:v>
      </x:c>
      <x:c r="L1472" t="str" s="2">
        <x:v>2.1</x:v>
      </x:c>
      <x:c r="M1472" t="str" s="2">
        <x:v>Tentative</x:v>
      </x:c>
      <x:c r="N1472" t="str" s="2">
        <x:v>Qualified</x:v>
      </x:c>
      <x:c r="O1472" s="0"/>
      <x:c r="P1472" s="6">
        <x:v>46282</x:v>
      </x:c>
      <x:c r="Q1472" s="6">
        <x:v>46282.57420841435</x:v>
      </x:c>
      <x:c r="R1472" s="0"/>
      <x:c r="S1472" s="0"/>
      <x:c r="T1472" s="0"/>
      <x:c r="U1472" s="0"/>
      <x:c r="V1472" s="0"/>
      <x:c r="W1472" s="0"/>
      <x:c r="X1472" t="str" s="2">
        <x:v>3364601181</x:v>
      </x:c>
      <x:c r="Y1472" t="str" s="2">
        <x:v>carlyhavis2019@gmail.com</x:v>
      </x:c>
      <x:c r="Z1472" s="6">
        <x:v>46283.534130405096</x:v>
      </x:c>
      <x:c r="AA1472" t="str" s="2">
        <x:v>Kate Gutierrez</x:v>
      </x:c>
      <x:c r="AB1472" s="6">
        <x:v>46282.57029232639</x:v>
      </x:c>
      <x:c r="AC1472" t="n" s="2">
        <x:v>40085</x:v>
      </x:c>
      <x:c r="AD1472" s="0"/>
      <x:c r="AE1472" s="0"/>
      <x:c r="AF1472" s="0"/>
      <x:c r="AG1472" s="0"/>
      <x:c r="AH1472" s="0"/>
      <x:c r="AI1472" s="0"/>
      <x:c r="AJ1472" s="0"/>
      <x:c r="AK1472" s="0"/>
    </x:row>
    <x:row r="1473">
      <x:c r="A1473" t="str" s="2">
        <x:f>=HYPERLINK("https://rsms.futurehomex.com/lead/40086", "Virginia McHenry")</x:f>
      </x:c>
      <x:c r="B1473" t="n" s="2">
        <x:v>26</x:v>
      </x:c>
      <x:c r="C1473" t="str" s="2">
        <x:v>1/1</x:v>
      </x:c>
      <x:c r="D1473" t="str" s="2">
        <x:f>=""</x:f>
      </x:c>
      <x:c r="E1473" s="0"/>
      <x:c r="F1473" t="str" s="2">
        <x:v>Landing_BPM</x:v>
      </x:c>
      <x:c r="G1473" t="str" s="2">
        <x:v>Heritage Housing of Oklahoma City</x:v>
      </x:c>
      <x:c r="H1473" t="str" s="2">
        <x:v>Trey Rixleben</x:v>
      </x:c>
      <x:c r="I1473" s="0"/>
      <x:c r="J1473" t="str" s="2">
        <x:v>Trey Rixleben</x:v>
      </x:c>
      <x:c r="K1473" t="n" s="2">
        <x:v>5</x:v>
      </x:c>
      <x:c r="L1473" t="str" s="2">
        <x:v>1.1</x:v>
      </x:c>
      <x:c r="M1473" t="str" s="2">
        <x:v>Tentative</x:v>
      </x:c>
      <x:c r="N1473" t="str" s="2">
        <x:v>Deal Created</x:v>
      </x:c>
      <x:c r="O1473" s="0"/>
      <x:c r="P1473" s="6">
        <x:v>46282</x:v>
      </x:c>
      <x:c r="Q1473" s="6">
        <x:v>46304.754421875</x:v>
      </x:c>
      <x:c r="R1473" s="0"/>
      <x:c r="S1473" s="0"/>
      <x:c r="T1473" s="0"/>
      <x:c r="U1473" s="0"/>
      <x:c r="V1473" s="0"/>
      <x:c r="W1473" s="0"/>
      <x:c r="X1473" t="str" s="2">
        <x:v>4054550167</x:v>
      </x:c>
      <x:c r="Y1473" t="str" s="2">
        <x:v>mchenryv75@gmail.com</x:v>
      </x:c>
      <x:c r="Z1473" s="6">
        <x:v>46304.75593931713</x:v>
      </x:c>
      <x:c r="AA1473" t="str" s="2">
        <x:v>Trey Rixleben</x:v>
      </x:c>
      <x:c r="AB1473" s="6">
        <x:v>46282.59622561342</x:v>
      </x:c>
      <x:c r="AC1473" t="n" s="2">
        <x:v>40086</x:v>
      </x:c>
      <x:c r="AD1473" s="0"/>
      <x:c r="AE1473" s="0"/>
      <x:c r="AF1473" s="0"/>
      <x:c r="AG1473" s="0"/>
      <x:c r="AH1473" s="0"/>
      <x:c r="AI1473" s="0"/>
      <x:c r="AJ1473" s="0"/>
      <x:c r="AK1473" s="0"/>
    </x:row>
    <x:row r="1474">
      <x:c r="A1474" t="str" s="2">
        <x:f>=HYPERLINK("https://rsms.futurehomex.com/lead/40087", "RACHELE Hierra")</x:f>
      </x:c>
      <x:c r="B1474" t="n" s="2">
        <x:v>26</x:v>
      </x:c>
      <x:c r="C1474" t="str" s="2">
        <x:v/>
      </x:c>
      <x:c r="D1474" t="str" s="2">
        <x:f>=""</x:f>
      </x:c>
      <x:c r="E1474" s="0"/>
      <x:c r="F1474" t="str" s="2">
        <x:v>Facebook Messenger</x:v>
      </x:c>
      <x:c r="G1474" t="str" s="2">
        <x:v>Heritage Housing of Canton</x:v>
      </x:c>
      <x:c r="H1474" t="str" s="2">
        <x:v>Jacob Hatten</x:v>
      </x:c>
      <x:c r="I1474" s="0"/>
      <x:c r="J1474" t="str" s="2">
        <x:v>Jacob Hatten</x:v>
      </x:c>
      <x:c r="K1474" t="n" s="2">
        <x:v>34</x:v>
      </x:c>
      <x:c r="L1474" t="str" s="2">
        <x:v>2.4</x:v>
      </x:c>
      <x:c r="M1474" t="str" s="2">
        <x:v>Dead</x:v>
      </x:c>
      <x:c r="N1474" t="str" s="2">
        <x:v>Deal approval</x:v>
      </x:c>
      <x:c r="O1474" s="0"/>
      <x:c r="P1474" s="6">
        <x:v>46282</x:v>
      </x:c>
      <x:c r="Q1474" s="6">
        <x:v>46282.67366732639</x:v>
      </x:c>
      <x:c r="R1474" s="0"/>
      <x:c r="S1474" s="0"/>
      <x:c r="T1474" s="0"/>
      <x:c r="U1474" s="0"/>
      <x:c r="V1474" s="0"/>
      <x:c r="W1474" s="0"/>
      <x:c r="X1474" t="str" s="2">
        <x:v>9034676598</x:v>
      </x:c>
      <x:c r="Y1474" t="str" s="2">
        <x:v>rachelej46@gmail.com</x:v>
      </x:c>
      <x:c r="Z1474" s="6">
        <x:v>46283.661631284725</x:v>
      </x:c>
      <x:c r="AA1474" t="str" s="2">
        <x:v>Jacob Hatten</x:v>
      </x:c>
      <x:c r="AB1474" s="6">
        <x:v>46282.599083217596</x:v>
      </x:c>
      <x:c r="AC1474" t="n" s="2">
        <x:v>40087</x:v>
      </x:c>
      <x:c r="AD1474" t="str" s="2">
        <x:v>Doublewide</x:v>
      </x:c>
      <x:c r="AE1474" s="0"/>
      <x:c r="AF1474" s="0"/>
      <x:c r="AG1474" s="7">
        <x:v>18000</x:v>
      </x:c>
      <x:c r="AH1474" s="0"/>
      <x:c r="AI1474" s="0"/>
      <x:c r="AJ1474" s="0"/>
      <x:c r="AK1474" s="0"/>
    </x:row>
    <x:row r="1475">
      <x:c r="A1475" t="str" s="2">
        <x:f>=HYPERLINK("https://rsms.futurehomex.com/lead/40088", "Aaliyah Coffman")</x:f>
      </x:c>
      <x:c r="B1475" t="n" s="2">
        <x:v>26</x:v>
      </x:c>
      <x:c r="C1475" t="str" s="2">
        <x:v>1/1</x:v>
      </x:c>
      <x:c r="D1475" t="str" s="2">
        <x:f>=""</x:f>
      </x:c>
      <x:c r="E1475" s="0"/>
      <x:c r="F1475" t="str" s="2">
        <x:v>Landing_BPM</x:v>
      </x:c>
      <x:c r="G1475" t="str" s="2">
        <x:v>Heritage Housing of Oklahoma City</x:v>
      </x:c>
      <x:c r="H1475" t="str" s="2">
        <x:v>Trey Rixleben</x:v>
      </x:c>
      <x:c r="I1475" s="0"/>
      <x:c r="J1475" t="str" s="2">
        <x:v>Trey Rixleben</x:v>
      </x:c>
      <x:c r="K1475" t="n" s="2">
        <x:v>5</x:v>
      </x:c>
      <x:c r="L1475" t="str" s="2">
        <x:v>1.1</x:v>
      </x:c>
      <x:c r="M1475" t="str" s="2">
        <x:v>Tentative</x:v>
      </x:c>
      <x:c r="N1475" t="str" s="2">
        <x:v>Deal Created</x:v>
      </x:c>
      <x:c r="O1475" s="0"/>
      <x:c r="P1475" s="6">
        <x:v>46282</x:v>
      </x:c>
      <x:c r="Q1475" s="6">
        <x:v>46297.91926195602</x:v>
      </x:c>
      <x:c r="R1475" s="0"/>
      <x:c r="S1475" s="0"/>
      <x:c r="T1475" s="0"/>
      <x:c r="U1475" s="0"/>
      <x:c r="V1475" s="0"/>
      <x:c r="W1475" s="0"/>
      <x:c r="X1475" t="str" s="2">
        <x:v>4053958352</x:v>
      </x:c>
      <x:c r="Y1475" t="str" s="2">
        <x:v>coffmanaaliyah@gmail.com</x:v>
      </x:c>
      <x:c r="Z1475" s="6">
        <x:v>46297.92023862268</x:v>
      </x:c>
      <x:c r="AA1475" t="str" s="2">
        <x:v>Trey Rixleben</x:v>
      </x:c>
      <x:c r="AB1475" s="6">
        <x:v>46282.60366778935</x:v>
      </x:c>
      <x:c r="AC1475" t="n" s="2">
        <x:v>40088</x:v>
      </x:c>
      <x:c r="AD1475" s="0"/>
      <x:c r="AE1475" s="0"/>
      <x:c r="AF1475" s="0"/>
      <x:c r="AG1475" s="0"/>
      <x:c r="AH1475" s="0"/>
      <x:c r="AI1475" s="0"/>
      <x:c r="AJ1475" s="0"/>
      <x:c r="AK1475" s="0"/>
    </x:row>
    <x:row r="1476">
      <x:c r="A1476" t="str" s="2">
        <x:f>=HYPERLINK("https://rsms.futurehomex.com/lead/40090", "Melissa Bennett")</x:f>
      </x:c>
      <x:c r="B1476" t="n" s="2">
        <x:v>26</x:v>
      </x:c>
      <x:c r="C1476" t="str" s="2">
        <x:v>1/1</x:v>
      </x:c>
      <x:c r="D1476" t="str" s="2">
        <x:f>=""</x:f>
      </x:c>
      <x:c r="E1476" s="0"/>
      <x:c r="F1476" t="str" s="2">
        <x:v>Website</x:v>
      </x:c>
      <x:c r="G1476" t="str" s="2">
        <x:v>Heritage Housing of Oklahoma City</x:v>
      </x:c>
      <x:c r="H1476" t="str" s="2">
        <x:v>Trey Rixleben</x:v>
      </x:c>
      <x:c r="I1476" s="0"/>
      <x:c r="J1476" t="str" s="2">
        <x:v>Trey Rixleben</x:v>
      </x:c>
      <x:c r="K1476" t="n" s="2">
        <x:v>5</x:v>
      </x:c>
      <x:c r="L1476" t="str" s="2">
        <x:v>1.1</x:v>
      </x:c>
      <x:c r="M1476" t="str" s="2">
        <x:v>Tentative</x:v>
      </x:c>
      <x:c r="N1476" t="str" s="2">
        <x:v>Deal Created</x:v>
      </x:c>
      <x:c r="O1476" s="0"/>
      <x:c r="P1476" s="6">
        <x:v>46282</x:v>
      </x:c>
      <x:c r="Q1476" s="6">
        <x:v>46296.7147787037</x:v>
      </x:c>
      <x:c r="R1476" s="0"/>
      <x:c r="S1476" s="0"/>
      <x:c r="T1476" s="0"/>
      <x:c r="U1476" s="0"/>
      <x:c r="V1476" s="0"/>
      <x:c r="W1476" s="0"/>
      <x:c r="X1476" t="str" s="2">
        <x:v>4055382917</x:v>
      </x:c>
      <x:c r="Y1476" t="str" s="2">
        <x:v>Mandpcraig123@gmail.com</x:v>
      </x:c>
      <x:c r="Z1476" s="6">
        <x:v>46296.715358761576</x:v>
      </x:c>
      <x:c r="AA1476" t="str" s="2">
        <x:v>Trey Rixleben</x:v>
      </x:c>
      <x:c r="AB1476" s="6">
        <x:v>46282.61237040509</x:v>
      </x:c>
      <x:c r="AC1476" t="n" s="2">
        <x:v>40090</x:v>
      </x:c>
      <x:c r="AD1476" s="0"/>
      <x:c r="AE1476" s="0"/>
      <x:c r="AF1476" s="0"/>
      <x:c r="AG1476" s="0"/>
      <x:c r="AH1476" s="0"/>
      <x:c r="AI1476" s="0"/>
      <x:c r="AJ1476" s="0"/>
      <x:c r="AK1476" s="0"/>
    </x:row>
    <x:row r="1477">
      <x:c r="A1477" t="str" s="2">
        <x:f>=HYPERLINK("https://rsms.futurehomex.com/lead/40091", "Sherlyn Gonzalez")</x:f>
      </x:c>
      <x:c r="B1477" t="n" s="2">
        <x:v>26</x:v>
      </x:c>
      <x:c r="C1477" t="str" s="2">
        <x:v>0/2</x:v>
      </x:c>
      <x:c r="D1477" t="str" s="2">
        <x:f>=""</x:f>
      </x:c>
      <x:c r="E1477" t="str" s="2">
        <x:v>Jose Rene Medrano Martinez</x:v>
      </x:c>
      <x:c r="F1477" t="str" s="2">
        <x:v>TikTok</x:v>
      </x:c>
      <x:c r="G1477" t="str" s="2">
        <x:v>Heritage Housing of Greenville</x:v>
      </x:c>
      <x:c r="H1477" t="str" s="2">
        <x:v>Oscar Osorio</x:v>
      </x:c>
      <x:c r="I1477" s="0"/>
      <x:c r="J1477" t="str" s="2">
        <x:v>Oscar Osorio</x:v>
      </x:c>
      <x:c r="K1477" t="n" s="2">
        <x:v>38</x:v>
      </x:c>
      <x:c r="L1477" t="str" s="2">
        <x:v>3.2</x:v>
      </x:c>
      <x:c r="M1477" t="str" s="2">
        <x:v>Dead</x:v>
      </x:c>
      <x:c r="N1477" t="str" s="2">
        <x:v>Application</x:v>
      </x:c>
      <x:c r="O1477" s="0"/>
      <x:c r="P1477" s="6">
        <x:v>46282</x:v>
      </x:c>
      <x:c r="Q1477" s="6">
        <x:v>46287.67167341435</x:v>
      </x:c>
      <x:c r="R1477" s="0"/>
      <x:c r="S1477" s="6">
        <x:v>46281</x:v>
      </x:c>
      <x:c r="T1477" s="6">
        <x:v>46281</x:v>
      </x:c>
      <x:c r="U1477" s="6">
        <x:v>46282</x:v>
      </x:c>
      <x:c r="V1477" s="0"/>
      <x:c r="W1477" s="0"/>
      <x:c r="X1477" t="str" s="2">
        <x:v>8178628984</x:v>
      </x:c>
      <x:c r="Y1477" t="str" s="2">
        <x:v>gonzalezsherlyn1@icloud.com</x:v>
      </x:c>
      <x:c r="Z1477" s="6">
        <x:v>46286.49893596065</x:v>
      </x:c>
      <x:c r="AA1477" t="str" s="2">
        <x:v>Brandie Sartor</x:v>
      </x:c>
      <x:c r="AB1477" s="6">
        <x:v>46282.61520497685</x:v>
      </x:c>
      <x:c r="AC1477" t="n" s="2">
        <x:v>40091</x:v>
      </x:c>
      <x:c r="AD1477" t="str" s="2">
        <x:v>Doublewide</x:v>
      </x:c>
      <x:c r="AE1477" t="str" s="2">
        <x:v>Legacy Housing Corporation</x:v>
      </x:c>
      <x:c r="AF1477" s="0"/>
      <x:c r="AG1477" s="7">
        <x:v>13000</x:v>
      </x:c>
      <x:c r="AH1477" s="0"/>
      <x:c r="AI1477" t="str" s="2">
        <x:v>0</x:v>
      </x:c>
      <x:c r="AJ1477" s="0"/>
      <x:c r="AK1477" s="0"/>
    </x:row>
    <x:row r="1478">
      <x:c r="A1478" t="str" s="2">
        <x:f>=HYPERLINK("https://rsms.futurehomex.com/lead/40092", "Jalal Hill")</x:f>
      </x:c>
      <x:c r="B1478" t="n" s="2">
        <x:v>26</x:v>
      </x:c>
      <x:c r="C1478" t="str" s="2">
        <x:v/>
      </x:c>
      <x:c r="D1478" t="str" s="2">
        <x:f>=""</x:f>
      </x:c>
      <x:c r="E1478" s="0"/>
      <x:c r="F1478" t="str" s="2">
        <x:v>Walk-in</x:v>
      </x:c>
      <x:c r="G1478" t="str" s="2">
        <x:v>Heritage Housing of Athens</x:v>
      </x:c>
      <x:c r="H1478" t="str" s="2">
        <x:v>Ethan Fossett</x:v>
      </x:c>
      <x:c r="I1478" s="0"/>
      <x:c r="J1478" s="0"/>
      <x:c r="K1478" t="n" s="2">
        <x:v>5</x:v>
      </x:c>
      <x:c r="L1478" t="str" s="2">
        <x:v>1.1</x:v>
      </x:c>
      <x:c r="M1478" t="str" s="2">
        <x:v>Active</x:v>
      </x:c>
      <x:c r="N1478" t="str" s="2">
        <x:v>Prospect</x:v>
      </x:c>
      <x:c r="O1478" s="0"/>
      <x:c r="P1478" s="6">
        <x:v>46282</x:v>
      </x:c>
      <x:c r="Q1478" s="6">
        <x:v>46287.87787103009</x:v>
      </x:c>
      <x:c r="R1478" s="0"/>
      <x:c r="S1478" s="0"/>
      <x:c r="T1478" s="0"/>
      <x:c r="U1478" s="0"/>
      <x:c r="V1478" s="0"/>
      <x:c r="W1478" s="0"/>
      <x:c r="X1478" t="str" s="2">
        <x:v>7069490081</x:v>
      </x:c>
      <x:c r="Y1478" t="str" s="2">
        <x:v>jalalhill@yahoo.com</x:v>
      </x:c>
      <x:c r="Z1478" s="0"/>
      <x:c r="AA1478" s="0"/>
      <x:c r="AB1478" s="6">
        <x:v>46282.65540390046</x:v>
      </x:c>
      <x:c r="AC1478" t="n" s="2">
        <x:v>40092</x:v>
      </x:c>
      <x:c r="AD1478" s="0"/>
      <x:c r="AE1478" s="0"/>
      <x:c r="AF1478" s="0"/>
      <x:c r="AG1478" s="0"/>
      <x:c r="AH1478" s="0"/>
      <x:c r="AI1478" s="0"/>
      <x:c r="AJ1478" s="0"/>
      <x:c r="AK1478" s="0"/>
    </x:row>
    <x:row r="1479">
      <x:c r="A1479" t="str" s="2">
        <x:f>=HYPERLINK("https://rsms.futurehomex.com/lead/40093", "Penny Dunn")</x:f>
      </x:c>
      <x:c r="B1479" t="n" s="2">
        <x:v>26</x:v>
      </x:c>
      <x:c r="C1479" t="str" s="2">
        <x:v/>
      </x:c>
      <x:c r="D1479" t="str" s="2">
        <x:f>=""</x:f>
      </x:c>
      <x:c r="E1479" s="0"/>
      <x:c r="F1479" t="str" s="2">
        <x:v>Youtube</x:v>
      </x:c>
      <x:c r="G1479" t="str" s="2">
        <x:v>Heritage Housing of Tulsa</x:v>
      </x:c>
      <x:c r="H1479" t="str" s="2">
        <x:v>Jenna Fransisco</x:v>
      </x:c>
      <x:c r="I1479" s="0"/>
      <x:c r="J1479" s="0"/>
      <x:c r="K1479" t="n" s="2">
        <x:v>5</x:v>
      </x:c>
      <x:c r="L1479" t="str" s="2">
        <x:v>1.1</x:v>
      </x:c>
      <x:c r="M1479" t="str" s="2">
        <x:v>Tentative</x:v>
      </x:c>
      <x:c r="N1479" t="str" s="2">
        <x:v>Prospect</x:v>
      </x:c>
      <x:c r="O1479" s="0"/>
      <x:c r="P1479" s="6">
        <x:v>46282</x:v>
      </x:c>
      <x:c r="Q1479" s="6">
        <x:v>46282.682005752315</x:v>
      </x:c>
      <x:c r="R1479" s="0"/>
      <x:c r="S1479" s="0"/>
      <x:c r="T1479" s="0"/>
      <x:c r="U1479" s="0"/>
      <x:c r="V1479" s="0"/>
      <x:c r="W1479" s="0"/>
      <x:c r="X1479" t="str" s="2">
        <x:v>9186910518</x:v>
      </x:c>
      <x:c r="Y1479" t="str" s="2">
        <x:v>nickelmorris6465@gmail.comc186910518</x:v>
      </x:c>
      <x:c r="Z1479" s="6">
        <x:v>46282.68253113426</x:v>
      </x:c>
      <x:c r="AA1479" t="str" s="2">
        <x:v>Jenna Fransisco</x:v>
      </x:c>
      <x:c r="AB1479" s="6">
        <x:v>46282.68200729167</x:v>
      </x:c>
      <x:c r="AC1479" t="n" s="2">
        <x:v>40093</x:v>
      </x:c>
      <x:c r="AD1479" s="0"/>
      <x:c r="AE1479" s="0"/>
      <x:c r="AF1479" s="0"/>
      <x:c r="AG1479" s="0"/>
      <x:c r="AH1479" s="0"/>
      <x:c r="AI1479" s="0"/>
      <x:c r="AJ1479" s="0"/>
      <x:c r="AK1479" s="0"/>
    </x:row>
    <x:row r="1480">
      <x:c r="A1480" t="str" s="2">
        <x:f>=HYPERLINK("https://rsms.futurehomex.com/lead/40094", "Penny Penny")</x:f>
      </x:c>
      <x:c r="B1480" t="n" s="2">
        <x:v>26</x:v>
      </x:c>
      <x:c r="C1480" t="str" s="2">
        <x:v/>
      </x:c>
      <x:c r="D1480" t="str" s="2">
        <x:f>=""</x:f>
      </x:c>
      <x:c r="E1480" s="0"/>
      <x:c r="F1480" t="str" s="2">
        <x:v>Financing Form</x:v>
      </x:c>
      <x:c r="G1480" t="str" s="2">
        <x:v>Heritage Housing of Tulsa</x:v>
      </x:c>
      <x:c r="H1480" t="str" s="2">
        <x:v>Jenna Fransisco</x:v>
      </x:c>
      <x:c r="I1480" s="0"/>
      <x:c r="J1480" s="0"/>
      <x:c r="K1480" t="n" s="2">
        <x:v>5</x:v>
      </x:c>
      <x:c r="L1480" t="str" s="2">
        <x:v>1.1</x:v>
      </x:c>
      <x:c r="M1480" t="str" s="2">
        <x:v>Tentative</x:v>
      </x:c>
      <x:c r="N1480" t="str" s="2">
        <x:v>Prospect</x:v>
      </x:c>
      <x:c r="O1480" s="0"/>
      <x:c r="P1480" s="6">
        <x:v>46282</x:v>
      </x:c>
      <x:c r="Q1480" s="6">
        <x:v>46282.68311184028</x:v>
      </x:c>
      <x:c r="R1480" s="0"/>
      <x:c r="S1480" s="0"/>
      <x:c r="T1480" s="0"/>
      <x:c r="U1480" s="0"/>
      <x:c r="V1480" s="0"/>
      <x:c r="W1480" s="0"/>
      <x:c r="X1480" t="str" s="2">
        <x:v>9186710518</x:v>
      </x:c>
      <x:c r="Y1480" t="str" s="2">
        <x:v>nickelmorris6465@gmail.com</x:v>
      </x:c>
      <x:c r="Z1480" s="6">
        <x:v>46282.6834846875</x:v>
      </x:c>
      <x:c r="AA1480" t="str" s="2">
        <x:v>Jenna Fransisco</x:v>
      </x:c>
      <x:c r="AB1480" s="6">
        <x:v>46282.68311484954</x:v>
      </x:c>
      <x:c r="AC1480" t="n" s="2">
        <x:v>40094</x:v>
      </x:c>
      <x:c r="AD1480" s="0"/>
      <x:c r="AE1480" s="0"/>
      <x:c r="AF1480" s="0"/>
      <x:c r="AG1480" s="0"/>
      <x:c r="AH1480" s="0"/>
      <x:c r="AI1480" s="0"/>
      <x:c r="AJ1480" s="0"/>
      <x:c r="AK1480" s="0"/>
    </x:row>
    <x:row r="1481">
      <x:c r="A1481" t="str" s="2">
        <x:f>=HYPERLINK("https://rsms.futurehomex.com/lead/40095", "Taylor Norment")</x:f>
      </x:c>
      <x:c r="B1481" t="n" s="2">
        <x:v>26</x:v>
      </x:c>
      <x:c r="C1481" t="str" s="2">
        <x:v>0/1</x:v>
      </x:c>
      <x:c r="D1481" t="str" s="2">
        <x:f>=""</x:f>
      </x:c>
      <x:c r="E1481" s="0"/>
      <x:c r="F1481" t="str" s="2">
        <x:v>Website</x:v>
      </x:c>
      <x:c r="G1481" t="str" s="2">
        <x:v>Heritage Housing of Minden</x:v>
      </x:c>
      <x:c r="H1481" t="str" s="2">
        <x:v>Patrick Schuchart</x:v>
      </x:c>
      <x:c r="I1481" t="str" s="2">
        <x:v>Karol Romero</x:v>
      </x:c>
      <x:c r="J1481" t="str" s="2">
        <x:v>Patrick Schuchart</x:v>
      </x:c>
      <x:c r="K1481" t="n" s="2">
        <x:v>5</x:v>
      </x:c>
      <x:c r="L1481" t="str" s="2">
        <x:v>1.1</x:v>
      </x:c>
      <x:c r="M1481" t="str" s="2">
        <x:v>Dead</x:v>
      </x:c>
      <x:c r="N1481" t="str" s="2">
        <x:v>Prospect</x:v>
      </x:c>
      <x:c r="O1481" s="0"/>
      <x:c r="P1481" s="6">
        <x:v>46282</x:v>
      </x:c>
      <x:c r="Q1481" s="6">
        <x:v>46282.70244545139</x:v>
      </x:c>
      <x:c r="R1481" t="str" s="2">
        <x:v>Patrick Schuchart</x:v>
      </x:c>
      <x:c r="S1481" s="0"/>
      <x:c r="T1481" s="0"/>
      <x:c r="U1481" s="0"/>
      <x:c r="V1481" s="0"/>
      <x:c r="W1481" s="0"/>
      <x:c r="X1481" t="str" s="2">
        <x:v>3184333364</x:v>
      </x:c>
      <x:c r="Y1481" t="str" s="2">
        <x:v>tayloranorment24@gmail.com</x:v>
      </x:c>
      <x:c r="Z1481" s="6">
        <x:v>46295.832090358796</x:v>
      </x:c>
      <x:c r="AA1481" t="str" s="2">
        <x:v>Kyla Brown</x:v>
      </x:c>
      <x:c r="AB1481" s="6">
        <x:v>46282.7024465625</x:v>
      </x:c>
      <x:c r="AC1481" t="n" s="2">
        <x:v>40095</x:v>
      </x:c>
      <x:c r="AD1481" s="0"/>
      <x:c r="AE1481" s="0"/>
      <x:c r="AF1481" s="0"/>
      <x:c r="AG1481" s="0"/>
      <x:c r="AH1481" s="0"/>
      <x:c r="AI1481" s="0"/>
      <x:c r="AJ1481" s="0"/>
      <x:c r="AK1481" s="0"/>
    </x:row>
    <x:row r="1482">
      <x:c r="A1482" t="str" s="2">
        <x:f>=HYPERLINK("https://rsms.futurehomex.com/lead/40096", "Amber Butler")</x:f>
      </x:c>
      <x:c r="B1482" t="n" s="2">
        <x:v>26</x:v>
      </x:c>
      <x:c r="C1482" t="str" s="2">
        <x:v/>
      </x:c>
      <x:c r="D1482" t="str" s="2">
        <x:f>=""</x:f>
      </x:c>
      <x:c r="E1482" s="0"/>
      <x:c r="F1482" t="str" s="2">
        <x:v>Walk-in</x:v>
      </x:c>
      <x:c r="G1482" t="str" s="2">
        <x:v>Heritage Housing of Tulsa</x:v>
      </x:c>
      <x:c r="H1482" t="str" s="2">
        <x:v>Jenna Fransisco</x:v>
      </x:c>
      <x:c r="I1482" s="0"/>
      <x:c r="J1482" t="str" s="2">
        <x:v>Jenna Fransisco</x:v>
      </x:c>
      <x:c r="K1482" t="n" s="2">
        <x:v>5</x:v>
      </x:c>
      <x:c r="L1482" t="str" s="2">
        <x:v>1.1</x:v>
      </x:c>
      <x:c r="M1482" t="str" s="2">
        <x:v>Tentative</x:v>
      </x:c>
      <x:c r="N1482" t="str" s="2">
        <x:v>Deal Created</x:v>
      </x:c>
      <x:c r="O1482" s="0"/>
      <x:c r="P1482" s="6">
        <x:v>46282</x:v>
      </x:c>
      <x:c r="Q1482" s="6">
        <x:v>46282.70323348379</x:v>
      </x:c>
      <x:c r="R1482" s="0"/>
      <x:c r="S1482" s="0"/>
      <x:c r="T1482" s="0"/>
      <x:c r="U1482" s="0"/>
      <x:c r="V1482" s="0"/>
      <x:c r="W1482" s="0"/>
      <x:c r="X1482" t="str" s="2">
        <x:v>9188154612</x:v>
      </x:c>
      <x:c r="Y1482" t="str" s="2">
        <x:v>9188154612</x:v>
      </x:c>
      <x:c r="Z1482" s="6">
        <x:v>46282.71308541667</x:v>
      </x:c>
      <x:c r="AA1482" t="str" s="2">
        <x:v>Jenna Fransisco</x:v>
      </x:c>
      <x:c r="AB1482" s="6">
        <x:v>46282.703234988425</x:v>
      </x:c>
      <x:c r="AC1482" t="n" s="2">
        <x:v>40096</x:v>
      </x:c>
      <x:c r="AD1482" s="0"/>
      <x:c r="AE1482" s="0"/>
      <x:c r="AF1482" s="0"/>
      <x:c r="AG1482" s="0"/>
      <x:c r="AH1482" s="0"/>
      <x:c r="AI1482" s="0"/>
      <x:c r="AJ1482" s="0"/>
      <x:c r="AK1482" s="0"/>
    </x:row>
    <x:row r="1483">
      <x:c r="A1483" t="str" s="2">
        <x:f>=HYPERLINK("https://rsms.futurehomex.com/lead/40097", "Todd Privitt")</x:f>
      </x:c>
      <x:c r="B1483" t="n" s="2">
        <x:v>26</x:v>
      </x:c>
      <x:c r="C1483" t="str" s="2">
        <x:v/>
      </x:c>
      <x:c r="D1483" t="str" s="2">
        <x:f>=""</x:f>
      </x:c>
      <x:c r="E1483" s="0"/>
      <x:c r="F1483" t="str" s="2">
        <x:v>Walk-in</x:v>
      </x:c>
      <x:c r="G1483" t="str" s="2">
        <x:v>Heritage Housing of Tulsa</x:v>
      </x:c>
      <x:c r="H1483" t="str" s="2">
        <x:v>Jenna Fransisco</x:v>
      </x:c>
      <x:c r="I1483" s="0"/>
      <x:c r="J1483" s="0"/>
      <x:c r="K1483" t="n" s="2">
        <x:v>5</x:v>
      </x:c>
      <x:c r="L1483" t="str" s="2">
        <x:v>1.1</x:v>
      </x:c>
      <x:c r="M1483" t="str" s="2">
        <x:v>Tentative</x:v>
      </x:c>
      <x:c r="N1483" t="str" s="2">
        <x:v>Prospect</x:v>
      </x:c>
      <x:c r="O1483" s="0"/>
      <x:c r="P1483" s="6">
        <x:v>46282</x:v>
      </x:c>
      <x:c r="Q1483" s="6">
        <x:v>46282.70606952546</x:v>
      </x:c>
      <x:c r="R1483" s="0"/>
      <x:c r="S1483" s="0"/>
      <x:c r="T1483" s="0"/>
      <x:c r="U1483" s="0"/>
      <x:c r="V1483" s="0"/>
      <x:c r="W1483" s="0"/>
      <x:c r="X1483" t="str" s="2">
        <x:v>6205151861</x:v>
      </x:c>
      <x:c r="Y1483" t="str" s="2">
        <x:v>6205151861</x:v>
      </x:c>
      <x:c r="Z1483" s="0"/>
      <x:c r="AA1483" s="0"/>
      <x:c r="AB1483" s="6">
        <x:v>46282.70607118055</x:v>
      </x:c>
      <x:c r="AC1483" t="n" s="2">
        <x:v>40097</x:v>
      </x:c>
      <x:c r="AD1483" s="0"/>
      <x:c r="AE1483" s="0"/>
      <x:c r="AF1483" s="0"/>
      <x:c r="AG1483" s="0"/>
      <x:c r="AH1483" s="0"/>
      <x:c r="AI1483" s="0"/>
      <x:c r="AJ1483" s="0"/>
      <x:c r="AK1483" s="0"/>
    </x:row>
    <x:row r="1484">
      <x:c r="A1484" t="str" s="2">
        <x:f>=HYPERLINK("https://rsms.futurehomex.com/lead/40098", "Todd Privitt")</x:f>
      </x:c>
      <x:c r="B1484" t="n" s="2">
        <x:v>26</x:v>
      </x:c>
      <x:c r="C1484" t="str" s="2">
        <x:v/>
      </x:c>
      <x:c r="D1484" t="str" s="2">
        <x:f>=""</x:f>
      </x:c>
      <x:c r="E1484" s="0"/>
      <x:c r="F1484" t="str" s="2">
        <x:v>Walk-in</x:v>
      </x:c>
      <x:c r="G1484" t="str" s="2">
        <x:v>Heritage Housing of Tulsa</x:v>
      </x:c>
      <x:c r="H1484" t="str" s="2">
        <x:v>Jenna Fransisco</x:v>
      </x:c>
      <x:c r="I1484" s="0"/>
      <x:c r="J1484" s="0"/>
      <x:c r="K1484" t="n" s="2">
        <x:v>5</x:v>
      </x:c>
      <x:c r="L1484" t="str" s="2">
        <x:v>1.1</x:v>
      </x:c>
      <x:c r="M1484" t="str" s="2">
        <x:v>Tentative</x:v>
      </x:c>
      <x:c r="N1484" t="str" s="2">
        <x:v>Prospect</x:v>
      </x:c>
      <x:c r="O1484" s="0"/>
      <x:c r="P1484" s="6">
        <x:v>46282</x:v>
      </x:c>
      <x:c r="Q1484" s="6">
        <x:v>46282.71215517361</x:v>
      </x:c>
      <x:c r="R1484" s="0"/>
      <x:c r="S1484" s="0"/>
      <x:c r="T1484" s="0"/>
      <x:c r="U1484" s="0"/>
      <x:c r="V1484" s="0"/>
      <x:c r="W1484" s="0"/>
      <x:c r="X1484" t="str" s="2">
        <x:v>6205151700</x:v>
      </x:c>
      <x:c r="Y1484" t="str" s="2">
        <x:v>lanae1966@hotmail.com</x:v>
      </x:c>
      <x:c r="Z1484" s="0"/>
      <x:c r="AA1484" s="0"/>
      <x:c r="AB1484" s="6">
        <x:v>46282.71215586805</x:v>
      </x:c>
      <x:c r="AC1484" t="n" s="2">
        <x:v>40098</x:v>
      </x:c>
      <x:c r="AD1484" s="0"/>
      <x:c r="AE1484" s="0"/>
      <x:c r="AF1484" s="0"/>
      <x:c r="AG1484" s="0"/>
      <x:c r="AH1484" s="0"/>
      <x:c r="AI1484" s="0"/>
      <x:c r="AJ1484" s="0"/>
      <x:c r="AK1484" s="0"/>
    </x:row>
    <x:row r="1485">
      <x:c r="A1485" t="str" s="2">
        <x:f>=HYPERLINK("https://rsms.futurehomex.com/lead/40099", "Emily Dobbs")</x:f>
      </x:c>
      <x:c r="B1485" t="n" s="2">
        <x:v>26</x:v>
      </x:c>
      <x:c r="C1485" t="str" s="2">
        <x:v>0/6</x:v>
      </x:c>
      <x:c r="D1485" t="str" s="2">
        <x:f>=""</x:f>
      </x:c>
      <x:c r="E1485" s="0"/>
      <x:c r="F1485" t="str" s="2">
        <x:v>Landing_BPM</x:v>
      </x:c>
      <x:c r="G1485" t="str" s="2">
        <x:v>Heritage Housing of Oklahoma City</x:v>
      </x:c>
      <x:c r="H1485" t="str" s="2">
        <x:v>Noemi Rojo</x:v>
      </x:c>
      <x:c r="I1485" s="0"/>
      <x:c r="J1485" s="0"/>
      <x:c r="K1485" t="n" s="2">
        <x:v>5</x:v>
      </x:c>
      <x:c r="L1485" t="str" s="2">
        <x:v>1.1</x:v>
      </x:c>
      <x:c r="M1485" t="str" s="2">
        <x:v>Tentative</x:v>
      </x:c>
      <x:c r="N1485" t="str" s="2">
        <x:v>Deal Created</x:v>
      </x:c>
      <x:c r="O1485" s="0"/>
      <x:c r="P1485" s="6">
        <x:v>46282</x:v>
      </x:c>
      <x:c r="Q1485" s="6">
        <x:v>46295.94857496528</x:v>
      </x:c>
      <x:c r="R1485" s="0"/>
      <x:c r="S1485" s="0"/>
      <x:c r="T1485" s="0"/>
      <x:c r="U1485" s="0"/>
      <x:c r="V1485" s="0"/>
      <x:c r="W1485" s="0"/>
      <x:c r="X1485" t="str" s="2">
        <x:v>4058022806</x:v>
      </x:c>
      <x:c r="Y1485" t="str" s="2">
        <x:v>emilyjoesmith16@gmail.com</x:v>
      </x:c>
      <x:c r="Z1485" s="6">
        <x:v>46301.716328587965</x:v>
      </x:c>
      <x:c r="AA1485" t="str" s="2">
        <x:v>Noemi Rojo</x:v>
      </x:c>
      <x:c r="AB1485" s="6">
        <x:v>46282.98455482639</x:v>
      </x:c>
      <x:c r="AC1485" t="n" s="2">
        <x:v>40099</x:v>
      </x:c>
      <x:c r="AD1485" s="0"/>
      <x:c r="AE1485" s="0"/>
      <x:c r="AF1485" s="0"/>
      <x:c r="AG1485" s="0"/>
      <x:c r="AH1485" s="0"/>
      <x:c r="AI1485" s="0"/>
      <x:c r="AJ1485" s="0"/>
      <x:c r="AK1485" s="0"/>
    </x:row>
    <x:row r="1486">
      <x:c r="A1486" t="str" s="2">
        <x:f>=HYPERLINK("https://rsms.futurehomex.com/lead/40100", "Alicia Shaw")</x:f>
      </x:c>
      <x:c r="B1486" t="n" s="2">
        <x:v>26</x:v>
      </x:c>
      <x:c r="C1486" t="str" s="2">
        <x:v>0/4</x:v>
      </x:c>
      <x:c r="D1486" t="str" s="2">
        <x:f>=""</x:f>
      </x:c>
      <x:c r="E1486" s="0"/>
      <x:c r="F1486" t="str" s="2">
        <x:v>Youtube</x:v>
      </x:c>
      <x:c r="G1486" t="str" s="2">
        <x:v>Heritage Housing of Oklahoma City</x:v>
      </x:c>
      <x:c r="H1486" t="str" s="2">
        <x:v>Noemi Rojo</x:v>
      </x:c>
      <x:c r="I1486" s="0"/>
      <x:c r="J1486" s="0"/>
      <x:c r="K1486" t="n" s="2">
        <x:v>5</x:v>
      </x:c>
      <x:c r="L1486" t="str" s="2">
        <x:v>1.1</x:v>
      </x:c>
      <x:c r="M1486" t="str" s="2">
        <x:v>Tentative</x:v>
      </x:c>
      <x:c r="N1486" t="str" s="2">
        <x:v>Deal Created</x:v>
      </x:c>
      <x:c r="O1486" s="0"/>
      <x:c r="P1486" s="6">
        <x:v>46282</x:v>
      </x:c>
      <x:c r="Q1486" s="6">
        <x:v>46282.74023966435</x:v>
      </x:c>
      <x:c r="R1486" s="0"/>
      <x:c r="S1486" s="0"/>
      <x:c r="T1486" s="0"/>
      <x:c r="U1486" s="0"/>
      <x:c r="V1486" s="0"/>
      <x:c r="W1486" s="0"/>
      <x:c r="X1486" t="str" s="2">
        <x:v>4056969816</x:v>
      </x:c>
      <x:c r="Y1486" t="str" s="2">
        <x:v>aliciashaw911@gmail.com</x:v>
      </x:c>
      <x:c r="Z1486" s="6">
        <x:v>46301.71646079861</x:v>
      </x:c>
      <x:c r="AA1486" t="str" s="2">
        <x:v>Noemi Rojo</x:v>
      </x:c>
      <x:c r="AB1486" s="6">
        <x:v>46282.98716755787</x:v>
      </x:c>
      <x:c r="AC1486" t="n" s="2">
        <x:v>40100</x:v>
      </x:c>
      <x:c r="AD1486" s="0"/>
      <x:c r="AE1486" s="0"/>
      <x:c r="AF1486" s="0"/>
      <x:c r="AG1486" s="0"/>
      <x:c r="AH1486" s="0"/>
      <x:c r="AI1486" s="0"/>
      <x:c r="AJ1486" s="0"/>
      <x:c r="AK1486" s="0"/>
    </x:row>
    <x:row r="1487">
      <x:c r="A1487" t="str" s="2">
        <x:f>=HYPERLINK("https://rsms.futurehomex.com/lead/40101", "Virginia Teubner")</x:f>
      </x:c>
      <x:c r="B1487" t="n" s="2">
        <x:v>26</x:v>
      </x:c>
      <x:c r="C1487" t="str" s="2">
        <x:v>1/4</x:v>
      </x:c>
      <x:c r="D1487" t="str" s="2">
        <x:f>=""</x:f>
      </x:c>
      <x:c r="E1487" s="0"/>
      <x:c r="F1487" t="str" s="2">
        <x:v>Landing_BPM</x:v>
      </x:c>
      <x:c r="G1487" t="str" s="2">
        <x:v>Heritage Housing of Oklahoma City</x:v>
      </x:c>
      <x:c r="H1487" t="str" s="2">
        <x:v>Noemi Rojo</x:v>
      </x:c>
      <x:c r="I1487" s="0"/>
      <x:c r="J1487" s="0"/>
      <x:c r="K1487" t="n" s="2">
        <x:v>5</x:v>
      </x:c>
      <x:c r="L1487" t="str" s="2">
        <x:v>1.1</x:v>
      </x:c>
      <x:c r="M1487" t="str" s="2">
        <x:v>Tentative</x:v>
      </x:c>
      <x:c r="N1487" t="str" s="2">
        <x:v>Deal Created</x:v>
      </x:c>
      <x:c r="O1487" s="0"/>
      <x:c r="P1487" s="6">
        <x:v>46282</x:v>
      </x:c>
      <x:c r="Q1487" s="6">
        <x:v>46290.8751053588</x:v>
      </x:c>
      <x:c r="R1487" s="0"/>
      <x:c r="S1487" s="0"/>
      <x:c r="T1487" s="0"/>
      <x:c r="U1487" s="0"/>
      <x:c r="V1487" s="0"/>
      <x:c r="W1487" s="0"/>
      <x:c r="X1487" t="str" s="2">
        <x:v>4055009993</x:v>
      </x:c>
      <x:c r="Y1487" t="str" s="2">
        <x:v>virginiaspence1994@gmail.com</x:v>
      </x:c>
      <x:c r="Z1487" s="6">
        <x:v>46294.98153252315</x:v>
      </x:c>
      <x:c r="AA1487" t="str" s="2">
        <x:v>Noemi Rojo</x:v>
      </x:c>
      <x:c r="AB1487" s="6">
        <x:v>46282.98802978009</x:v>
      </x:c>
      <x:c r="AC1487" t="n" s="2">
        <x:v>40101</x:v>
      </x:c>
      <x:c r="AD1487" s="0"/>
      <x:c r="AE1487" s="0"/>
      <x:c r="AF1487" s="0"/>
      <x:c r="AG1487" s="0"/>
      <x:c r="AH1487" s="0"/>
      <x:c r="AI1487" s="0"/>
      <x:c r="AJ1487" s="0"/>
      <x:c r="AK1487" s="0"/>
    </x:row>
    <x:row r="1488">
      <x:c r="A1488" t="str" s="2">
        <x:f>=HYPERLINK("https://rsms.futurehomex.com/lead/40102", "Shala Welch")</x:f>
      </x:c>
      <x:c r="B1488" t="n" s="2">
        <x:v>26</x:v>
      </x:c>
      <x:c r="C1488" t="str" s="2">
        <x:v>0/4</x:v>
      </x:c>
      <x:c r="D1488" t="str" s="2">
        <x:f>=""</x:f>
      </x:c>
      <x:c r="E1488" s="0"/>
      <x:c r="F1488" t="str" s="2">
        <x:v>Landing_BPM</x:v>
      </x:c>
      <x:c r="G1488" t="str" s="2">
        <x:v>Heritage Housing of Oklahoma City</x:v>
      </x:c>
      <x:c r="H1488" t="str" s="2">
        <x:v>Noemi Rojo</x:v>
      </x:c>
      <x:c r="I1488" s="0"/>
      <x:c r="J1488" s="0"/>
      <x:c r="K1488" t="n" s="2">
        <x:v>5</x:v>
      </x:c>
      <x:c r="L1488" t="str" s="2">
        <x:v>1.1</x:v>
      </x:c>
      <x:c r="M1488" t="str" s="2">
        <x:v>Tentative</x:v>
      </x:c>
      <x:c r="N1488" t="str" s="2">
        <x:v>Deal Created</x:v>
      </x:c>
      <x:c r="O1488" s="0"/>
      <x:c r="P1488" s="6">
        <x:v>46282</x:v>
      </x:c>
      <x:c r="Q1488" s="6">
        <x:v>46297.84850046296</x:v>
      </x:c>
      <x:c r="R1488" s="0"/>
      <x:c r="S1488" s="0"/>
      <x:c r="T1488" s="0"/>
      <x:c r="U1488" s="0"/>
      <x:c r="V1488" s="0"/>
      <x:c r="W1488" s="0"/>
      <x:c r="X1488" t="str" s="2">
        <x:v>4059569721</x:v>
      </x:c>
      <x:c r="Y1488" t="str" s="2">
        <x:v>shala.welch@gmail.com</x:v>
      </x:c>
      <x:c r="Z1488" s="6">
        <x:v>46301.72067349537</x:v>
      </x:c>
      <x:c r="AA1488" t="str" s="2">
        <x:v>Noemi Rojo</x:v>
      </x:c>
      <x:c r="AB1488" s="6">
        <x:v>46282.98852245371</x:v>
      </x:c>
      <x:c r="AC1488" t="n" s="2">
        <x:v>40102</x:v>
      </x:c>
      <x:c r="AD1488" s="0"/>
      <x:c r="AE1488" s="0"/>
      <x:c r="AF1488" s="0"/>
      <x:c r="AG1488" s="0"/>
      <x:c r="AH1488" s="0"/>
      <x:c r="AI1488" s="0"/>
      <x:c r="AJ1488" s="0"/>
      <x:c r="AK1488" s="0"/>
    </x:row>
    <x:row r="1489">
      <x:c r="A1489" t="str" s="2">
        <x:f>=HYPERLINK("https://rsms.futurehomex.com/lead/40103", "Christian Pouktrr")</x:f>
      </x:c>
      <x:c r="B1489" t="n" s="2">
        <x:v>26</x:v>
      </x:c>
      <x:c r="C1489" t="str" s="2">
        <x:v/>
      </x:c>
      <x:c r="D1489" t="str" s="2">
        <x:f>=""</x:f>
      </x:c>
      <x:c r="E1489" s="0"/>
      <x:c r="F1489" t="str" s="2">
        <x:v>Walk-in</x:v>
      </x:c>
      <x:c r="G1489" t="str" s="2">
        <x:v>Heritage Housing of Tulsa</x:v>
      </x:c>
      <x:c r="H1489" t="str" s="2">
        <x:v>Jenna Fransisco</x:v>
      </x:c>
      <x:c r="I1489" s="0"/>
      <x:c r="J1489" s="0"/>
      <x:c r="K1489" t="n" s="2">
        <x:v>5</x:v>
      </x:c>
      <x:c r="L1489" t="str" s="2">
        <x:v>1.1</x:v>
      </x:c>
      <x:c r="M1489" t="str" s="2">
        <x:v>Tentative</x:v>
      </x:c>
      <x:c r="N1489" t="str" s="2">
        <x:v>Prospect</x:v>
      </x:c>
      <x:c r="O1489" s="0"/>
      <x:c r="P1489" s="6">
        <x:v>46282</x:v>
      </x:c>
      <x:c r="Q1489" s="6">
        <x:v>46282.745564351855</x:v>
      </x:c>
      <x:c r="R1489" s="0"/>
      <x:c r="S1489" s="0"/>
      <x:c r="T1489" s="0"/>
      <x:c r="U1489" s="0"/>
      <x:c r="V1489" s="0"/>
      <x:c r="W1489" s="0"/>
      <x:c r="X1489" t="str" s="2">
        <x:v>9189546777</x:v>
      </x:c>
      <x:c r="Y1489" t="str" s="2">
        <x:v>christianpoulter0@gmail.com</x:v>
      </x:c>
      <x:c r="Z1489" s="0"/>
      <x:c r="AA1489" s="0"/>
      <x:c r="AB1489" s="6">
        <x:v>46282.74556496528</x:v>
      </x:c>
      <x:c r="AC1489" t="n" s="2">
        <x:v>40103</x:v>
      </x:c>
      <x:c r="AD1489" s="0"/>
      <x:c r="AE1489" s="0"/>
      <x:c r="AF1489" s="0"/>
      <x:c r="AG1489" s="0"/>
      <x:c r="AH1489" s="0"/>
      <x:c r="AI1489" s="0"/>
      <x:c r="AJ1489" s="0"/>
      <x:c r="AK1489" s="0"/>
    </x:row>
    <x:row r="1490">
      <x:c r="A1490" t="str" s="2">
        <x:f>=HYPERLINK("https://rsms.futurehomex.com/lead/40104", "Steven Taylor")</x:f>
      </x:c>
      <x:c r="B1490" t="n" s="2">
        <x:v>26</x:v>
      </x:c>
      <x:c r="C1490" t="str" s="2">
        <x:v/>
      </x:c>
      <x:c r="D1490" t="str" s="2">
        <x:f>=""</x:f>
      </x:c>
      <x:c r="E1490" s="0"/>
      <x:c r="F1490" t="str" s="2">
        <x:v>Financing Form</x:v>
      </x:c>
      <x:c r="G1490" t="str" s="2">
        <x:v>Heritage Housing Gainesville</x:v>
      </x:c>
      <x:c r="H1490" t="str" s="2">
        <x:v>Kelly Ford</x:v>
      </x:c>
      <x:c r="I1490" s="0"/>
      <x:c r="J1490" t="str" s="2">
        <x:v>Kelly Ford</x:v>
      </x:c>
      <x:c r="K1490" t="n" s="2">
        <x:v>5</x:v>
      </x:c>
      <x:c r="L1490" t="str" s="2">
        <x:v>1.1</x:v>
      </x:c>
      <x:c r="M1490" t="str" s="2">
        <x:v>Tentative</x:v>
      </x:c>
      <x:c r="N1490" t="str" s="2">
        <x:v>Deal Created</x:v>
      </x:c>
      <x:c r="O1490" s="0"/>
      <x:c r="P1490" s="6">
        <x:v>46282</x:v>
      </x:c>
      <x:c r="Q1490" s="6">
        <x:v>46282.75586369213</x:v>
      </x:c>
      <x:c r="R1490" s="0"/>
      <x:c r="S1490" s="0"/>
      <x:c r="T1490" s="0"/>
      <x:c r="U1490" s="0"/>
      <x:c r="V1490" s="0"/>
      <x:c r="W1490" s="0"/>
      <x:c r="X1490" t="str" s="2">
        <x:v>4697123930</x:v>
      </x:c>
      <x:c r="Y1490" t="str" s="2">
        <x:v>steventaylor19912013@gmail.com</x:v>
      </x:c>
      <x:c r="Z1490" s="6">
        <x:v>46282.79405315972</x:v>
      </x:c>
      <x:c r="AA1490" t="str" s="2">
        <x:v>Kelly Ford</x:v>
      </x:c>
      <x:c r="AB1490" s="6">
        <x:v>46282.75586427083</x:v>
      </x:c>
      <x:c r="AC1490" t="n" s="2">
        <x:v>40104</x:v>
      </x:c>
      <x:c r="AD1490" s="0"/>
      <x:c r="AE1490" s="0"/>
      <x:c r="AF1490" s="0"/>
      <x:c r="AG1490" s="0"/>
      <x:c r="AH1490" s="0"/>
      <x:c r="AI1490" s="0"/>
      <x:c r="AJ1490" s="0"/>
      <x:c r="AK1490" s="0"/>
    </x:row>
    <x:row r="1491">
      <x:c r="A1491" t="str" s="2">
        <x:f>=HYPERLINK("https://rsms.futurehomex.com/lead/40105", "Mitchell Verdicchio")</x:f>
      </x:c>
      <x:c r="B1491" t="n" s="2">
        <x:v>26</x:v>
      </x:c>
      <x:c r="C1491" t="str" s="2">
        <x:v>1/3</x:v>
      </x:c>
      <x:c r="D1491" t="str" s="2">
        <x:f>=""</x:f>
      </x:c>
      <x:c r="E1491" s="0"/>
      <x:c r="F1491" t="str" s="2">
        <x:v>Other</x:v>
      </x:c>
      <x:c r="G1491" t="str" s="2">
        <x:v>Heritage Housing of Oklahoma City</x:v>
      </x:c>
      <x:c r="H1491" t="str" s="2">
        <x:v>Noemi Rojo</x:v>
      </x:c>
      <x:c r="I1491" s="0"/>
      <x:c r="J1491" s="0"/>
      <x:c r="K1491" t="n" s="2">
        <x:v>5</x:v>
      </x:c>
      <x:c r="L1491" t="str" s="2">
        <x:v>1.1</x:v>
      </x:c>
      <x:c r="M1491" t="str" s="2">
        <x:v>Tentative</x:v>
      </x:c>
      <x:c r="N1491" t="str" s="2">
        <x:v>Prospect</x:v>
      </x:c>
      <x:c r="O1491" s="0"/>
      <x:c r="P1491" s="6">
        <x:v>46282</x:v>
      </x:c>
      <x:c r="Q1491" s="6">
        <x:v>46282.76294487269</x:v>
      </x:c>
      <x:c r="R1491" t="str" s="2">
        <x:v>Steve Castell</x:v>
      </x:c>
      <x:c r="S1491" s="0"/>
      <x:c r="T1491" s="0"/>
      <x:c r="U1491" s="0"/>
      <x:c r="V1491" s="0"/>
      <x:c r="W1491" s="0"/>
      <x:c r="X1491" t="str" s="2">
        <x:v>5722437721</x:v>
      </x:c>
      <x:c r="Y1491" t="str" s="2">
        <x:v>occhio@usa.com</x:v>
      </x:c>
      <x:c r="Z1491" s="6">
        <x:v>46291.06783429398</x:v>
      </x:c>
      <x:c r="AA1491" t="str" s="2">
        <x:v>Steve Castell</x:v>
      </x:c>
      <x:c r="AB1491" s="6">
        <x:v>46282.7629466088</x:v>
      </x:c>
      <x:c r="AC1491" t="n" s="2">
        <x:v>40105</x:v>
      </x:c>
      <x:c r="AD1491" s="0"/>
      <x:c r="AE1491" s="0"/>
      <x:c r="AF1491" s="0"/>
      <x:c r="AG1491" s="0"/>
      <x:c r="AH1491" s="0"/>
      <x:c r="AI1491" s="0"/>
      <x:c r="AJ1491" s="0"/>
      <x:c r="AK1491" s="0"/>
    </x:row>
    <x:row r="1492">
      <x:c r="A1492" t="str" s="2">
        <x:f>=HYPERLINK("https://rsms.futurehomex.com/lead/40106", "Ann Morson")</x:f>
      </x:c>
      <x:c r="B1492" t="n" s="2">
        <x:v>26</x:v>
      </x:c>
      <x:c r="C1492" t="str" s="2">
        <x:v>1/1</x:v>
      </x:c>
      <x:c r="D1492" t="str" s="2">
        <x:f>=""</x:f>
      </x:c>
      <x:c r="E1492" s="0"/>
      <x:c r="F1492" t="str" s="2">
        <x:v>Walk-in</x:v>
      </x:c>
      <x:c r="G1492" t="str" s="2">
        <x:v>Heritage Housing of Tulsa</x:v>
      </x:c>
      <x:c r="H1492" t="str" s="2">
        <x:v>Jenna Fransisco</x:v>
      </x:c>
      <x:c r="I1492" s="0"/>
      <x:c r="J1492" s="0"/>
      <x:c r="K1492" t="n" s="2">
        <x:v>5</x:v>
      </x:c>
      <x:c r="L1492" t="str" s="2">
        <x:v>1.1</x:v>
      </x:c>
      <x:c r="M1492" t="str" s="2">
        <x:v>Tentative</x:v>
      </x:c>
      <x:c r="N1492" t="str" s="2">
        <x:v>Prospect</x:v>
      </x:c>
      <x:c r="O1492" s="0"/>
      <x:c r="P1492" s="6">
        <x:v>46282</x:v>
      </x:c>
      <x:c r="Q1492" s="6">
        <x:v>46282.78607681713</x:v>
      </x:c>
      <x:c r="R1492" s="0"/>
      <x:c r="S1492" s="0"/>
      <x:c r="T1492" s="0"/>
      <x:c r="U1492" s="0"/>
      <x:c r="V1492" s="0"/>
      <x:c r="W1492" s="0"/>
      <x:c r="X1492" t="str" s="2">
        <x:v>9182408928</x:v>
      </x:c>
      <x:c r="Y1492" t="str" s="2">
        <x:v>deeterz77@aol.com</x:v>
      </x:c>
      <x:c r="Z1492" s="0"/>
      <x:c r="AA1492" s="0"/>
      <x:c r="AB1492" s="6">
        <x:v>46282.78607743056</x:v>
      </x:c>
      <x:c r="AC1492" t="n" s="2">
        <x:v>40106</x:v>
      </x:c>
      <x:c r="AD1492" s="0"/>
      <x:c r="AE1492" s="0"/>
      <x:c r="AF1492" s="0"/>
      <x:c r="AG1492" s="0"/>
      <x:c r="AH1492" s="0"/>
      <x:c r="AI1492" s="0"/>
      <x:c r="AJ1492" s="0"/>
      <x:c r="AK1492" s="0"/>
    </x:row>
    <x:row r="1493">
      <x:c r="A1493" t="str" s="2">
        <x:f>=HYPERLINK("https://rsms.futurehomex.com/lead/40107", "hector huerta huerta")</x:f>
      </x:c>
      <x:c r="B1493" t="n" s="2">
        <x:v>26</x:v>
      </x:c>
      <x:c r="C1493" t="str" s="2">
        <x:v>1/1</x:v>
      </x:c>
      <x:c r="D1493" t="str" s="2">
        <x:f>=""</x:f>
      </x:c>
      <x:c r="E1493" s="0"/>
      <x:c r="F1493" t="str" s="2">
        <x:v>Landing_BPM</x:v>
      </x:c>
      <x:c r="G1493" t="str" s="2">
        <x:v>Heritage Housing of Oklahoma City</x:v>
      </x:c>
      <x:c r="H1493" t="str" s="2">
        <x:v>Trey Rixleben</x:v>
      </x:c>
      <x:c r="I1493" s="0"/>
      <x:c r="J1493" t="str" s="2">
        <x:v>Trey Rixleben</x:v>
      </x:c>
      <x:c r="K1493" t="n" s="2">
        <x:v>5</x:v>
      </x:c>
      <x:c r="L1493" t="str" s="2">
        <x:v>1.1</x:v>
      </x:c>
      <x:c r="M1493" t="str" s="2">
        <x:v>Tentative</x:v>
      </x:c>
      <x:c r="N1493" t="str" s="2">
        <x:v>Deal Created</x:v>
      </x:c>
      <x:c r="O1493" s="0"/>
      <x:c r="P1493" s="6">
        <x:v>46282</x:v>
      </x:c>
      <x:c r="Q1493" s="6">
        <x:v>46296.81981716435</x:v>
      </x:c>
      <x:c r="R1493" s="0"/>
      <x:c r="S1493" s="0"/>
      <x:c r="T1493" s="0"/>
      <x:c r="U1493" s="0"/>
      <x:c r="V1493" s="0"/>
      <x:c r="W1493" s="0"/>
      <x:c r="X1493" t="str" s="2">
        <x:v>4058004202</x:v>
      </x:c>
      <x:c r="Y1493" t="str" s="2">
        <x:v>okcdrywall2020@gmail.com</x:v>
      </x:c>
      <x:c r="Z1493" s="6">
        <x:v>46296.82086782408</x:v>
      </x:c>
      <x:c r="AA1493" t="str" s="2">
        <x:v>Trey Rixleben</x:v>
      </x:c>
      <x:c r="AB1493" s="6">
        <x:v>46282.7899494213</x:v>
      </x:c>
      <x:c r="AC1493" t="n" s="2">
        <x:v>40107</x:v>
      </x:c>
      <x:c r="AD1493" s="0"/>
      <x:c r="AE1493" s="0"/>
      <x:c r="AF1493" s="0"/>
      <x:c r="AG1493" s="0"/>
      <x:c r="AH1493" s="0"/>
      <x:c r="AI1493" s="0"/>
      <x:c r="AJ1493" s="0"/>
      <x:c r="AK1493" s="0"/>
    </x:row>
    <x:row r="1494">
      <x:c r="A1494" t="str" s="2">
        <x:f>=HYPERLINK("https://rsms.futurehomex.com/lead/40108", "April Bogan")</x:f>
      </x:c>
      <x:c r="B1494" t="n" s="2">
        <x:v>26</x:v>
      </x:c>
      <x:c r="C1494" t="str" s="2">
        <x:v>1/1</x:v>
      </x:c>
      <x:c r="D1494" t="str" s="2">
        <x:f>=""</x:f>
      </x:c>
      <x:c r="E1494" s="0"/>
      <x:c r="F1494" t="str" s="2">
        <x:v>Financing Form</x:v>
      </x:c>
      <x:c r="G1494" t="str" s="2">
        <x:v>Heritage Housing of Oklahoma City</x:v>
      </x:c>
      <x:c r="H1494" t="str" s="2">
        <x:v>Trey Rixleben</x:v>
      </x:c>
      <x:c r="I1494" s="0"/>
      <x:c r="J1494" t="str" s="2">
        <x:v>Trey Rixleben</x:v>
      </x:c>
      <x:c r="K1494" t="n" s="2">
        <x:v>5</x:v>
      </x:c>
      <x:c r="L1494" t="str" s="2">
        <x:v>1.1</x:v>
      </x:c>
      <x:c r="M1494" t="str" s="2">
        <x:v>Inactive</x:v>
      </x:c>
      <x:c r="N1494" t="str" s="2">
        <x:v>Deal Created</x:v>
      </x:c>
      <x:c r="O1494" s="0"/>
      <x:c r="P1494" s="6">
        <x:v>46282</x:v>
      </x:c>
      <x:c r="Q1494" s="6">
        <x:v>46297.68617248843</x:v>
      </x:c>
      <x:c r="R1494" s="0"/>
      <x:c r="S1494" s="0"/>
      <x:c r="T1494" s="0"/>
      <x:c r="U1494" s="0"/>
      <x:c r="V1494" s="0"/>
      <x:c r="W1494" s="0"/>
      <x:c r="X1494" t="str" s="2">
        <x:v>5033898134</x:v>
      </x:c>
      <x:c r="Y1494" t="str" s="2">
        <x:v>aprilbogan0@gmail.com</x:v>
      </x:c>
      <x:c r="Z1494" s="6">
        <x:v>46297.70566605324</x:v>
      </x:c>
      <x:c r="AA1494" t="str" s="2">
        <x:v>Trey Rixleben</x:v>
      </x:c>
      <x:c r="AB1494" s="6">
        <x:v>46282.795552627314</x:v>
      </x:c>
      <x:c r="AC1494" t="n" s="2">
        <x:v>40108</x:v>
      </x:c>
      <x:c r="AD1494" s="0"/>
      <x:c r="AE1494" s="0"/>
      <x:c r="AF1494" s="0"/>
      <x:c r="AG1494" s="0"/>
      <x:c r="AH1494" s="0"/>
      <x:c r="AI1494" s="0"/>
      <x:c r="AJ1494" s="0"/>
      <x:c r="AK1494" s="0"/>
    </x:row>
    <x:row r="1495">
      <x:c r="A1495" t="str" s="2">
        <x:f>=HYPERLINK("https://rsms.futurehomex.com/lead/40110", "Wade McCaskey")</x:f>
      </x:c>
      <x:c r="B1495" t="n" s="2">
        <x:v>26</x:v>
      </x:c>
      <x:c r="C1495" t="str" s="2">
        <x:v/>
      </x:c>
      <x:c r="D1495" t="str" s="2">
        <x:f>=""</x:f>
      </x:c>
      <x:c r="E1495" s="0"/>
      <x:c r="F1495" t="str" s="2">
        <x:v>Walk-in</x:v>
      </x:c>
      <x:c r="G1495" t="str" s="2">
        <x:v>Heritage Housing of Tulsa</x:v>
      </x:c>
      <x:c r="H1495" t="str" s="2">
        <x:v>Jenna Fransisco</x:v>
      </x:c>
      <x:c r="I1495" s="0"/>
      <x:c r="J1495" s="0"/>
      <x:c r="K1495" t="n" s="2">
        <x:v>5</x:v>
      </x:c>
      <x:c r="L1495" t="str" s="2">
        <x:v>1.1</x:v>
      </x:c>
      <x:c r="M1495" t="str" s="2">
        <x:v>Tentative</x:v>
      </x:c>
      <x:c r="N1495" t="str" s="2">
        <x:v>Prospect</x:v>
      </x:c>
      <x:c r="O1495" s="0"/>
      <x:c r="P1495" s="6">
        <x:v>46282</x:v>
      </x:c>
      <x:c r="Q1495" s="6">
        <x:v>46282.825480127314</x:v>
      </x:c>
      <x:c r="R1495" s="0"/>
      <x:c r="S1495" s="0"/>
      <x:c r="T1495" s="0"/>
      <x:c r="U1495" s="0"/>
      <x:c r="V1495" s="0"/>
      <x:c r="W1495" s="0"/>
      <x:c r="X1495" t="str" s="2">
        <x:v>9182698702</x:v>
      </x:c>
      <x:c r="Y1495" t="str" s="2">
        <x:v>9182698702</x:v>
      </x:c>
      <x:c r="Z1495" s="0"/>
      <x:c r="AA1495" s="0"/>
      <x:c r="AB1495" s="6">
        <x:v>46282.825482175926</x:v>
      </x:c>
      <x:c r="AC1495" t="n" s="2">
        <x:v>40110</x:v>
      </x:c>
      <x:c r="AD1495" s="0"/>
      <x:c r="AE1495" s="0"/>
      <x:c r="AF1495" s="0"/>
      <x:c r="AG1495" s="0"/>
      <x:c r="AH1495" s="0"/>
      <x:c r="AI1495" s="0"/>
      <x:c r="AJ1495" s="0"/>
      <x:c r="AK1495" s="0"/>
    </x:row>
    <x:row r="1496">
      <x:c r="A1496" t="str" s="2">
        <x:f>=HYPERLINK("https://rsms.futurehomex.com/lead/40111", "Calvin Rodgers")</x:f>
      </x:c>
      <x:c r="B1496" t="n" s="2">
        <x:v>26</x:v>
      </x:c>
      <x:c r="C1496" t="str" s="2">
        <x:v>1/2</x:v>
      </x:c>
      <x:c r="D1496" t="str" s="2">
        <x:f>=""</x:f>
      </x:c>
      <x:c r="E1496" s="0"/>
      <x:c r="F1496" t="str" s="2">
        <x:v>Youtube</x:v>
      </x:c>
      <x:c r="G1496" t="str" s="2">
        <x:v>Heritage Housing of Oklahoma City</x:v>
      </x:c>
      <x:c r="H1496" t="str" s="2">
        <x:v>Trey Rixleben</x:v>
      </x:c>
      <x:c r="I1496" s="0"/>
      <x:c r="J1496" t="str" s="2">
        <x:v>Trey Rixleben</x:v>
      </x:c>
      <x:c r="K1496" t="n" s="2">
        <x:v>5</x:v>
      </x:c>
      <x:c r="L1496" t="str" s="2">
        <x:v>1.1</x:v>
      </x:c>
      <x:c r="M1496" t="str" s="2">
        <x:v>Tentative</x:v>
      </x:c>
      <x:c r="N1496" t="str" s="2">
        <x:v>Deal Created</x:v>
      </x:c>
      <x:c r="O1496" s="0"/>
      <x:c r="P1496" s="6">
        <x:v>46282</x:v>
      </x:c>
      <x:c r="Q1496" s="6">
        <x:v>46291.78025674768</x:v>
      </x:c>
      <x:c r="R1496" s="0"/>
      <x:c r="S1496" s="0"/>
      <x:c r="T1496" s="0"/>
      <x:c r="U1496" s="0"/>
      <x:c r="V1496" s="0"/>
      <x:c r="W1496" s="0"/>
      <x:c r="X1496" t="str" s="2">
        <x:v>5802092272</x:v>
      </x:c>
      <x:c r="Y1496" t="str" s="2">
        <x:v>calvinjrodgerss8@gmail.com</x:v>
      </x:c>
      <x:c r="Z1496" s="6">
        <x:v>46291.78088792824</x:v>
      </x:c>
      <x:c r="AA1496" t="str" s="2">
        <x:v>Trey Rixleben</x:v>
      </x:c>
      <x:c r="AB1496" s="6">
        <x:v>46282.83960813657</x:v>
      </x:c>
      <x:c r="AC1496" t="n" s="2">
        <x:v>40111</x:v>
      </x:c>
      <x:c r="AD1496" s="0"/>
      <x:c r="AE1496" s="0"/>
      <x:c r="AF1496" s="0"/>
      <x:c r="AG1496" s="0"/>
      <x:c r="AH1496" s="0"/>
      <x:c r="AI1496" s="0"/>
      <x:c r="AJ1496" s="0"/>
      <x:c r="AK1496" s="0"/>
    </x:row>
    <x:row r="1497">
      <x:c r="A1497" t="str" s="2">
        <x:f>=HYPERLINK("https://rsms.futurehomex.com/lead/40112", "Mercedes Vasquez")</x:f>
      </x:c>
      <x:c r="B1497" t="n" s="2">
        <x:v>26</x:v>
      </x:c>
      <x:c r="C1497" t="str" s="2">
        <x:v>0/1</x:v>
      </x:c>
      <x:c r="D1497" t="str" s="2">
        <x:f>=""</x:f>
      </x:c>
      <x:c r="E1497" s="0"/>
      <x:c r="F1497" t="str" s="2">
        <x:v>Landing_BPM</x:v>
      </x:c>
      <x:c r="G1497" t="str" s="2">
        <x:v>Heritage Housing of Oklahoma City</x:v>
      </x:c>
      <x:c r="H1497" t="str" s="2">
        <x:v>Trey Rixleben</x:v>
      </x:c>
      <x:c r="I1497" s="0"/>
      <x:c r="J1497" t="str" s="2">
        <x:v>Trey Rixleben</x:v>
      </x:c>
      <x:c r="K1497" t="n" s="2">
        <x:v>5</x:v>
      </x:c>
      <x:c r="L1497" t="str" s="2">
        <x:v>1.1</x:v>
      </x:c>
      <x:c r="M1497" t="str" s="2">
        <x:v>Dead</x:v>
      </x:c>
      <x:c r="N1497" t="str" s="2">
        <x:v>Deal Created</x:v>
      </x:c>
      <x:c r="O1497" s="0"/>
      <x:c r="P1497" s="6">
        <x:v>46282</x:v>
      </x:c>
      <x:c r="Q1497" s="6">
        <x:v>46282.85611172453</x:v>
      </x:c>
      <x:c r="R1497" s="0"/>
      <x:c r="S1497" s="0"/>
      <x:c r="T1497" s="0"/>
      <x:c r="U1497" s="0"/>
      <x:c r="V1497" s="0"/>
      <x:c r="W1497" s="0"/>
      <x:c r="X1497" t="str" s="2">
        <x:v>4056872048</x:v>
      </x:c>
      <x:c r="Y1497" t="str" s="2">
        <x:v>mervasquez1204@gmail.com</x:v>
      </x:c>
      <x:c r="Z1497" s="6">
        <x:v>46283.88680853009</x:v>
      </x:c>
      <x:c r="AA1497" t="str" s="2">
        <x:v>Richard Bell</x:v>
      </x:c>
      <x:c r="AB1497" s="6">
        <x:v>46282.8557849537</x:v>
      </x:c>
      <x:c r="AC1497" t="n" s="2">
        <x:v>40112</x:v>
      </x:c>
      <x:c r="AD1497" s="0"/>
      <x:c r="AE1497" s="0"/>
      <x:c r="AF1497" s="0"/>
      <x:c r="AG1497" s="0"/>
      <x:c r="AH1497" s="0"/>
      <x:c r="AI1497" s="0"/>
      <x:c r="AJ1497" s="0"/>
      <x:c r="AK1497" s="0"/>
    </x:row>
    <x:row r="1498">
      <x:c r="A1498" t="str" s="2">
        <x:f>=HYPERLINK("https://rsms.futurehomex.com/lead/40113", "Daniel Alexander")</x:f>
      </x:c>
      <x:c r="B1498" t="n" s="2">
        <x:v>26</x:v>
      </x:c>
      <x:c r="C1498" t="str" s="2">
        <x:v>1/1</x:v>
      </x:c>
      <x:c r="D1498" t="str" s="2">
        <x:f>=""</x:f>
      </x:c>
      <x:c r="E1498" s="0"/>
      <x:c r="F1498" t="str" s="2">
        <x:v>Financing Form</x:v>
      </x:c>
      <x:c r="G1498" t="str" s="2">
        <x:v>Heritage Housing of Oklahoma City</x:v>
      </x:c>
      <x:c r="H1498" t="str" s="2">
        <x:v>Trey Rixleben</x:v>
      </x:c>
      <x:c r="I1498" s="0"/>
      <x:c r="J1498" t="str" s="2">
        <x:v>Trey Rixleben</x:v>
      </x:c>
      <x:c r="K1498" t="n" s="2">
        <x:v>5</x:v>
      </x:c>
      <x:c r="L1498" t="str" s="2">
        <x:v>1.1</x:v>
      </x:c>
      <x:c r="M1498" t="str" s="2">
        <x:v>Tentative</x:v>
      </x:c>
      <x:c r="N1498" t="str" s="2">
        <x:v>Deal Created</x:v>
      </x:c>
      <x:c r="O1498" s="0"/>
      <x:c r="P1498" s="6">
        <x:v>46282</x:v>
      </x:c>
      <x:c r="Q1498" s="6">
        <x:v>46291.79014667824</x:v>
      </x:c>
      <x:c r="R1498" s="0"/>
      <x:c r="S1498" s="0"/>
      <x:c r="T1498" s="0"/>
      <x:c r="U1498" s="0"/>
      <x:c r="V1498" s="0"/>
      <x:c r="W1498" s="0"/>
      <x:c r="X1498" t="str" s="2">
        <x:v>4054319980</x:v>
      </x:c>
      <x:c r="Y1498" t="str" s="2">
        <x:v>Daniel.r.alexander05@gmail.com</x:v>
      </x:c>
      <x:c r="Z1498" s="6">
        <x:v>46291.791030636574</x:v>
      </x:c>
      <x:c r="AA1498" t="str" s="2">
        <x:v>Trey Rixleben</x:v>
      </x:c>
      <x:c r="AB1498" s="6">
        <x:v>46282.85804533565</x:v>
      </x:c>
      <x:c r="AC1498" t="n" s="2">
        <x:v>40113</x:v>
      </x:c>
      <x:c r="AD1498" s="0"/>
      <x:c r="AE1498" s="0"/>
      <x:c r="AF1498" s="0"/>
      <x:c r="AG1498" s="0"/>
      <x:c r="AH1498" s="0"/>
      <x:c r="AI1498" s="0"/>
      <x:c r="AJ1498" s="0"/>
      <x:c r="AK1498" s="0"/>
    </x:row>
    <x:row r="1499">
      <x:c r="A1499" t="str" s="2">
        <x:f>=HYPERLINK("https://rsms.futurehomex.com/lead/40114", "Eldric Coleman")</x:f>
      </x:c>
      <x:c r="B1499" t="n" s="2">
        <x:v>26</x:v>
      </x:c>
      <x:c r="C1499" t="str" s="2">
        <x:v/>
      </x:c>
      <x:c r="D1499" t="str" s="2">
        <x:f>=""</x:f>
      </x:c>
      <x:c r="E1499" s="0"/>
      <x:c r="F1499" t="str" s="2">
        <x:v>Facebook Messenger</x:v>
      </x:c>
      <x:c r="G1499" t="str" s="2">
        <x:v>Heritage Housing of Albany</x:v>
      </x:c>
      <x:c r="H1499" t="str" s="2">
        <x:v>Alexander Bryant</x:v>
      </x:c>
      <x:c r="I1499" t="str" s="2">
        <x:v>Karol Romero</x:v>
      </x:c>
      <x:c r="J1499" t="str" s="2">
        <x:v>Alexander Bryant</x:v>
      </x:c>
      <x:c r="K1499" t="n" s="2">
        <x:v>5</x:v>
      </x:c>
      <x:c r="L1499" t="str" s="2">
        <x:v>1.1</x:v>
      </x:c>
      <x:c r="M1499" t="str" s="2">
        <x:v>Tentative</x:v>
      </x:c>
      <x:c r="N1499" t="str" s="2">
        <x:v>Deal Created</x:v>
      </x:c>
      <x:c r="O1499" s="0"/>
      <x:c r="P1499" s="6">
        <x:v>46282</x:v>
      </x:c>
      <x:c r="Q1499" s="6">
        <x:v>46282.86642341435</x:v>
      </x:c>
      <x:c r="R1499" s="0"/>
      <x:c r="S1499" s="0"/>
      <x:c r="T1499" s="0"/>
      <x:c r="U1499" s="0"/>
      <x:c r="V1499" s="0"/>
      <x:c r="W1499" s="0"/>
      <x:c r="X1499" t="str" s="2">
        <x:v>2298812959</x:v>
      </x:c>
      <x:c r="Y1499" t="str" s="2">
        <x:v>colemanscarrier@gmail.com</x:v>
      </x:c>
      <x:c r="Z1499" s="0"/>
      <x:c r="AA1499" s="0"/>
      <x:c r="AB1499" s="6">
        <x:v>46282.86642508102</x:v>
      </x:c>
      <x:c r="AC1499" t="n" s="2">
        <x:v>40114</x:v>
      </x:c>
      <x:c r="AD1499" s="0"/>
      <x:c r="AE1499" s="0"/>
      <x:c r="AF1499" s="0"/>
      <x:c r="AG1499" s="0"/>
      <x:c r="AH1499" s="0"/>
      <x:c r="AI1499" s="0"/>
      <x:c r="AJ1499" s="0"/>
      <x:c r="AK1499" s="0"/>
    </x:row>
    <x:row r="1500">
      <x:c r="A1500" t="str" s="2">
        <x:f>=HYPERLINK("https://rsms.futurehomex.com/lead/40115", "Jenifer Briones Monter")</x:f>
      </x:c>
      <x:c r="B1500" t="n" s="2">
        <x:v>26</x:v>
      </x:c>
      <x:c r="C1500" t="str" s="2">
        <x:v/>
      </x:c>
      <x:c r="D1500" t="str" s="2">
        <x:f>=""</x:f>
      </x:c>
      <x:c r="E1500" s="0"/>
      <x:c r="F1500" t="str" s="2">
        <x:v>Walk-in</x:v>
      </x:c>
      <x:c r="G1500" t="str" s="2">
        <x:v>Heritage Housing of Asheboro</x:v>
      </x:c>
      <x:c r="H1500" t="str" s="2">
        <x:v>Kate Gutierrez</x:v>
      </x:c>
      <x:c r="I1500" s="0"/>
      <x:c r="J1500" s="0"/>
      <x:c r="K1500" t="n" s="2">
        <x:v>5</x:v>
      </x:c>
      <x:c r="L1500" t="str" s="2">
        <x:v>1.1</x:v>
      </x:c>
      <x:c r="M1500" t="str" s="2">
        <x:v>Tentative</x:v>
      </x:c>
      <x:c r="N1500" t="str" s="2">
        <x:v>Prospect</x:v>
      </x:c>
      <x:c r="O1500" s="0"/>
      <x:c r="P1500" s="6">
        <x:v>46282</x:v>
      </x:c>
      <x:c r="Q1500" s="6">
        <x:v>46290.91988005787</x:v>
      </x:c>
      <x:c r="R1500" s="0"/>
      <x:c r="S1500" s="0"/>
      <x:c r="T1500" s="0"/>
      <x:c r="U1500" s="0"/>
      <x:c r="V1500" s="0"/>
      <x:c r="W1500" s="0"/>
      <x:c r="X1500" t="str" s="2">
        <x:v>9848889336</x:v>
      </x:c>
      <x:c r="Y1500" t="str" s="2">
        <x:v>saucedag167@gmaio.com</x:v>
      </x:c>
      <x:c r="Z1500" s="0"/>
      <x:c r="AA1500" s="0"/>
      <x:c r="AB1500" s="6">
        <x:v>46282.88886866898</x:v>
      </x:c>
      <x:c r="AC1500" t="n" s="2">
        <x:v>40115</x:v>
      </x:c>
      <x:c r="AD1500" s="0"/>
      <x:c r="AE1500" s="0"/>
      <x:c r="AF1500" s="0"/>
      <x:c r="AG1500" s="0"/>
      <x:c r="AH1500" s="0"/>
      <x:c r="AI1500" s="0"/>
      <x:c r="AJ1500" s="0"/>
      <x:c r="AK1500" s="0"/>
    </x:row>
    <x:row r="1501">
      <x:c r="A1501" t="str" s="2">
        <x:f>=HYPERLINK("https://rsms.futurehomex.com/lead/40116", "Dusty Steele")</x:f>
      </x:c>
      <x:c r="B1501" t="n" s="2">
        <x:v>26</x:v>
      </x:c>
      <x:c r="C1501" t="str" s="2">
        <x:v>0/1</x:v>
      </x:c>
      <x:c r="D1501" t="str" s="2">
        <x:f>=""</x:f>
      </x:c>
      <x:c r="E1501" s="0"/>
      <x:c r="F1501" t="str" s="2">
        <x:v>Walk-in</x:v>
      </x:c>
      <x:c r="G1501" t="str" s="2">
        <x:v>Heritage Housing of Minden</x:v>
      </x:c>
      <x:c r="H1501" t="str" s="2">
        <x:v>Patrick Schuchart</x:v>
      </x:c>
      <x:c r="I1501" t="str" s="2">
        <x:v>Karol Romero</x:v>
      </x:c>
      <x:c r="J1501" t="str" s="2">
        <x:v>Patrick Schuchart</x:v>
      </x:c>
      <x:c r="K1501" t="n" s="2">
        <x:v>5</x:v>
      </x:c>
      <x:c r="L1501" t="str" s="2">
        <x:v>1.1</x:v>
      </x:c>
      <x:c r="M1501" t="str" s="2">
        <x:v>Tentative</x:v>
      </x:c>
      <x:c r="N1501" t="str" s="2">
        <x:v>Prospect</x:v>
      </x:c>
      <x:c r="O1501" s="0"/>
      <x:c r="P1501" s="6">
        <x:v>46282</x:v>
      </x:c>
      <x:c r="Q1501" s="6">
        <x:v>46282.91007306713</x:v>
      </x:c>
      <x:c r="R1501" t="str" s="2">
        <x:v>Patrick Schuchart</x:v>
      </x:c>
      <x:c r="S1501" s="0"/>
      <x:c r="T1501" s="0"/>
      <x:c r="U1501" s="0"/>
      <x:c r="V1501" s="0"/>
      <x:c r="W1501" s="0"/>
      <x:c r="X1501" t="str" s="2">
        <x:v>3183311692</x:v>
      </x:c>
      <x:c r="Y1501" t="str" s="2">
        <x:v>dustin1989@gmail.com</x:v>
      </x:c>
      <x:c r="Z1501" s="6">
        <x:v>46295.825916284724</x:v>
      </x:c>
      <x:c r="AA1501" t="str" s="2">
        <x:v>Kyla Brown</x:v>
      </x:c>
      <x:c r="AB1501" s="6">
        <x:v>46282.91007369213</x:v>
      </x:c>
      <x:c r="AC1501" t="n" s="2">
        <x:v>40116</x:v>
      </x:c>
      <x:c r="AD1501" s="0"/>
      <x:c r="AE1501" s="0"/>
      <x:c r="AF1501" s="0"/>
      <x:c r="AG1501" s="0"/>
      <x:c r="AH1501" s="0"/>
      <x:c r="AI1501" s="0"/>
      <x:c r="AJ1501" s="0"/>
      <x:c r="AK1501" s="0"/>
    </x:row>
    <x:row r="1502">
      <x:c r="A1502" t="str" s="2">
        <x:f>=HYPERLINK("https://rsms.futurehomex.com/lead/40117", "Ruben Priest")</x:f>
      </x:c>
      <x:c r="B1502" t="n" s="2">
        <x:v>26</x:v>
      </x:c>
      <x:c r="C1502" t="str" s="2">
        <x:v>1/2</x:v>
      </x:c>
      <x:c r="D1502" t="str" s="2">
        <x:f>=""</x:f>
      </x:c>
      <x:c r="E1502" s="0"/>
      <x:c r="F1502" t="str" s="2">
        <x:v>Facebook Messenger</x:v>
      </x:c>
      <x:c r="G1502" t="str" s="2">
        <x:v>Heritage Housing of Oklahoma City</x:v>
      </x:c>
      <x:c r="H1502" t="str" s="2">
        <x:v>Steve Castell</x:v>
      </x:c>
      <x:c r="I1502" s="0"/>
      <x:c r="J1502" t="str" s="2">
        <x:v>Steve Castell</x:v>
      </x:c>
      <x:c r="K1502" t="n" s="2">
        <x:v>5</x:v>
      </x:c>
      <x:c r="L1502" t="str" s="2">
        <x:v>1.1</x:v>
      </x:c>
      <x:c r="M1502" t="str" s="2">
        <x:v>Tentative</x:v>
      </x:c>
      <x:c r="N1502" t="str" s="2">
        <x:v>Deal Created</x:v>
      </x:c>
      <x:c r="O1502" s="0"/>
      <x:c r="P1502" s="6">
        <x:v>46282</x:v>
      </x:c>
      <x:c r="Q1502" s="6">
        <x:v>46282.94311774305</x:v>
      </x:c>
      <x:c r="R1502" s="0"/>
      <x:c r="S1502" s="0"/>
      <x:c r="T1502" s="0"/>
      <x:c r="U1502" s="0"/>
      <x:c r="V1502" s="0"/>
      <x:c r="W1502" s="0"/>
      <x:c r="X1502" t="str" s="2">
        <x:v>4054687146</x:v>
      </x:c>
      <x:c r="Y1502" t="str" s="2">
        <x:v>4054687146</x:v>
      </x:c>
      <x:c r="Z1502" s="6">
        <x:v>46304.96182230324</x:v>
      </x:c>
      <x:c r="AA1502" t="str" s="2">
        <x:v>Steve Castell</x:v>
      </x:c>
      <x:c r="AB1502" s="6">
        <x:v>46282.94311855324</x:v>
      </x:c>
      <x:c r="AC1502" t="n" s="2">
        <x:v>40117</x:v>
      </x:c>
      <x:c r="AD1502" s="0"/>
      <x:c r="AE1502" s="0"/>
      <x:c r="AF1502" s="0"/>
      <x:c r="AG1502" s="0"/>
      <x:c r="AH1502" s="0"/>
      <x:c r="AI1502" s="0"/>
      <x:c r="AJ1502" s="0"/>
      <x:c r="AK1502" s="0"/>
    </x:row>
    <x:row r="1503">
      <x:c r="A1503" t="str" s="2">
        <x:f>=HYPERLINK("https://rsms.futurehomex.com/lead/40119", "JUAN VAZQUEZ")</x:f>
      </x:c>
      <x:c r="B1503" t="n" s="2">
        <x:v>26</x:v>
      </x:c>
      <x:c r="C1503" t="str" s="2">
        <x:v>1/6</x:v>
      </x:c>
      <x:c r="D1503" t="str" s="2">
        <x:f>=""</x:f>
      </x:c>
      <x:c r="E1503" s="0"/>
      <x:c r="F1503" t="str" s="2">
        <x:v>Facebook Messenger</x:v>
      </x:c>
      <x:c r="G1503" t="str" s="2">
        <x:v>Heritage Housing of Oklahoma City</x:v>
      </x:c>
      <x:c r="H1503" t="str" s="2">
        <x:v>Noemi Rojo</x:v>
      </x:c>
      <x:c r="I1503" s="0"/>
      <x:c r="J1503" s="0"/>
      <x:c r="K1503" t="n" s="2">
        <x:v>5</x:v>
      </x:c>
      <x:c r="L1503" t="str" s="2">
        <x:v>1.1</x:v>
      </x:c>
      <x:c r="M1503" t="str" s="2">
        <x:v>Tentative</x:v>
      </x:c>
      <x:c r="N1503" t="str" s="2">
        <x:v>Prospect</x:v>
      </x:c>
      <x:c r="O1503" s="0"/>
      <x:c r="P1503" s="6">
        <x:v>46282</x:v>
      </x:c>
      <x:c r="Q1503" s="6">
        <x:v>46282.955016631946</x:v>
      </x:c>
      <x:c r="R1503" s="0"/>
      <x:c r="S1503" s="0"/>
      <x:c r="T1503" s="0"/>
      <x:c r="U1503" s="0"/>
      <x:c r="V1503" s="0"/>
      <x:c r="W1503" s="0"/>
      <x:c r="X1503" t="str" s="2">
        <x:v>4056932587</x:v>
      </x:c>
      <x:c r="Y1503" t="str" s="2">
        <x:v>4056932587</x:v>
      </x:c>
      <x:c r="Z1503" s="6">
        <x:v>46302.96427855324</x:v>
      </x:c>
      <x:c r="AA1503" t="str" s="2">
        <x:v>Alejandra Calderon</x:v>
      </x:c>
      <x:c r="AB1503" s="6">
        <x:v>46282.955018402776</x:v>
      </x:c>
      <x:c r="AC1503" t="n" s="2">
        <x:v>40119</x:v>
      </x:c>
      <x:c r="AD1503" s="0"/>
      <x:c r="AE1503" s="0"/>
      <x:c r="AF1503" s="0"/>
      <x:c r="AG1503" s="0"/>
      <x:c r="AH1503" s="0"/>
      <x:c r="AI1503" s="0"/>
      <x:c r="AJ1503" s="0"/>
      <x:c r="AK1503" s="0"/>
    </x:row>
    <x:row r="1504">
      <x:c r="A1504" t="str" s="2">
        <x:f>=HYPERLINK("https://rsms.futurehomex.com/lead/40122", "Marla Miller")</x:f>
      </x:c>
      <x:c r="B1504" t="n" s="2">
        <x:v>26</x:v>
      </x:c>
      <x:c r="C1504" t="str" s="2">
        <x:v>0/1</x:v>
      </x:c>
      <x:c r="D1504" t="str" s="2">
        <x:f>=""</x:f>
      </x:c>
      <x:c r="E1504" s="0"/>
      <x:c r="F1504" t="str" s="2">
        <x:v>Youtube</x:v>
      </x:c>
      <x:c r="G1504" t="str" s="2">
        <x:v>Heritage Housing of Oklahoma City</x:v>
      </x:c>
      <x:c r="H1504" t="str" s="2">
        <x:v>Trey Rixleben</x:v>
      </x:c>
      <x:c r="I1504" s="0"/>
      <x:c r="J1504" t="str" s="2">
        <x:v>Trey Rixleben</x:v>
      </x:c>
      <x:c r="K1504" t="n" s="2">
        <x:v>5</x:v>
      </x:c>
      <x:c r="L1504" t="str" s="2">
        <x:v>1.1</x:v>
      </x:c>
      <x:c r="M1504" t="str" s="2">
        <x:v>Dead</x:v>
      </x:c>
      <x:c r="N1504" t="str" s="2">
        <x:v>Deal Created</x:v>
      </x:c>
      <x:c r="O1504" s="0"/>
      <x:c r="P1504" s="6">
        <x:v>46282</x:v>
      </x:c>
      <x:c r="Q1504" s="6">
        <x:v>46282.99443275463</x:v>
      </x:c>
      <x:c r="R1504" s="0"/>
      <x:c r="S1504" s="0"/>
      <x:c r="T1504" s="0"/>
      <x:c r="U1504" s="0"/>
      <x:c r="V1504" s="0"/>
      <x:c r="W1504" s="0"/>
      <x:c r="X1504" t="str" s="2">
        <x:v>5803441900</x:v>
      </x:c>
      <x:c r="Y1504" t="str" s="2">
        <x:v>mrlmlr43@gmail.com</x:v>
      </x:c>
      <x:c r="Z1504" s="6">
        <x:v>46283.885873761574</x:v>
      </x:c>
      <x:c r="AA1504" t="str" s="2">
        <x:v>Richard Bell</x:v>
      </x:c>
      <x:c r="AB1504" s="6">
        <x:v>46282.9941721412</x:v>
      </x:c>
      <x:c r="AC1504" t="n" s="2">
        <x:v>40122</x:v>
      </x:c>
      <x:c r="AD1504" s="0"/>
      <x:c r="AE1504" s="0"/>
      <x:c r="AF1504" s="0"/>
      <x:c r="AG1504" s="0"/>
      <x:c r="AH1504" s="0"/>
      <x:c r="AI1504" s="0"/>
      <x:c r="AJ1504" s="0"/>
      <x:c r="AK1504" s="0"/>
    </x:row>
    <x:row r="1505">
      <x:c r="A1505" t="str" s="2">
        <x:f>=HYPERLINK("https://rsms.futurehomex.com/lead/40123", "William Carter")</x:f>
      </x:c>
      <x:c r="B1505" t="n" s="2">
        <x:v>26</x:v>
      </x:c>
      <x:c r="C1505" t="str" s="2">
        <x:v>1/1</x:v>
      </x:c>
      <x:c r="D1505" t="str" s="2">
        <x:f>=""</x:f>
      </x:c>
      <x:c r="E1505" s="0"/>
      <x:c r="F1505" t="str" s="2">
        <x:v>Landing_BPM</x:v>
      </x:c>
      <x:c r="G1505" t="str" s="2">
        <x:v>Heritage Housing of Oklahoma City</x:v>
      </x:c>
      <x:c r="H1505" t="str" s="2">
        <x:v>Trey Rixleben</x:v>
      </x:c>
      <x:c r="I1505" s="0"/>
      <x:c r="J1505" t="str" s="2">
        <x:v>Trey Rixleben</x:v>
      </x:c>
      <x:c r="K1505" t="n" s="2">
        <x:v>5</x:v>
      </x:c>
      <x:c r="L1505" t="str" s="2">
        <x:v>1.1</x:v>
      </x:c>
      <x:c r="M1505" t="str" s="2">
        <x:v>Tentative</x:v>
      </x:c>
      <x:c r="N1505" t="str" s="2">
        <x:v>Deal Created</x:v>
      </x:c>
      <x:c r="O1505" s="0"/>
      <x:c r="P1505" s="6">
        <x:v>46282</x:v>
      </x:c>
      <x:c r="Q1505" s="6">
        <x:v>46296.899468020834</x:v>
      </x:c>
      <x:c r="R1505" s="0"/>
      <x:c r="S1505" s="0"/>
      <x:c r="T1505" s="0"/>
      <x:c r="U1505" s="0"/>
      <x:c r="V1505" s="0"/>
      <x:c r="W1505" s="0"/>
      <x:c r="X1505" t="str" s="2">
        <x:v>9184071488</x:v>
      </x:c>
      <x:c r="Y1505" t="str" s="2">
        <x:v>williamcarterdallas21@gmail.com</x:v>
      </x:c>
      <x:c r="Z1505" s="6">
        <x:v>46296.90023356482</x:v>
      </x:c>
      <x:c r="AA1505" t="str" s="2">
        <x:v>Trey Rixleben</x:v>
      </x:c>
      <x:c r="AB1505" s="6">
        <x:v>46282.9976690625</x:v>
      </x:c>
      <x:c r="AC1505" t="n" s="2">
        <x:v>40123</x:v>
      </x:c>
      <x:c r="AD1505" s="0"/>
      <x:c r="AE1505" s="0"/>
      <x:c r="AF1505" s="0"/>
      <x:c r="AG1505" s="0"/>
      <x:c r="AH1505" s="0"/>
      <x:c r="AI1505" s="0"/>
      <x:c r="AJ1505" s="0"/>
      <x:c r="AK1505" s="0"/>
    </x:row>
    <x:row r="1506">
      <x:c r="A1506" t="str" s="2">
        <x:f>=HYPERLINK("https://rsms.futurehomex.com/lead/40124", "Terresa Mayo")</x:f>
      </x:c>
      <x:c r="B1506" t="n" s="2">
        <x:v>25</x:v>
      </x:c>
      <x:c r="C1506" t="str" s="2">
        <x:v/>
      </x:c>
      <x:c r="D1506" t="str" s="2">
        <x:f>=""</x:f>
      </x:c>
      <x:c r="E1506" s="0"/>
      <x:c r="F1506" t="str" s="2">
        <x:v>Facebook Messenger</x:v>
      </x:c>
      <x:c r="G1506" t="str" s="2">
        <x:v>Heritage Housing of Albany</x:v>
      </x:c>
      <x:c r="H1506" t="str" s="2">
        <x:v>Alexander Bryant</x:v>
      </x:c>
      <x:c r="I1506" t="str" s="2">
        <x:v>Karol Romero</x:v>
      </x:c>
      <x:c r="J1506" t="str" s="2">
        <x:v>Alexander Bryant</x:v>
      </x:c>
      <x:c r="K1506" t="n" s="2">
        <x:v>5</x:v>
      </x:c>
      <x:c r="L1506" t="str" s="2">
        <x:v>1.1</x:v>
      </x:c>
      <x:c r="M1506" t="str" s="2">
        <x:v>Tentative</x:v>
      </x:c>
      <x:c r="N1506" t="str" s="2">
        <x:v>Deal Created</x:v>
      </x:c>
      <x:c r="O1506" s="0"/>
      <x:c r="P1506" s="6">
        <x:v>46283</x:v>
      </x:c>
      <x:c r="Q1506" s="6">
        <x:v>46289.88784513889</x:v>
      </x:c>
      <x:c r="R1506" s="0"/>
      <x:c r="S1506" s="0"/>
      <x:c r="T1506" s="0"/>
      <x:c r="U1506" s="0"/>
      <x:c r="V1506" s="0"/>
      <x:c r="W1506" s="0"/>
      <x:c r="X1506" t="str" s="2">
        <x:v>2294060667</x:v>
      </x:c>
      <x:c r="Y1506" t="str" s="2">
        <x:v>2294060667</x:v>
      </x:c>
      <x:c r="Z1506" s="0"/>
      <x:c r="AA1506" s="0"/>
      <x:c r="AB1506" s="6">
        <x:v>46283.55066666667</x:v>
      </x:c>
      <x:c r="AC1506" t="n" s="2">
        <x:v>40124</x:v>
      </x:c>
      <x:c r="AD1506" s="0"/>
      <x:c r="AE1506" s="0"/>
      <x:c r="AF1506" s="0"/>
      <x:c r="AG1506" s="0"/>
      <x:c r="AH1506" s="0"/>
      <x:c r="AI1506" s="0"/>
      <x:c r="AJ1506" s="0"/>
      <x:c r="AK1506" s="0"/>
    </x:row>
    <x:row r="1507">
      <x:c r="A1507" t="str" s="2">
        <x:f>=HYPERLINK("https://rsms.futurehomex.com/lead/40125", "Kody Kyle")</x:f>
      </x:c>
      <x:c r="B1507" t="n" s="2">
        <x:v>25</x:v>
      </x:c>
      <x:c r="C1507" t="str" s="2">
        <x:v/>
      </x:c>
      <x:c r="D1507" t="str" s="2">
        <x:f>=""</x:f>
      </x:c>
      <x:c r="E1507" s="0"/>
      <x:c r="F1507" t="str" s="2">
        <x:v>Walk-in</x:v>
      </x:c>
      <x:c r="G1507" t="str" s="2">
        <x:v>Heritage Housing Gainesville</x:v>
      </x:c>
      <x:c r="H1507" t="str" s="2">
        <x:v>Jeniffer Arellano</x:v>
      </x:c>
      <x:c r="I1507" s="0"/>
      <x:c r="J1507" t="str" s="2">
        <x:v>Jeniffer Arellano</x:v>
      </x:c>
      <x:c r="K1507" t="n" s="2">
        <x:v>5</x:v>
      </x:c>
      <x:c r="L1507" t="str" s="2">
        <x:v>1.1</x:v>
      </x:c>
      <x:c r="M1507" t="str" s="2">
        <x:v>Tentative</x:v>
      </x:c>
      <x:c r="N1507" t="str" s="2">
        <x:v>Prospect</x:v>
      </x:c>
      <x:c r="O1507" s="0"/>
      <x:c r="P1507" s="6">
        <x:v>46283</x:v>
      </x:c>
      <x:c r="Q1507" s="6">
        <x:v>46283.56394679398</x:v>
      </x:c>
      <x:c r="R1507" s="0"/>
      <x:c r="S1507" s="6">
        <x:v>46281</x:v>
      </x:c>
      <x:c r="T1507" s="0"/>
      <x:c r="U1507" s="0"/>
      <x:c r="V1507" s="0"/>
      <x:c r="W1507" s="0"/>
      <x:c r="X1507" t="str" s="2">
        <x:v>9403913160</x:v>
      </x:c>
      <x:c r="Y1507" t="str" s="2">
        <x:v>arrowheartranchllc@gmail.com</x:v>
      </x:c>
      <x:c r="Z1507" s="0"/>
      <x:c r="AA1507" s="0"/>
      <x:c r="AB1507" s="6">
        <x:v>46283.563075729166</x:v>
      </x:c>
      <x:c r="AC1507" t="n" s="2">
        <x:v>40125</x:v>
      </x:c>
      <x:c r="AD1507" s="0"/>
      <x:c r="AE1507" s="0"/>
      <x:c r="AF1507" s="0"/>
      <x:c r="AG1507" s="0"/>
      <x:c r="AH1507" s="0"/>
      <x:c r="AI1507" s="0"/>
      <x:c r="AJ1507" s="0"/>
      <x:c r="AK1507" s="0"/>
    </x:row>
    <x:row r="1508">
      <x:c r="A1508" t="str" s="2">
        <x:f>=HYPERLINK("https://rsms.futurehomex.com/lead/40126", "Ricky Otes")</x:f>
      </x:c>
      <x:c r="B1508" t="n" s="2">
        <x:v>25</x:v>
      </x:c>
      <x:c r="C1508" t="str" s="2">
        <x:v/>
      </x:c>
      <x:c r="D1508" t="str" s="2">
        <x:f>=""</x:f>
      </x:c>
      <x:c r="E1508" s="0"/>
      <x:c r="F1508" t="str" s="2">
        <x:v>Walk-in</x:v>
      </x:c>
      <x:c r="G1508" t="str" s="2">
        <x:v>Heritage Housing of Asheboro</x:v>
      </x:c>
      <x:c r="H1508" t="str" s="2">
        <x:v>Kate Gutierrez</x:v>
      </x:c>
      <x:c r="I1508" s="0"/>
      <x:c r="J1508" s="0"/>
      <x:c r="K1508" t="n" s="2">
        <x:v>21</x:v>
      </x:c>
      <x:c r="L1508" t="str" s="2">
        <x:v>2.1</x:v>
      </x:c>
      <x:c r="M1508" t="str" s="2">
        <x:v>Tentative</x:v>
      </x:c>
      <x:c r="N1508" t="str" s="2">
        <x:v>Qualified</x:v>
      </x:c>
      <x:c r="O1508" s="0"/>
      <x:c r="P1508" s="6">
        <x:v>46283</x:v>
      </x:c>
      <x:c r="Q1508" s="6">
        <x:v>46290.91963892361</x:v>
      </x:c>
      <x:c r="R1508" s="0"/>
      <x:c r="S1508" s="0"/>
      <x:c r="T1508" s="0"/>
      <x:c r="U1508" s="0"/>
      <x:c r="V1508" s="0"/>
      <x:c r="W1508" s="0"/>
      <x:c r="X1508" t="str" s="2">
        <x:v>9195484336</x:v>
      </x:c>
      <x:c r="Y1508" t="str" s="2">
        <x:v>otesr625@gmail.com</x:v>
      </x:c>
      <x:c r="Z1508" s="6">
        <x:v>46284.604697372684</x:v>
      </x:c>
      <x:c r="AA1508" t="str" s="2">
        <x:v>Jeremy Jacques</x:v>
      </x:c>
      <x:c r="AB1508" s="6">
        <x:v>46283.58628480324</x:v>
      </x:c>
      <x:c r="AC1508" t="n" s="2">
        <x:v>40126</x:v>
      </x:c>
      <x:c r="AD1508" s="0"/>
      <x:c r="AE1508" s="0"/>
      <x:c r="AF1508" s="0"/>
      <x:c r="AG1508" s="0"/>
      <x:c r="AH1508" s="0"/>
      <x:c r="AI1508" s="0"/>
      <x:c r="AJ1508" s="0"/>
      <x:c r="AK1508" s="0"/>
    </x:row>
    <x:row r="1509">
      <x:c r="A1509" t="str" s="2">
        <x:f>=HYPERLINK("https://rsms.futurehomex.com/lead/40127", "Mauricio Uribe")</x:f>
      </x:c>
      <x:c r="B1509" t="n" s="2">
        <x:v>25</x:v>
      </x:c>
      <x:c r="C1509" t="str" s="2">
        <x:v/>
      </x:c>
      <x:c r="D1509" t="str" s="2">
        <x:f>=""</x:f>
      </x:c>
      <x:c r="E1509" s="0"/>
      <x:c r="F1509" t="str" s="2">
        <x:v>Walk-in</x:v>
      </x:c>
      <x:c r="G1509" t="str" s="2">
        <x:v>Heritage Housing of Asheboro</x:v>
      </x:c>
      <x:c r="H1509" t="str" s="2">
        <x:v>Maria Lopez</x:v>
      </x:c>
      <x:c r="I1509" s="0"/>
      <x:c r="J1509" s="0"/>
      <x:c r="K1509" t="n" s="2">
        <x:v>21</x:v>
      </x:c>
      <x:c r="L1509" t="str" s="2">
        <x:v>2.1</x:v>
      </x:c>
      <x:c r="M1509" t="str" s="2">
        <x:v>Tentative</x:v>
      </x:c>
      <x:c r="N1509" t="str" s="2">
        <x:v>Qualified</x:v>
      </x:c>
      <x:c r="O1509" s="0"/>
      <x:c r="P1509" s="6">
        <x:v>46283</x:v>
      </x:c>
      <x:c r="Q1509" s="6">
        <x:v>46284.60494660879</x:v>
      </x:c>
      <x:c r="R1509" s="0"/>
      <x:c r="S1509" s="0"/>
      <x:c r="T1509" s="0"/>
      <x:c r="U1509" s="0"/>
      <x:c r="V1509" s="0"/>
      <x:c r="W1509" s="0"/>
      <x:c r="X1509" t="str" s="2">
        <x:v>3367362560</x:v>
      </x:c>
      <x:c r="Y1509" t="str" s="2">
        <x:v>maury721@hotmail.com</x:v>
      </x:c>
      <x:c r="Z1509" s="6">
        <x:v>46284.60493410879</x:v>
      </x:c>
      <x:c r="AA1509" t="str" s="2">
        <x:v>Jeremy Jacques</x:v>
      </x:c>
      <x:c r="AB1509" s="6">
        <x:v>46283.587165543984</x:v>
      </x:c>
      <x:c r="AC1509" t="n" s="2">
        <x:v>40127</x:v>
      </x:c>
      <x:c r="AD1509" s="0"/>
      <x:c r="AE1509" s="0"/>
      <x:c r="AF1509" s="0"/>
      <x:c r="AG1509" s="0"/>
      <x:c r="AH1509" s="0"/>
      <x:c r="AI1509" s="0"/>
      <x:c r="AJ1509" s="0"/>
      <x:c r="AK1509" s="0"/>
    </x:row>
    <x:row r="1510">
      <x:c r="A1510" t="str" s="2">
        <x:f>=HYPERLINK("https://rsms.futurehomex.com/lead/40129", "Gina York")</x:f>
      </x:c>
      <x:c r="B1510" t="n" s="2">
        <x:v>25</x:v>
      </x:c>
      <x:c r="C1510" t="str" s="2">
        <x:v>1/1</x:v>
      </x:c>
      <x:c r="D1510" t="str" s="2">
        <x:f>=""</x:f>
      </x:c>
      <x:c r="E1510" s="0"/>
      <x:c r="F1510" t="str" s="2">
        <x:v>Youtube</x:v>
      </x:c>
      <x:c r="G1510" t="str" s="2">
        <x:v>Heritage Housing of Oklahoma City</x:v>
      </x:c>
      <x:c r="H1510" t="str" s="2">
        <x:v>Trey Rixleben</x:v>
      </x:c>
      <x:c r="I1510" s="0"/>
      <x:c r="J1510" t="str" s="2">
        <x:v>Trey Rixleben</x:v>
      </x:c>
      <x:c r="K1510" t="n" s="2">
        <x:v>5</x:v>
      </x:c>
      <x:c r="L1510" t="str" s="2">
        <x:v>1.1</x:v>
      </x:c>
      <x:c r="M1510" t="str" s="2">
        <x:v>Tentative</x:v>
      </x:c>
      <x:c r="N1510" t="str" s="2">
        <x:v>Deal Created</x:v>
      </x:c>
      <x:c r="O1510" s="0"/>
      <x:c r="P1510" s="6">
        <x:v>46283</x:v>
      </x:c>
      <x:c r="Q1510" s="6">
        <x:v>46308.70408012732</x:v>
      </x:c>
      <x:c r="R1510" s="0"/>
      <x:c r="S1510" s="0"/>
      <x:c r="T1510" s="0"/>
      <x:c r="U1510" s="0"/>
      <x:c r="V1510" s="0"/>
      <x:c r="W1510" s="0"/>
      <x:c r="X1510" t="str" s="2">
        <x:v>4057602381</x:v>
      </x:c>
      <x:c r="Y1510" t="str" s="2">
        <x:v>gyork46@yahoo.com</x:v>
      </x:c>
      <x:c r="Z1510" s="6">
        <x:v>46308.70520778935</x:v>
      </x:c>
      <x:c r="AA1510" t="str" s="2">
        <x:v>Trey Rixleben</x:v>
      </x:c>
      <x:c r="AB1510" s="6">
        <x:v>46283.592414004626</x:v>
      </x:c>
      <x:c r="AC1510" t="n" s="2">
        <x:v>40129</x:v>
      </x:c>
      <x:c r="AD1510" s="0"/>
      <x:c r="AE1510" s="0"/>
      <x:c r="AF1510" s="0"/>
      <x:c r="AG1510" s="0"/>
      <x:c r="AH1510" s="0"/>
      <x:c r="AI1510" s="0"/>
      <x:c r="AJ1510" s="0"/>
      <x:c r="AK1510" s="0"/>
    </x:row>
    <x:row r="1511">
      <x:c r="A1511" t="str" s="2">
        <x:f>=HYPERLINK("https://rsms.futurehomex.com/lead/40130", "Andrea LaTroy Harris")</x:f>
      </x:c>
      <x:c r="B1511" t="n" s="2">
        <x:v>25</x:v>
      </x:c>
      <x:c r="C1511" t="str" s="2">
        <x:v>1/5</x:v>
      </x:c>
      <x:c r="D1511" t="str" s="2">
        <x:f>=""</x:f>
      </x:c>
      <x:c r="E1511" t="str" s="2">
        <x:v>Latonya Louise Henderson-Harris</x:v>
      </x:c>
      <x:c r="F1511" t="str" s="2">
        <x:v>Office Hot Calls</x:v>
      </x:c>
      <x:c r="G1511" t="str" s="2">
        <x:v>Heritage Housing of Jennings</x:v>
      </x:c>
      <x:c r="H1511" t="str" s="2">
        <x:v>Clint O'Neal</x:v>
      </x:c>
      <x:c r="I1511" t="str" s="2">
        <x:v>Karol Romero</x:v>
      </x:c>
      <x:c r="J1511" s="0"/>
      <x:c r="K1511" t="n" s="2">
        <x:v>38</x:v>
      </x:c>
      <x:c r="L1511" t="str" s="2">
        <x:v>3.2</x:v>
      </x:c>
      <x:c r="M1511" t="str" s="2">
        <x:v>Active</x:v>
      </x:c>
      <x:c r="N1511" t="str" s="2">
        <x:v>Application</x:v>
      </x:c>
      <x:c r="O1511" s="6">
        <x:v>46326</x:v>
      </x:c>
      <x:c r="P1511" s="6">
        <x:v>46283</x:v>
      </x:c>
      <x:c r="Q1511" s="6">
        <x:v>46293.6094900463</x:v>
      </x:c>
      <x:c r="R1511" s="0"/>
      <x:c r="S1511" s="6">
        <x:v>46291</x:v>
      </x:c>
      <x:c r="T1511" s="6">
        <x:v>46291</x:v>
      </x:c>
      <x:c r="U1511" s="0"/>
      <x:c r="V1511" s="0"/>
      <x:c r="W1511" s="0"/>
      <x:c r="X1511" t="str" s="2">
        <x:v>3183056176</x:v>
      </x:c>
      <x:c r="Y1511" t="str" s="2">
        <x:v>harrisandreaL2426@gmail.com</x:v>
      </x:c>
      <x:c r="Z1511" s="6">
        <x:v>46307.54560813658</x:v>
      </x:c>
      <x:c r="AA1511" t="str" s="2">
        <x:v>Clint O'Neal</x:v>
      </x:c>
      <x:c r="AB1511" s="6">
        <x:v>46283.59829710648</x:v>
      </x:c>
      <x:c r="AC1511" t="n" s="2">
        <x:v>40130</x:v>
      </x:c>
      <x:c r="AD1511" s="0"/>
      <x:c r="AE1511" s="0"/>
      <x:c r="AF1511" s="0"/>
      <x:c r="AG1511" s="7">
        <x:v>500</x:v>
      </x:c>
      <x:c r="AH1511" s="0"/>
      <x:c r="AI1511" s="0"/>
      <x:c r="AJ1511" s="0"/>
      <x:c r="AK1511" s="0"/>
    </x:row>
    <x:row r="1512">
      <x:c r="A1512" t="str" s="2">
        <x:f>=HYPERLINK("https://rsms.futurehomex.com/lead/40131", "Felicia Contreras")</x:f>
      </x:c>
      <x:c r="B1512" t="n" s="2">
        <x:v>25</x:v>
      </x:c>
      <x:c r="C1512" t="str" s="2">
        <x:v>1/7</x:v>
      </x:c>
      <x:c r="D1512" t="str" s="2">
        <x:f>=""</x:f>
      </x:c>
      <x:c r="E1512" s="0"/>
      <x:c r="F1512" t="str" s="2">
        <x:v>Landing_BPM</x:v>
      </x:c>
      <x:c r="G1512" t="str" s="2">
        <x:v>Heritage Housing of Oklahoma City</x:v>
      </x:c>
      <x:c r="H1512" t="str" s="2">
        <x:v>Noemi Rojo</x:v>
      </x:c>
      <x:c r="I1512" s="0"/>
      <x:c r="J1512" s="0"/>
      <x:c r="K1512" t="n" s="2">
        <x:v>5</x:v>
      </x:c>
      <x:c r="L1512" t="str" s="2">
        <x:v>1.1</x:v>
      </x:c>
      <x:c r="M1512" t="str" s="2">
        <x:v>Tentative</x:v>
      </x:c>
      <x:c r="N1512" t="str" s="2">
        <x:v>Deal Created</x:v>
      </x:c>
      <x:c r="O1512" s="0"/>
      <x:c r="P1512" s="6">
        <x:v>46283</x:v>
      </x:c>
      <x:c r="Q1512" s="6">
        <x:v>46296.99548923611</x:v>
      </x:c>
      <x:c r="R1512" s="0"/>
      <x:c r="S1512" s="0"/>
      <x:c r="T1512" s="0"/>
      <x:c r="U1512" s="0"/>
      <x:c r="V1512" s="0"/>
      <x:c r="W1512" s="0"/>
      <x:c r="X1512" t="str" s="2">
        <x:v>405-953-6676</x:v>
      </x:c>
      <x:c r="Y1512" t="str" s="2">
        <x:v>feliciacontreras82@gmail.com</x:v>
      </x:c>
      <x:c r="Z1512" s="6">
        <x:v>46307.81631724537</x:v>
      </x:c>
      <x:c r="AA1512" t="str" s="2">
        <x:v>Devon McCoy</x:v>
      </x:c>
      <x:c r="AB1512" s="6">
        <x:v>46283.599697453705</x:v>
      </x:c>
      <x:c r="AC1512" t="n" s="2">
        <x:v>40131</x:v>
      </x:c>
      <x:c r="AD1512" s="0"/>
      <x:c r="AE1512" s="0"/>
      <x:c r="AF1512" s="0"/>
      <x:c r="AG1512" s="0"/>
      <x:c r="AH1512" s="0"/>
      <x:c r="AI1512" s="0"/>
      <x:c r="AJ1512" s="0"/>
      <x:c r="AK1512" s="0"/>
    </x:row>
    <x:row r="1513">
      <x:c r="A1513" t="str" s="2">
        <x:f>=HYPERLINK("https://rsms.futurehomex.com/lead/40132", "Eric Haines")</x:f>
      </x:c>
      <x:c r="B1513" t="n" s="2">
        <x:v>25</x:v>
      </x:c>
      <x:c r="C1513" t="str" s="2">
        <x:v>0/5</x:v>
      </x:c>
      <x:c r="D1513" t="str" s="2">
        <x:f>=""</x:f>
      </x:c>
      <x:c r="E1513" s="0"/>
      <x:c r="F1513" t="str" s="2">
        <x:v>Youtube</x:v>
      </x:c>
      <x:c r="G1513" t="str" s="2">
        <x:v>Heritage Housing of Oklahoma City</x:v>
      </x:c>
      <x:c r="H1513" t="str" s="2">
        <x:v>Noemi Rojo</x:v>
      </x:c>
      <x:c r="I1513" s="0"/>
      <x:c r="J1513" s="0"/>
      <x:c r="K1513" t="n" s="2">
        <x:v>5</x:v>
      </x:c>
      <x:c r="L1513" t="str" s="2">
        <x:v>1.1</x:v>
      </x:c>
      <x:c r="M1513" t="str" s="2">
        <x:v>Tentative</x:v>
      </x:c>
      <x:c r="N1513" t="str" s="2">
        <x:v>Deal Created</x:v>
      </x:c>
      <x:c r="O1513" s="0"/>
      <x:c r="P1513" s="6">
        <x:v>46283</x:v>
      </x:c>
      <x:c r="Q1513" s="6">
        <x:v>46297.87173707176</x:v>
      </x:c>
      <x:c r="R1513" s="0"/>
      <x:c r="S1513" s="0"/>
      <x:c r="T1513" s="0"/>
      <x:c r="U1513" s="0"/>
      <x:c r="V1513" s="0"/>
      <x:c r="W1513" s="0"/>
      <x:c r="X1513" t="str" s="2">
        <x:v>57</x:v>
      </x:c>
      <x:c r="Y1513" t="str" s="2">
        <x:v>haineseric222@gmail.com</x:v>
      </x:c>
      <x:c r="Z1513" s="6">
        <x:v>46301.72131273148</x:v>
      </x:c>
      <x:c r="AA1513" t="str" s="2">
        <x:v>Noemi Rojo</x:v>
      </x:c>
      <x:c r="AB1513" s="6">
        <x:v>46283.600996608795</x:v>
      </x:c>
      <x:c r="AC1513" t="n" s="2">
        <x:v>40132</x:v>
      </x:c>
      <x:c r="AD1513" s="0"/>
      <x:c r="AE1513" s="0"/>
      <x:c r="AF1513" s="0"/>
      <x:c r="AG1513" s="0"/>
      <x:c r="AH1513" s="0"/>
      <x:c r="AI1513" s="0"/>
      <x:c r="AJ1513" s="0"/>
      <x:c r="AK1513" s="0"/>
    </x:row>
    <x:row r="1514">
      <x:c r="A1514" t="str" s="2">
        <x:f>=HYPERLINK("https://rsms.futurehomex.com/lead/40133", "Trudy McKenzie")</x:f>
      </x:c>
      <x:c r="B1514" t="n" s="2">
        <x:v>25</x:v>
      </x:c>
      <x:c r="C1514" t="str" s="2">
        <x:v>0/2</x:v>
      </x:c>
      <x:c r="D1514" t="str" s="2">
        <x:f>=""</x:f>
      </x:c>
      <x:c r="E1514" s="0"/>
      <x:c r="F1514" t="str" s="2">
        <x:v>Walk-in</x:v>
      </x:c>
      <x:c r="G1514" t="str" s="2">
        <x:v>Heritage Housing of Jennings</x:v>
      </x:c>
      <x:c r="H1514" t="str" s="2">
        <x:v>Mervin Leslie Smith</x:v>
      </x:c>
      <x:c r="I1514" s="0"/>
      <x:c r="J1514" t="str" s="2">
        <x:v>Mervin Leslie Smith</x:v>
      </x:c>
      <x:c r="K1514" t="n" s="2">
        <x:v>5</x:v>
      </x:c>
      <x:c r="L1514" t="str" s="2">
        <x:v>1.1</x:v>
      </x:c>
      <x:c r="M1514" t="str" s="2">
        <x:v>Inactive</x:v>
      </x:c>
      <x:c r="N1514" t="str" s="2">
        <x:v>Deal Created</x:v>
      </x:c>
      <x:c r="O1514" s="0"/>
      <x:c r="P1514" s="6">
        <x:v>46283</x:v>
      </x:c>
      <x:c r="Q1514" s="6">
        <x:v>46283.607747256945</x:v>
      </x:c>
      <x:c r="R1514" s="0"/>
      <x:c r="S1514" s="0"/>
      <x:c r="T1514" s="0"/>
      <x:c r="U1514" s="0"/>
      <x:c r="V1514" s="0"/>
      <x:c r="W1514" s="0"/>
      <x:c r="X1514" t="str" s="2">
        <x:v>3373701749</x:v>
      </x:c>
      <x:c r="Y1514" t="str" s="2">
        <x:v>tdiane35@gmail.com</x:v>
      </x:c>
      <x:c r="Z1514" s="6">
        <x:v>46289.812681400464</x:v>
      </x:c>
      <x:c r="AA1514" t="str" s="2">
        <x:v>Mervin Leslie Smith</x:v>
      </x:c>
      <x:c r="AB1514" s="6">
        <x:v>46283.6077491088</x:v>
      </x:c>
      <x:c r="AC1514" t="n" s="2">
        <x:v>40133</x:v>
      </x:c>
      <x:c r="AD1514" s="0"/>
      <x:c r="AE1514" s="0"/>
      <x:c r="AF1514" s="0"/>
      <x:c r="AG1514" s="0"/>
      <x:c r="AH1514" s="0"/>
      <x:c r="AI1514" s="0"/>
      <x:c r="AJ1514" s="0"/>
      <x:c r="AK1514" s="0"/>
    </x:row>
    <x:row r="1515">
      <x:c r="A1515" t="str" s="2">
        <x:f>=HYPERLINK("https://rsms.futurehomex.com/lead/40135", "Janet Priddy")</x:f>
      </x:c>
      <x:c r="B1515" t="n" s="2">
        <x:v>25</x:v>
      </x:c>
      <x:c r="C1515" t="str" s="2">
        <x:v>0/4</x:v>
      </x:c>
      <x:c r="D1515" t="str" s="2">
        <x:f>=""</x:f>
      </x:c>
      <x:c r="E1515" s="0"/>
      <x:c r="F1515" t="str" s="2">
        <x:v>Walk-in</x:v>
      </x:c>
      <x:c r="G1515" t="str" s="2">
        <x:v>Heritage Housing of Canton</x:v>
      </x:c>
      <x:c r="H1515" t="str" s="2">
        <x:v>Maira Garcia</x:v>
      </x:c>
      <x:c r="I1515" s="0"/>
      <x:c r="J1515" t="str" s="2">
        <x:v>Maira Garcia</x:v>
      </x:c>
      <x:c r="K1515" t="n" s="2">
        <x:v>80</x:v>
      </x:c>
      <x:c r="L1515" t="str" s="2">
        <x:v>5.3</x:v>
      </x:c>
      <x:c r="M1515" t="str" s="2">
        <x:v>Closed</x:v>
      </x:c>
      <x:c r="N1515" t="str" s="2">
        <x:v>Pending Delivery</x:v>
      </x:c>
      <x:c r="O1515" s="6">
        <x:v>46307</x:v>
      </x:c>
      <x:c r="P1515" s="6">
        <x:v>46283</x:v>
      </x:c>
      <x:c r="Q1515" s="6">
        <x:v>46308.66968151621</x:v>
      </x:c>
      <x:c r="R1515" s="0"/>
      <x:c r="S1515" s="6">
        <x:v>46235</x:v>
      </x:c>
      <x:c r="T1515" s="0"/>
      <x:c r="U1515" s="6">
        <x:v>46297</x:v>
      </x:c>
      <x:c r="V1515" s="0"/>
      <x:c r="W1515" s="0"/>
      <x:c r="X1515" t="str" s="2">
        <x:v>9037038762</x:v>
      </x:c>
      <x:c r="Y1515" t="str" s="2">
        <x:v>jjphotography92@gmail.com</x:v>
      </x:c>
      <x:c r="Z1515" s="6">
        <x:v>46308.67428452546</x:v>
      </x:c>
      <x:c r="AA1515" t="str" s="2">
        <x:v>Meliza Banda</x:v>
      </x:c>
      <x:c r="AB1515" s="6">
        <x:v>46283.62514290509</x:v>
      </x:c>
      <x:c r="AC1515" t="n" s="2">
        <x:v>40135</x:v>
      </x:c>
      <x:c r="AD1515" t="str" s="2">
        <x:v>Singlewide</x:v>
      </x:c>
      <x:c r="AE1515" t="str" s="2">
        <x:v>Legacy Housing Corporation</x:v>
      </x:c>
      <x:c r="AF1515" s="7">
        <x:v>65000</x:v>
      </x:c>
      <x:c r="AG1515" s="7">
        <x:v>65000</x:v>
      </x:c>
      <x:c r="AH1515" s="7">
        <x:v>65000</x:v>
      </x:c>
      <x:c r="AI1515" t="str" s="2">
        <x:v>774</x:v>
      </x:c>
      <x:c r="AJ1515" s="0"/>
      <x:c r="AK1515" s="0"/>
    </x:row>
    <x:row r="1516">
      <x:c r="A1516" t="str" s="2">
        <x:f>=HYPERLINK("https://rsms.futurehomex.com/lead/40136", "Anjera Blackwell")</x:f>
      </x:c>
      <x:c r="B1516" t="n" s="2">
        <x:v>25</x:v>
      </x:c>
      <x:c r="C1516" t="str" s="2">
        <x:v/>
      </x:c>
      <x:c r="D1516" t="str" s="2">
        <x:f>=""</x:f>
      </x:c>
      <x:c r="E1516" s="0"/>
      <x:c r="F1516" t="str" s="2">
        <x:v>Walk-in</x:v>
      </x:c>
      <x:c r="G1516" t="str" s="2">
        <x:v>Heritage Housing of Athens</x:v>
      </x:c>
      <x:c r="H1516" t="str" s="2">
        <x:v>Ethan Fossett</x:v>
      </x:c>
      <x:c r="I1516" s="0"/>
      <x:c r="J1516" s="0"/>
      <x:c r="K1516" t="n" s="2">
        <x:v>5</x:v>
      </x:c>
      <x:c r="L1516" t="str" s="2">
        <x:v>1.1</x:v>
      </x:c>
      <x:c r="M1516" t="str" s="2">
        <x:v>Active</x:v>
      </x:c>
      <x:c r="N1516" t="str" s="2">
        <x:v>Prospect</x:v>
      </x:c>
      <x:c r="O1516" s="0"/>
      <x:c r="P1516" s="6">
        <x:v>46283</x:v>
      </x:c>
      <x:c r="Q1516" s="6">
        <x:v>46287.84852866898</x:v>
      </x:c>
      <x:c r="R1516" s="0"/>
      <x:c r="S1516" s="6">
        <x:v>46317</x:v>
      </x:c>
      <x:c r="T1516" s="0"/>
      <x:c r="U1516" s="0"/>
      <x:c r="V1516" s="0"/>
      <x:c r="W1516" s="0"/>
      <x:c r="X1516" t="str" s="2">
        <x:v>7064369858</x:v>
      </x:c>
      <x:c r="Y1516" t="str" s="2">
        <x:v>anjerablackwell03@yahoo.com</x:v>
      </x:c>
      <x:c r="Z1516" s="6">
        <x:v>46296.70087314815</x:v>
      </x:c>
      <x:c r="AA1516" t="str" s="2">
        <x:v>Ethan Fossett</x:v>
      </x:c>
      <x:c r="AB1516" s="6">
        <x:v>46283.652114386576</x:v>
      </x:c>
      <x:c r="AC1516" t="n" s="2">
        <x:v>40136</x:v>
      </x:c>
      <x:c r="AD1516" s="0"/>
      <x:c r="AE1516" s="0"/>
      <x:c r="AF1516" s="0"/>
      <x:c r="AG1516" s="0"/>
      <x:c r="AH1516" s="0"/>
      <x:c r="AI1516" s="0"/>
      <x:c r="AJ1516" s="0"/>
      <x:c r="AK1516" s="0"/>
    </x:row>
    <x:row r="1517">
      <x:c r="A1517" t="str" s="2">
        <x:f>=HYPERLINK("https://rsms.futurehomex.com/lead/40137", "KURT JACKSON")</x:f>
      </x:c>
      <x:c r="B1517" t="n" s="2">
        <x:v>25</x:v>
      </x:c>
      <x:c r="C1517" t="str" s="2">
        <x:v>1/2</x:v>
      </x:c>
      <x:c r="D1517" t="str" s="2">
        <x:f>=""</x:f>
      </x:c>
      <x:c r="E1517" s="0"/>
      <x:c r="F1517" t="str" s="2">
        <x:v>Facebook Messenger</x:v>
      </x:c>
      <x:c r="G1517" t="str" s="2">
        <x:v>Heritage Housing of Canton</x:v>
      </x:c>
      <x:c r="H1517" t="str" s="2">
        <x:v>Jacob Hatten</x:v>
      </x:c>
      <x:c r="I1517" s="0"/>
      <x:c r="J1517" t="str" s="2">
        <x:v>Jacob Hatten</x:v>
      </x:c>
      <x:c r="K1517" t="n" s="2">
        <x:v>38</x:v>
      </x:c>
      <x:c r="L1517" t="str" s="2">
        <x:v>3.2</x:v>
      </x:c>
      <x:c r="M1517" t="str" s="2">
        <x:v>Dead</x:v>
      </x:c>
      <x:c r="N1517" t="str" s="2">
        <x:v>Application</x:v>
      </x:c>
      <x:c r="O1517" s="0"/>
      <x:c r="P1517" s="6">
        <x:v>46283</x:v>
      </x:c>
      <x:c r="Q1517" s="6">
        <x:v>46288.66263734954</x:v>
      </x:c>
      <x:c r="R1517" s="0"/>
      <x:c r="S1517" s="0"/>
      <x:c r="T1517" s="0"/>
      <x:c r="U1517" s="0"/>
      <x:c r="V1517" s="0"/>
      <x:c r="W1517" s="0"/>
      <x:c r="X1517" t="str" s="2">
        <x:v>9034676589</x:v>
      </x:c>
      <x:c r="Y1517" t="str" s="2">
        <x:v>truckbluejack@yahoo.com</x:v>
      </x:c>
      <x:c r="Z1517" s="6">
        <x:v>46288.93559386574</x:v>
      </x:c>
      <x:c r="AA1517" t="str" s="2">
        <x:v>Meliza Banda</x:v>
      </x:c>
      <x:c r="AB1517" s="6">
        <x:v>46283.66451582176</x:v>
      </x:c>
      <x:c r="AC1517" t="n" s="2">
        <x:v>40137</x:v>
      </x:c>
      <x:c r="AD1517" t="str" s="2">
        <x:v>Doublewide</x:v>
      </x:c>
      <x:c r="AE1517" t="str" s="2">
        <x:v>Legacy Housing Corporation</x:v>
      </x:c>
      <x:c r="AF1517" s="7">
        <x:v>25000</x:v>
      </x:c>
      <x:c r="AG1517" s="7">
        <x:v>25000</x:v>
      </x:c>
      <x:c r="AH1517" s="0"/>
      <x:c r="AI1517" t="str" s="2">
        <x:v>605</x:v>
      </x:c>
      <x:c r="AJ1517" s="0"/>
      <x:c r="AK1517" s="0"/>
    </x:row>
    <x:row r="1518">
      <x:c r="A1518" t="str" s="2">
        <x:f>=HYPERLINK("https://rsms.futurehomex.com/lead/40138", "Jalinthya Wade")</x:f>
      </x:c>
      <x:c r="B1518" t="n" s="2">
        <x:v>25</x:v>
      </x:c>
      <x:c r="C1518" t="str" s="2">
        <x:v>0/1</x:v>
      </x:c>
      <x:c r="D1518" t="str" s="2">
        <x:f>=""</x:f>
      </x:c>
      <x:c r="E1518" s="0"/>
      <x:c r="F1518" t="str" s="2">
        <x:v>Landing_BPM</x:v>
      </x:c>
      <x:c r="G1518" t="str" s="2">
        <x:v>Heritage Housing of Athens</x:v>
      </x:c>
      <x:c r="H1518" t="str" s="2">
        <x:v>Nathan Bishop</x:v>
      </x:c>
      <x:c r="I1518" s="0"/>
      <x:c r="J1518" t="str" s="2">
        <x:v>Nathan Bishop</x:v>
      </x:c>
      <x:c r="K1518" t="n" s="2">
        <x:v>5</x:v>
      </x:c>
      <x:c r="L1518" t="str" s="2">
        <x:v>1.1</x:v>
      </x:c>
      <x:c r="M1518" t="str" s="2">
        <x:v>Tentative</x:v>
      </x:c>
      <x:c r="N1518" t="str" s="2">
        <x:v>Prospect</x:v>
      </x:c>
      <x:c r="O1518" s="0"/>
      <x:c r="P1518" s="6">
        <x:v>46283</x:v>
      </x:c>
      <x:c r="Q1518" s="6">
        <x:v>46283.667869212964</x:v>
      </x:c>
      <x:c r="R1518" s="0"/>
      <x:c r="S1518" s="0"/>
      <x:c r="T1518" s="0"/>
      <x:c r="U1518" s="0"/>
      <x:c r="V1518" s="0"/>
      <x:c r="W1518" s="0"/>
      <x:c r="X1518" t="str" s="2">
        <x:v>4784349642</x:v>
      </x:c>
      <x:c r="Y1518" t="str" s="2">
        <x:v>cicijadyn127@gmail.com</x:v>
      </x:c>
      <x:c r="Z1518" s="6">
        <x:v>46300.88962369213</x:v>
      </x:c>
      <x:c r="AA1518" t="str" s="2">
        <x:v>Nathan Bishop</x:v>
      </x:c>
      <x:c r="AB1518" s="6">
        <x:v>46283.667869756944</x:v>
      </x:c>
      <x:c r="AC1518" t="n" s="2">
        <x:v>40138</x:v>
      </x:c>
      <x:c r="AD1518" s="0"/>
      <x:c r="AE1518" s="0"/>
      <x:c r="AF1518" s="0"/>
      <x:c r="AG1518" s="0"/>
      <x:c r="AH1518" s="0"/>
      <x:c r="AI1518" s="0"/>
      <x:c r="AJ1518" s="0"/>
      <x:c r="AK1518" s="0"/>
    </x:row>
    <x:row r="1519">
      <x:c r="A1519" t="str" s="2">
        <x:f>=HYPERLINK("https://rsms.futurehomex.com/lead/40140", "Cathy Metty")</x:f>
      </x:c>
      <x:c r="B1519" t="n" s="2">
        <x:v>25</x:v>
      </x:c>
      <x:c r="C1519" t="str" s="2">
        <x:v/>
      </x:c>
      <x:c r="D1519" t="str" s="2">
        <x:f>=""</x:f>
      </x:c>
      <x:c r="E1519" s="0"/>
      <x:c r="F1519" t="str" s="2">
        <x:v>Facebook Messenger</x:v>
      </x:c>
      <x:c r="G1519" t="str" s="2">
        <x:v>Heritage Housing of Asheboro</x:v>
      </x:c>
      <x:c r="H1519" t="str" s="2">
        <x:v>Maria Lopez</x:v>
      </x:c>
      <x:c r="I1519" t="str" s="2">
        <x:v>Karol Romero</x:v>
      </x:c>
      <x:c r="J1519" s="0"/>
      <x:c r="K1519" t="n" s="2">
        <x:v>100</x:v>
      </x:c>
      <x:c r="L1519" t="str" s="2">
        <x:v>6.2</x:v>
      </x:c>
      <x:c r="M1519" t="str" s="2">
        <x:v>Closed</x:v>
      </x:c>
      <x:c r="N1519" t="str" s="2">
        <x:v>Delivered</x:v>
      </x:c>
      <x:c r="O1519" s="6">
        <x:v>46278</x:v>
      </x:c>
      <x:c r="P1519" s="6">
        <x:v>46283</x:v>
      </x:c>
      <x:c r="Q1519" s="6">
        <x:v>46294.6858034375</x:v>
      </x:c>
      <x:c r="R1519" s="0"/>
      <x:c r="S1519" s="0"/>
      <x:c r="T1519" s="0"/>
      <x:c r="U1519" s="6">
        <x:v>46283</x:v>
      </x:c>
      <x:c r="V1519" s="0"/>
      <x:c r="W1519" s="6">
        <x:v>46295</x:v>
      </x:c>
      <x:c r="X1519" t="str" s="2">
        <x:v>9419624174</x:v>
      </x:c>
      <x:c r="Y1519" t="str" s="2">
        <x:v>sissym0508@yahoo.com</x:v>
      </x:c>
      <x:c r="Z1519" s="6">
        <x:v>46284.60519221065</x:v>
      </x:c>
      <x:c r="AA1519" t="str" s="2">
        <x:v>Jeremy Jacques</x:v>
      </x:c>
      <x:c r="AB1519" s="6">
        <x:v>46283.682366863424</x:v>
      </x:c>
      <x:c r="AC1519" t="n" s="2">
        <x:v>40140</x:v>
      </x:c>
      <x:c r="AD1519" t="str" s="2">
        <x:v>Doublewide</x:v>
      </x:c>
      <x:c r="AE1519" t="str" s="2">
        <x:v>Legacy Housing Corporation</x:v>
      </x:c>
      <x:c r="AF1519" s="7">
        <x:v>13000</x:v>
      </x:c>
      <x:c r="AG1519" s="0"/>
      <x:c r="AH1519" s="0"/>
      <x:c r="AI1519" s="0"/>
      <x:c r="AJ1519" s="0"/>
      <x:c r="AK1519" s="0"/>
    </x:row>
    <x:row r="1520">
      <x:c r="A1520" t="str" s="2">
        <x:f>=HYPERLINK("https://rsms.futurehomex.com/lead/40141", "Janice Kelley")</x:f>
      </x:c>
      <x:c r="B1520" t="n" s="2">
        <x:v>25</x:v>
      </x:c>
      <x:c r="C1520" t="str" s="2">
        <x:v/>
      </x:c>
      <x:c r="D1520" t="str" s="2">
        <x:f>=""</x:f>
      </x:c>
      <x:c r="E1520" s="0"/>
      <x:c r="F1520" t="str" s="2">
        <x:v>Walk-in</x:v>
      </x:c>
      <x:c r="G1520" t="str" s="2">
        <x:v>Heritage Housing of Oklahoma City</x:v>
      </x:c>
      <x:c r="H1520" t="str" s="2">
        <x:v>Alejandra Calderon</x:v>
      </x:c>
      <x:c r="I1520" t="str" s="2">
        <x:v>Karol Romero</x:v>
      </x:c>
      <x:c r="J1520" s="0"/>
      <x:c r="K1520" t="n" s="2">
        <x:v>5</x:v>
      </x:c>
      <x:c r="L1520" t="str" s="2">
        <x:v>1.1</x:v>
      </x:c>
      <x:c r="M1520" t="str" s="2">
        <x:v>Tentative</x:v>
      </x:c>
      <x:c r="N1520" t="str" s="2">
        <x:v>Prospect</x:v>
      </x:c>
      <x:c r="O1520" s="0"/>
      <x:c r="P1520" s="6">
        <x:v>46283</x:v>
      </x:c>
      <x:c r="Q1520" s="6">
        <x:v>46283.695888194445</x:v>
      </x:c>
      <x:c r="R1520" s="0"/>
      <x:c r="S1520" s="6">
        <x:v>46283</x:v>
      </x:c>
      <x:c r="T1520" s="0"/>
      <x:c r="U1520" s="0"/>
      <x:c r="V1520" s="0"/>
      <x:c r="W1520" s="0"/>
      <x:c r="X1520" t="str" s="2">
        <x:v>4056962839</x:v>
      </x:c>
      <x:c r="Y1520" t="str" s="2">
        <x:v>jkelley0424@gmail.com</x:v>
      </x:c>
      <x:c r="Z1520" s="0"/>
      <x:c r="AA1520" s="0"/>
      <x:c r="AB1520" s="6">
        <x:v>46283.694271875</x:v>
      </x:c>
      <x:c r="AC1520" t="n" s="2">
        <x:v>40141</x:v>
      </x:c>
      <x:c r="AD1520" s="0"/>
      <x:c r="AE1520" s="0"/>
      <x:c r="AF1520" s="0"/>
      <x:c r="AG1520" s="0"/>
      <x:c r="AH1520" s="0"/>
      <x:c r="AI1520" s="0"/>
      <x:c r="AJ1520" s="0"/>
      <x:c r="AK1520" s="0"/>
    </x:row>
    <x:row r="1521">
      <x:c r="A1521" t="str" s="2">
        <x:f>=HYPERLINK("https://rsms.futurehomex.com/lead/40143", "Sylvia Norton")</x:f>
      </x:c>
      <x:c r="B1521" t="n" s="2">
        <x:v>25</x:v>
      </x:c>
      <x:c r="C1521" t="str" s="2">
        <x:v/>
      </x:c>
      <x:c r="D1521" t="str" s="2">
        <x:f>=""</x:f>
      </x:c>
      <x:c r="E1521" s="0"/>
      <x:c r="F1521" t="str" s="2">
        <x:v>Walk-in</x:v>
      </x:c>
      <x:c r="G1521" t="str" s="2">
        <x:v>Heritage Housing of Athens</x:v>
      </x:c>
      <x:c r="H1521" t="str" s="2">
        <x:v>Ethan Fossett</x:v>
      </x:c>
      <x:c r="I1521" s="0"/>
      <x:c r="J1521" s="0"/>
      <x:c r="K1521" t="n" s="2">
        <x:v>5</x:v>
      </x:c>
      <x:c r="L1521" t="str" s="2">
        <x:v>1.1</x:v>
      </x:c>
      <x:c r="M1521" t="str" s="2">
        <x:v>Tentative</x:v>
      </x:c>
      <x:c r="N1521" t="str" s="2">
        <x:v>Prospect</x:v>
      </x:c>
      <x:c r="O1521" s="0"/>
      <x:c r="P1521" s="6">
        <x:v>46283</x:v>
      </x:c>
      <x:c r="Q1521" s="6">
        <x:v>46283.75004753472</x:v>
      </x:c>
      <x:c r="R1521" s="0"/>
      <x:c r="S1521" s="0"/>
      <x:c r="T1521" s="0"/>
      <x:c r="U1521" s="0"/>
      <x:c r="V1521" s="0"/>
      <x:c r="W1521" s="0"/>
      <x:c r="X1521" t="str" s="2">
        <x:v>7064241220</x:v>
      </x:c>
      <x:c r="Y1521" t="str" s="2">
        <x:v>nortonsylvia235@gmail.com</x:v>
      </x:c>
      <x:c r="Z1521" s="0"/>
      <x:c r="AA1521" s="0"/>
      <x:c r="AB1521" s="6">
        <x:v>46283.750048229165</x:v>
      </x:c>
      <x:c r="AC1521" t="n" s="2">
        <x:v>40143</x:v>
      </x:c>
      <x:c r="AD1521" s="0"/>
      <x:c r="AE1521" s="0"/>
      <x:c r="AF1521" s="0"/>
      <x:c r="AG1521" s="0"/>
      <x:c r="AH1521" s="0"/>
      <x:c r="AI1521" s="0"/>
      <x:c r="AJ1521" s="0"/>
      <x:c r="AK1521" s="0"/>
    </x:row>
    <x:row r="1522">
      <x:c r="A1522" t="str" s="2">
        <x:f>=HYPERLINK("https://rsms.futurehomex.com/lead/40144", "LaTonya Whiting")</x:f>
      </x:c>
      <x:c r="B1522" t="n" s="2">
        <x:v>25</x:v>
      </x:c>
      <x:c r="C1522" t="str" s="2">
        <x:v/>
      </x:c>
      <x:c r="D1522" t="str" s="2">
        <x:f>=""</x:f>
      </x:c>
      <x:c r="E1522" s="0"/>
      <x:c r="F1522" t="str" s="2">
        <x:v>Walk-in</x:v>
      </x:c>
      <x:c r="G1522" t="str" s="2">
        <x:v>Heritage Housing of Augusta</x:v>
      </x:c>
      <x:c r="H1522" t="str" s="2">
        <x:v>Faye Lively</x:v>
      </x:c>
      <x:c r="I1522" s="0"/>
      <x:c r="J1522" s="0"/>
      <x:c r="K1522" t="n" s="2">
        <x:v>5</x:v>
      </x:c>
      <x:c r="L1522" t="str" s="2">
        <x:v>1.1</x:v>
      </x:c>
      <x:c r="M1522" t="str" s="2">
        <x:v>Tentative</x:v>
      </x:c>
      <x:c r="N1522" t="str" s="2">
        <x:v>Prospect</x:v>
      </x:c>
      <x:c r="O1522" s="0"/>
      <x:c r="P1522" s="6">
        <x:v>46283</x:v>
      </x:c>
      <x:c r="Q1522" s="6">
        <x:v>46283.76340173611</x:v>
      </x:c>
      <x:c r="R1522" s="0"/>
      <x:c r="S1522" s="0"/>
      <x:c r="T1522" s="0"/>
      <x:c r="U1522" s="0"/>
      <x:c r="V1522" s="0"/>
      <x:c r="W1522" s="0"/>
      <x:c r="X1522" t="str" s="2">
        <x:v>7068881599</x:v>
      </x:c>
      <x:c r="Y1522" t="str" s="2">
        <x:v>whitinglatonya@gnail.com</x:v>
      </x:c>
      <x:c r="Z1522" s="0"/>
      <x:c r="AA1522" s="0"/>
      <x:c r="AB1522" s="6">
        <x:v>46283.763402199074</x:v>
      </x:c>
      <x:c r="AC1522" t="n" s="2">
        <x:v>40144</x:v>
      </x:c>
      <x:c r="AD1522" s="0"/>
      <x:c r="AE1522" s="0"/>
      <x:c r="AF1522" s="0"/>
      <x:c r="AG1522" s="0"/>
      <x:c r="AH1522" s="0"/>
      <x:c r="AI1522" s="0"/>
      <x:c r="AJ1522" s="0"/>
      <x:c r="AK1522" s="0"/>
    </x:row>
    <x:row r="1523">
      <x:c r="A1523" t="str" s="2">
        <x:f>=HYPERLINK("https://rsms.futurehomex.com/lead/40145", "Quintrell Kuria")</x:f>
      </x:c>
      <x:c r="B1523" t="n" s="2">
        <x:v>25</x:v>
      </x:c>
      <x:c r="C1523" t="str" s="2">
        <x:v>1/5</x:v>
      </x:c>
      <x:c r="D1523" t="str" s="2">
        <x:f>=""</x:f>
      </x:c>
      <x:c r="E1523" s="0"/>
      <x:c r="F1523" t="str" s="2">
        <x:v>Facebook Messenger</x:v>
      </x:c>
      <x:c r="G1523" t="str" s="2">
        <x:v>Heritage Housing of Canton</x:v>
      </x:c>
      <x:c r="H1523" t="str" s="2">
        <x:v>Adriana Jaimes-Martinez</x:v>
      </x:c>
      <x:c r="I1523" s="0"/>
      <x:c r="J1523" t="str" s="2">
        <x:v>Maira Garcia</x:v>
      </x:c>
      <x:c r="K1523" t="n" s="2">
        <x:v>38</x:v>
      </x:c>
      <x:c r="L1523" t="str" s="2">
        <x:v>3.2</x:v>
      </x:c>
      <x:c r="M1523" t="str" s="2">
        <x:v>Dead</x:v>
      </x:c>
      <x:c r="N1523" t="str" s="2">
        <x:v>Application</x:v>
      </x:c>
      <x:c r="O1523" s="0"/>
      <x:c r="P1523" s="6">
        <x:v>46283</x:v>
      </x:c>
      <x:c r="Q1523" s="6">
        <x:v>46286.66344267361</x:v>
      </x:c>
      <x:c r="R1523" s="0"/>
      <x:c r="S1523" s="6">
        <x:v>46105</x:v>
      </x:c>
      <x:c r="T1523" s="0"/>
      <x:c r="U1523" s="0"/>
      <x:c r="V1523" s="0"/>
      <x:c r="W1523" s="0"/>
      <x:c r="X1523" t="str" s="2">
        <x:v>9729714339</x:v>
      </x:c>
      <x:c r="Y1523" t="str" s="2">
        <x:v>9729714339</x:v>
      </x:c>
      <x:c r="Z1523" s="6">
        <x:v>46293.98102908565</x:v>
      </x:c>
      <x:c r="AA1523" t="str" s="2">
        <x:v>Adriana Jaimes-Martinez</x:v>
      </x:c>
      <x:c r="AB1523" s="6">
        <x:v>46283.771965127315</x:v>
      </x:c>
      <x:c r="AC1523" t="n" s="2">
        <x:v>40145</x:v>
      </x:c>
      <x:c r="AD1523" t="str" s="2">
        <x:v>Singlewide</x:v>
      </x:c>
      <x:c r="AE1523" t="str" s="2">
        <x:v>Legacy Housing Corporation</x:v>
      </x:c>
      <x:c r="AF1523" s="7">
        <x:v>13800</x:v>
      </x:c>
      <x:c r="AG1523" s="7">
        <x:v>13800</x:v>
      </x:c>
      <x:c r="AH1523" s="7">
        <x:v>7500</x:v>
      </x:c>
      <x:c r="AI1523" s="0"/>
      <x:c r="AJ1523" s="0"/>
      <x:c r="AK1523" s="0"/>
    </x:row>
    <x:row r="1524">
      <x:c r="A1524" t="str" s="2">
        <x:f>=HYPERLINK("https://rsms.futurehomex.com/lead/40146", "Chris Thompson")</x:f>
      </x:c>
      <x:c r="B1524" t="n" s="2">
        <x:v>25</x:v>
      </x:c>
      <x:c r="C1524" t="str" s="2">
        <x:v>1/1</x:v>
      </x:c>
      <x:c r="D1524" t="str" s="2">
        <x:f>="NEED DP"</x:f>
      </x:c>
      <x:c r="E1524" s="0"/>
      <x:c r="F1524" t="str" s="2">
        <x:v>Walk-in</x:v>
      </x:c>
      <x:c r="G1524" t="str" s="2">
        <x:v>Heritage Housing Gainesville</x:v>
      </x:c>
      <x:c r="H1524" t="str" s="2">
        <x:v>Kelly Ford</x:v>
      </x:c>
      <x:c r="I1524" s="0"/>
      <x:c r="J1524" t="str" s="2">
        <x:v>Kelly Ford</x:v>
      </x:c>
      <x:c r="K1524" t="n" s="2">
        <x:v>5</x:v>
      </x:c>
      <x:c r="L1524" t="str" s="2">
        <x:v>1.1</x:v>
      </x:c>
      <x:c r="M1524" t="str" s="2">
        <x:v>Active</x:v>
      </x:c>
      <x:c r="N1524" t="str" s="2">
        <x:v>Deal Created</x:v>
      </x:c>
      <x:c r="O1524" s="0"/>
      <x:c r="P1524" s="6">
        <x:v>46283</x:v>
      </x:c>
      <x:c r="Q1524" s="6">
        <x:v>46283.77293637732</x:v>
      </x:c>
      <x:c r="R1524" s="0"/>
      <x:c r="S1524" s="6">
        <x:v>46283</x:v>
      </x:c>
      <x:c r="T1524" s="0"/>
      <x:c r="U1524" s="0"/>
      <x:c r="V1524" s="0"/>
      <x:c r="W1524" s="0"/>
      <x:c r="X1524" t="str" s="2">
        <x:v>9404436852</x:v>
      </x:c>
      <x:c r="Y1524" t="str" s="2">
        <x:v>chris2002chevy@gmail.com</x:v>
      </x:c>
      <x:c r="Z1524" s="6">
        <x:v>46283.77456489583</x:v>
      </x:c>
      <x:c r="AA1524" t="str" s="2">
        <x:v>Kelly Ford</x:v>
      </x:c>
      <x:c r="AB1524" s="6">
        <x:v>46283.77293788194</x:v>
      </x:c>
      <x:c r="AC1524" t="n" s="2">
        <x:v>40146</x:v>
      </x:c>
      <x:c r="AD1524" s="0"/>
      <x:c r="AE1524" s="0"/>
      <x:c r="AF1524" s="0"/>
      <x:c r="AG1524" s="0"/>
      <x:c r="AH1524" s="0"/>
      <x:c r="AI1524" s="0"/>
      <x:c r="AJ1524" s="0"/>
      <x:c r="AK1524" s="0"/>
    </x:row>
    <x:row r="1525">
      <x:c r="A1525" t="str" s="2">
        <x:f>=HYPERLINK("https://rsms.futurehomex.com/lead/40147", "Jackie McCray")</x:f>
      </x:c>
      <x:c r="B1525" t="n" s="2">
        <x:v>25</x:v>
      </x:c>
      <x:c r="C1525" t="str" s="2">
        <x:v/>
      </x:c>
      <x:c r="D1525" t="str" s="2">
        <x:f>=""</x:f>
      </x:c>
      <x:c r="E1525" t="str" s="2">
        <x:v>Priscilla Johnson</x:v>
      </x:c>
      <x:c r="F1525" t="str" s="2">
        <x:v>Youtube</x:v>
      </x:c>
      <x:c r="G1525" t="str" s="2">
        <x:v>Heritage Housing of Asheboro</x:v>
      </x:c>
      <x:c r="H1525" t="str" s="2">
        <x:v>Kate Gutierrez</x:v>
      </x:c>
      <x:c r="I1525" s="0"/>
      <x:c r="J1525" t="str" s="2">
        <x:v>Kate Gutierrez</x:v>
      </x:c>
      <x:c r="K1525" t="n" s="2">
        <x:v>21</x:v>
      </x:c>
      <x:c r="L1525" t="str" s="2">
        <x:v>2.1</x:v>
      </x:c>
      <x:c r="M1525" t="str" s="2">
        <x:v>Tentative</x:v>
      </x:c>
      <x:c r="N1525" t="str" s="2">
        <x:v>Qualified</x:v>
      </x:c>
      <x:c r="O1525" s="0"/>
      <x:c r="P1525" s="6">
        <x:v>46283</x:v>
      </x:c>
      <x:c r="Q1525" s="6">
        <x:v>46294.714277928244</x:v>
      </x:c>
      <x:c r="R1525" s="0"/>
      <x:c r="S1525" s="0"/>
      <x:c r="T1525" s="0"/>
      <x:c r="U1525" s="0"/>
      <x:c r="V1525" s="0"/>
      <x:c r="W1525" s="0"/>
      <x:c r="X1525" t="str" s="2">
        <x:v>9104032028</x:v>
      </x:c>
      <x:c r="Y1525" t="str" s="2">
        <x:v>pjmac7465@gmail.com</x:v>
      </x:c>
      <x:c r="Z1525" s="6">
        <x:v>46294.714263622685</x:v>
      </x:c>
      <x:c r="AA1525" t="str" s="2">
        <x:v>Jeremy Jacques</x:v>
      </x:c>
      <x:c r="AB1525" s="6">
        <x:v>46283.7805744213</x:v>
      </x:c>
      <x:c r="AC1525" t="n" s="2">
        <x:v>40147</x:v>
      </x:c>
      <x:c r="AD1525" s="0"/>
      <x:c r="AE1525" s="0"/>
      <x:c r="AF1525" s="0"/>
      <x:c r="AG1525" s="0"/>
      <x:c r="AH1525" s="0"/>
      <x:c r="AI1525" s="0"/>
      <x:c r="AJ1525" s="0"/>
      <x:c r="AK1525" s="0"/>
    </x:row>
    <x:row r="1526">
      <x:c r="A1526" t="str" s="2">
        <x:f>=HYPERLINK("https://rsms.futurehomex.com/lead/40148", "Troy LeBlanc")</x:f>
      </x:c>
      <x:c r="B1526" t="n" s="2">
        <x:v>25</x:v>
      </x:c>
      <x:c r="C1526" t="str" s="2">
        <x:v/>
      </x:c>
      <x:c r="D1526" t="str" s="2">
        <x:f>=""</x:f>
      </x:c>
      <x:c r="E1526" s="0"/>
      <x:c r="F1526" t="str" s="2">
        <x:v>Financing Form</x:v>
      </x:c>
      <x:c r="G1526" t="str" s="2">
        <x:v>Heritage Housing of Asheboro</x:v>
      </x:c>
      <x:c r="H1526" t="str" s="2">
        <x:v>Kate Gutierrez</x:v>
      </x:c>
      <x:c r="I1526" s="0"/>
      <x:c r="J1526" t="str" s="2">
        <x:v>Kate Gutierrez</x:v>
      </x:c>
      <x:c r="K1526" t="n" s="2">
        <x:v>5</x:v>
      </x:c>
      <x:c r="L1526" t="str" s="2">
        <x:v>1.1</x:v>
      </x:c>
      <x:c r="M1526" t="str" s="2">
        <x:v>Tentative</x:v>
      </x:c>
      <x:c r="N1526" t="str" s="2">
        <x:v>Prospect</x:v>
      </x:c>
      <x:c r="O1526" s="0"/>
      <x:c r="P1526" s="6">
        <x:v>46283</x:v>
      </x:c>
      <x:c r="Q1526" s="6">
        <x:v>46302.613711261576</x:v>
      </x:c>
      <x:c r="R1526" s="0"/>
      <x:c r="S1526" s="0"/>
      <x:c r="T1526" s="0"/>
      <x:c r="U1526" s="0"/>
      <x:c r="V1526" s="0"/>
      <x:c r="W1526" s="0"/>
      <x:c r="X1526" t="str" s="2">
        <x:v>4092253797</x:v>
      </x:c>
      <x:c r="Y1526" t="str" s="2">
        <x:v>leblanc_troy@yahoo.com</x:v>
      </x:c>
      <x:c r="Z1526" s="6">
        <x:v>46284.81630987269</x:v>
      </x:c>
      <x:c r="AA1526" t="str" s="2">
        <x:v>Kate Gutierrez</x:v>
      </x:c>
      <x:c r="AB1526" s="6">
        <x:v>46283.78321605324</x:v>
      </x:c>
      <x:c r="AC1526" t="n" s="2">
        <x:v>40148</x:v>
      </x:c>
      <x:c r="AD1526" s="0"/>
      <x:c r="AE1526" s="0"/>
      <x:c r="AF1526" s="0"/>
      <x:c r="AG1526" s="0"/>
      <x:c r="AH1526" s="0"/>
      <x:c r="AI1526" s="0"/>
      <x:c r="AJ1526" s="0"/>
      <x:c r="AK1526" s="0"/>
    </x:row>
    <x:row r="1527">
      <x:c r="A1527" t="str" s="2">
        <x:f>=HYPERLINK("https://rsms.futurehomex.com/lead/40149", "Keniyell Frank")</x:f>
      </x:c>
      <x:c r="B1527" t="n" s="2">
        <x:v>25</x:v>
      </x:c>
      <x:c r="C1527" t="str" s="2">
        <x:v>1/1</x:v>
      </x:c>
      <x:c r="D1527" t="str" s="2">
        <x:f>=""</x:f>
      </x:c>
      <x:c r="E1527" s="0"/>
      <x:c r="F1527" t="str" s="2">
        <x:v>Walk-in</x:v>
      </x:c>
      <x:c r="G1527" t="str" s="2">
        <x:v>Heritage Housing of Jennings</x:v>
      </x:c>
      <x:c r="H1527" t="str" s="2">
        <x:v>Clint O'Neal</x:v>
      </x:c>
      <x:c r="I1527" s="0"/>
      <x:c r="J1527" s="0"/>
      <x:c r="K1527" t="n" s="2">
        <x:v>5</x:v>
      </x:c>
      <x:c r="L1527" t="str" s="2">
        <x:v>1.1</x:v>
      </x:c>
      <x:c r="M1527" t="str" s="2">
        <x:v>Tentative</x:v>
      </x:c>
      <x:c r="N1527" t="str" s="2">
        <x:v>Prospect</x:v>
      </x:c>
      <x:c r="O1527" s="0"/>
      <x:c r="P1527" s="6">
        <x:v>46283</x:v>
      </x:c>
      <x:c r="Q1527" s="6">
        <x:v>46283.80511689815</x:v>
      </x:c>
      <x:c r="R1527" s="0"/>
      <x:c r="S1527" s="6">
        <x:v>46283</x:v>
      </x:c>
      <x:c r="T1527" s="0"/>
      <x:c r="U1527" s="0"/>
      <x:c r="V1527" s="0"/>
      <x:c r="W1527" s="0"/>
      <x:c r="X1527" t="str" s="2">
        <x:v>9858523548</x:v>
      </x:c>
      <x:c r="Y1527" t="str" s="2">
        <x:v>nikki70301@yahoo.com</x:v>
      </x:c>
      <x:c r="Z1527" s="6">
        <x:v>46283.870130902775</x:v>
      </x:c>
      <x:c r="AA1527" t="str" s="2">
        <x:v>Clint O'Neal</x:v>
      </x:c>
      <x:c r="AB1527" s="6">
        <x:v>46283.79462190972</x:v>
      </x:c>
      <x:c r="AC1527" t="n" s="2">
        <x:v>40149</x:v>
      </x:c>
      <x:c r="AD1527" s="0"/>
      <x:c r="AE1527" s="0"/>
      <x:c r="AF1527" s="0"/>
      <x:c r="AG1527" s="0"/>
      <x:c r="AH1527" s="0"/>
      <x:c r="AI1527" s="0"/>
      <x:c r="AJ1527" s="0"/>
      <x:c r="AK1527" s="0"/>
    </x:row>
    <x:row r="1528">
      <x:c r="A1528" t="str" s="2">
        <x:f>=HYPERLINK("https://rsms.futurehomex.com/lead/40150", "Stacy Rinehart")</x:f>
      </x:c>
      <x:c r="B1528" t="n" s="2">
        <x:v>25</x:v>
      </x:c>
      <x:c r="C1528" t="str" s="2">
        <x:v/>
      </x:c>
      <x:c r="D1528" t="str" s="2">
        <x:f>=""</x:f>
      </x:c>
      <x:c r="E1528" s="0"/>
      <x:c r="F1528" t="str" s="2">
        <x:v>Youtube</x:v>
      </x:c>
      <x:c r="G1528" t="str" s="2">
        <x:v>Heritage Housing of Tulsa</x:v>
      </x:c>
      <x:c r="H1528" t="str" s="2">
        <x:v>Jenna Fransisco</x:v>
      </x:c>
      <x:c r="I1528" t="str" s="2">
        <x:v>Karol Romero</x:v>
      </x:c>
      <x:c r="J1528" s="0"/>
      <x:c r="K1528" t="n" s="2">
        <x:v>5</x:v>
      </x:c>
      <x:c r="L1528" t="str" s="2">
        <x:v>1.1</x:v>
      </x:c>
      <x:c r="M1528" t="str" s="2">
        <x:v>Tentative</x:v>
      </x:c>
      <x:c r="N1528" t="str" s="2">
        <x:v>Prospect</x:v>
      </x:c>
      <x:c r="O1528" s="0"/>
      <x:c r="P1528" s="6">
        <x:v>46283</x:v>
      </x:c>
      <x:c r="Q1528" s="6">
        <x:v>46283.80080034722</x:v>
      </x:c>
      <x:c r="R1528" s="0"/>
      <x:c r="S1528" s="0"/>
      <x:c r="T1528" s="0"/>
      <x:c r="U1528" s="0"/>
      <x:c r="V1528" s="0"/>
      <x:c r="W1528" s="0"/>
      <x:c r="X1528" t="str" s="2">
        <x:v>9185641005</x:v>
      </x:c>
      <x:c r="Y1528" t="str" s="2">
        <x:v>stacyrinehart1211@gmail.com</x:v>
      </x:c>
      <x:c r="Z1528" s="0"/>
      <x:c r="AA1528" s="0"/>
      <x:c r="AB1528" s="6">
        <x:v>46283.80080173611</x:v>
      </x:c>
      <x:c r="AC1528" t="n" s="2">
        <x:v>40150</x:v>
      </x:c>
      <x:c r="AD1528" s="0"/>
      <x:c r="AE1528" s="0"/>
      <x:c r="AF1528" s="0"/>
      <x:c r="AG1528" s="0"/>
      <x:c r="AH1528" s="0"/>
      <x:c r="AI1528" s="0"/>
      <x:c r="AJ1528" s="0"/>
      <x:c r="AK1528" s="0"/>
    </x:row>
    <x:row r="1529">
      <x:c r="A1529" t="str" s="2">
        <x:f>=HYPERLINK("https://rsms.futurehomex.com/lead/40151", "Melissa Niccum")</x:f>
      </x:c>
      <x:c r="B1529" t="n" s="2">
        <x:v>25</x:v>
      </x:c>
      <x:c r="C1529" t="str" s="2">
        <x:v>0/3</x:v>
      </x:c>
      <x:c r="D1529" t="str" s="2">
        <x:f>=""</x:f>
      </x:c>
      <x:c r="E1529" s="0"/>
      <x:c r="F1529" t="str" s="2">
        <x:v>LandingPage</x:v>
      </x:c>
      <x:c r="G1529" t="str" s="2">
        <x:v>Heritage Housing of Oklahoma City</x:v>
      </x:c>
      <x:c r="H1529" t="str" s="2">
        <x:v>Noemi Rojo</x:v>
      </x:c>
      <x:c r="I1529" s="0"/>
      <x:c r="J1529" s="0"/>
      <x:c r="K1529" t="n" s="2">
        <x:v>5</x:v>
      </x:c>
      <x:c r="L1529" t="str" s="2">
        <x:v>1.1</x:v>
      </x:c>
      <x:c r="M1529" t="str" s="2">
        <x:v>Tentative</x:v>
      </x:c>
      <x:c r="N1529" t="str" s="2">
        <x:v>Deal Created</x:v>
      </x:c>
      <x:c r="O1529" s="0"/>
      <x:c r="P1529" s="6">
        <x:v>46283</x:v>
      </x:c>
      <x:c r="Q1529" s="6">
        <x:v>46283.80752199074</x:v>
      </x:c>
      <x:c r="R1529" s="0"/>
      <x:c r="S1529" s="0"/>
      <x:c r="T1529" s="0"/>
      <x:c r="U1529" s="0"/>
      <x:c r="V1529" s="0"/>
      <x:c r="W1529" s="0"/>
      <x:c r="X1529" t="str" s="2">
        <x:v>4059311462</x:v>
      </x:c>
      <x:c r="Y1529" t="str" s="2">
        <x:v>melissaniccum1965@gmail.com</x:v>
      </x:c>
      <x:c r="Z1529" s="6">
        <x:v>46300.753008912034</x:v>
      </x:c>
      <x:c r="AA1529" t="str" s="2">
        <x:v>Richard Bell</x:v>
      </x:c>
      <x:c r="AB1529" s="6">
        <x:v>46283.80752248842</x:v>
      </x:c>
      <x:c r="AC1529" t="n" s="2">
        <x:v>40151</x:v>
      </x:c>
      <x:c r="AD1529" s="0"/>
      <x:c r="AE1529" s="0"/>
      <x:c r="AF1529" s="0"/>
      <x:c r="AG1529" s="0"/>
      <x:c r="AH1529" s="0"/>
      <x:c r="AI1529" s="0"/>
      <x:c r="AJ1529" s="0"/>
      <x:c r="AK1529" s="0"/>
    </x:row>
    <x:row r="1530">
      <x:c r="A1530" t="str" s="2">
        <x:f>=HYPERLINK("https://rsms.futurehomex.com/lead/40152", "Janice Coffer")</x:f>
      </x:c>
      <x:c r="B1530" t="n" s="2">
        <x:v>25</x:v>
      </x:c>
      <x:c r="C1530" t="str" s="2">
        <x:v/>
      </x:c>
      <x:c r="D1530" t="str" s="2">
        <x:f>=""</x:f>
      </x:c>
      <x:c r="E1530" s="0"/>
      <x:c r="F1530" t="str" s="2">
        <x:v>Walk-in</x:v>
      </x:c>
      <x:c r="G1530" t="str" s="2">
        <x:v>Heritage Housing of Asheboro</x:v>
      </x:c>
      <x:c r="H1530" t="str" s="2">
        <x:v>Maria Lopez</x:v>
      </x:c>
      <x:c r="I1530" s="0"/>
      <x:c r="J1530" s="0"/>
      <x:c r="K1530" t="n" s="2">
        <x:v>21</x:v>
      </x:c>
      <x:c r="L1530" t="str" s="2">
        <x:v>2.1</x:v>
      </x:c>
      <x:c r="M1530" t="str" s="2">
        <x:v>Tentative</x:v>
      </x:c>
      <x:c r="N1530" t="str" s="2">
        <x:v>Qualified</x:v>
      </x:c>
      <x:c r="O1530" s="0"/>
      <x:c r="P1530" s="6">
        <x:v>46283</x:v>
      </x:c>
      <x:c r="Q1530" s="6">
        <x:v>46293.59236678241</x:v>
      </x:c>
      <x:c r="R1530" s="0"/>
      <x:c r="S1530" s="6">
        <x:v>46283</x:v>
      </x:c>
      <x:c r="T1530" s="0"/>
      <x:c r="U1530" s="0"/>
      <x:c r="V1530" s="0"/>
      <x:c r="W1530" s="0"/>
      <x:c r="X1530" t="str" s="2">
        <x:v>3363921132</x:v>
      </x:c>
      <x:c r="Y1530" t="str" s="2">
        <x:v>jscffer1@gmail.com</x:v>
      </x:c>
      <x:c r="Z1530" s="6">
        <x:v>46293.59235466435</x:v>
      </x:c>
      <x:c r="AA1530" t="str" s="2">
        <x:v>Jeremy Jacques</x:v>
      </x:c>
      <x:c r="AB1530" s="6">
        <x:v>46283.8087290162</x:v>
      </x:c>
      <x:c r="AC1530" t="n" s="2">
        <x:v>40152</x:v>
      </x:c>
      <x:c r="AD1530" s="0"/>
      <x:c r="AE1530" s="0"/>
      <x:c r="AF1530" s="0"/>
      <x:c r="AG1530" s="0"/>
      <x:c r="AH1530" s="0"/>
      <x:c r="AI1530" s="0"/>
      <x:c r="AJ1530" s="0"/>
      <x:c r="AK1530" s="0"/>
    </x:row>
    <x:row r="1531">
      <x:c r="A1531" t="str" s="2">
        <x:f>=HYPERLINK("https://rsms.futurehomex.com/lead/40153", "Fred John Domingo")</x:f>
      </x:c>
      <x:c r="B1531" t="n" s="2">
        <x:v>25</x:v>
      </x:c>
      <x:c r="C1531" t="str" s="2">
        <x:v>1/1</x:v>
      </x:c>
      <x:c r="D1531" t="str" s="2">
        <x:f>=""</x:f>
      </x:c>
      <x:c r="E1531" s="0"/>
      <x:c r="F1531" t="str" s="2">
        <x:v>Walk-in</x:v>
      </x:c>
      <x:c r="G1531" t="str" s="2">
        <x:v>Heritage Housing of Jennings</x:v>
      </x:c>
      <x:c r="H1531" t="str" s="2">
        <x:v>Mervin Leslie Smith</x:v>
      </x:c>
      <x:c r="I1531" s="0"/>
      <x:c r="J1531" t="str" s="2">
        <x:v>Mervin Leslie Smith</x:v>
      </x:c>
      <x:c r="K1531" t="n" s="2">
        <x:v>5</x:v>
      </x:c>
      <x:c r="L1531" t="str" s="2">
        <x:v>1.1</x:v>
      </x:c>
      <x:c r="M1531" t="str" s="2">
        <x:v>Inactive</x:v>
      </x:c>
      <x:c r="N1531" t="str" s="2">
        <x:v>Deal Created</x:v>
      </x:c>
      <x:c r="O1531" s="0"/>
      <x:c r="P1531" s="6">
        <x:v>46283</x:v>
      </x:c>
      <x:c r="Q1531" s="6">
        <x:v>46283.820533715276</x:v>
      </x:c>
      <x:c r="R1531" s="0"/>
      <x:c r="S1531" s="0"/>
      <x:c r="T1531" s="0"/>
      <x:c r="U1531" s="0"/>
      <x:c r="V1531" s="0"/>
      <x:c r="W1531" s="0"/>
      <x:c r="X1531" t="str" s="2">
        <x:v>2252185427</x:v>
      </x:c>
      <x:c r="Y1531" t="str" s="2">
        <x:v>freddom54@icloud.com</x:v>
      </x:c>
      <x:c r="Z1531" s="6">
        <x:v>46283.82123657408</x:v>
      </x:c>
      <x:c r="AA1531" t="str" s="2">
        <x:v>Mervin Leslie Smith</x:v>
      </x:c>
      <x:c r="AB1531" s="6">
        <x:v>46283.82053556713</x:v>
      </x:c>
      <x:c r="AC1531" t="n" s="2">
        <x:v>40153</x:v>
      </x:c>
      <x:c r="AD1531" s="0"/>
      <x:c r="AE1531" s="0"/>
      <x:c r="AF1531" s="0"/>
      <x:c r="AG1531" s="0"/>
      <x:c r="AH1531" s="0"/>
      <x:c r="AI1531" s="0"/>
      <x:c r="AJ1531" s="0"/>
      <x:c r="AK1531" s="0"/>
    </x:row>
    <x:row r="1532">
      <x:c r="A1532" t="str" s="2">
        <x:f>=HYPERLINK("https://rsms.futurehomex.com/lead/40154", "Barbara Jones")</x:f>
      </x:c>
      <x:c r="B1532" t="n" s="2">
        <x:v>25</x:v>
      </x:c>
      <x:c r="C1532" t="str" s="2">
        <x:v>1/1</x:v>
      </x:c>
      <x:c r="D1532" t="str" s="2">
        <x:f>=""</x:f>
      </x:c>
      <x:c r="E1532" s="0"/>
      <x:c r="F1532" t="str" s="2">
        <x:v>Youtube</x:v>
      </x:c>
      <x:c r="G1532" t="str" s="2">
        <x:v>Heritage Housing of Oklahoma City</x:v>
      </x:c>
      <x:c r="H1532" t="str" s="2">
        <x:v>Trey Rixleben</x:v>
      </x:c>
      <x:c r="I1532" s="0"/>
      <x:c r="J1532" t="str" s="2">
        <x:v>Trey Rixleben</x:v>
      </x:c>
      <x:c r="K1532" t="n" s="2">
        <x:v>5</x:v>
      </x:c>
      <x:c r="L1532" t="str" s="2">
        <x:v>1.1</x:v>
      </x:c>
      <x:c r="M1532" t="str" s="2">
        <x:v>Tentative</x:v>
      </x:c>
      <x:c r="N1532" t="str" s="2">
        <x:v>Deal Created</x:v>
      </x:c>
      <x:c r="O1532" s="0"/>
      <x:c r="P1532" s="6">
        <x:v>46283</x:v>
      </x:c>
      <x:c r="Q1532" s="6">
        <x:v>46290.76249811343</x:v>
      </x:c>
      <x:c r="R1532" s="0"/>
      <x:c r="S1532" s="0"/>
      <x:c r="T1532" s="0"/>
      <x:c r="U1532" s="0"/>
      <x:c r="V1532" s="0"/>
      <x:c r="W1532" s="0"/>
      <x:c r="X1532" t="str" s="2">
        <x:v>4055106186</x:v>
      </x:c>
      <x:c r="Y1532" t="str" s="2">
        <x:v>j1616barbie@gmail.com</x:v>
      </x:c>
      <x:c r="Z1532" s="6">
        <x:v>46290.764148993054</x:v>
      </x:c>
      <x:c r="AA1532" t="str" s="2">
        <x:v>Trey Rixleben</x:v>
      </x:c>
      <x:c r="AB1532" s="6">
        <x:v>46283.830905243056</x:v>
      </x:c>
      <x:c r="AC1532" t="n" s="2">
        <x:v>40154</x:v>
      </x:c>
      <x:c r="AD1532" s="0"/>
      <x:c r="AE1532" s="0"/>
      <x:c r="AF1532" s="0"/>
      <x:c r="AG1532" s="0"/>
      <x:c r="AH1532" s="0"/>
      <x:c r="AI1532" s="0"/>
      <x:c r="AJ1532" s="0"/>
      <x:c r="AK1532" s="0"/>
    </x:row>
    <x:row r="1533">
      <x:c r="A1533" t="str" s="2">
        <x:f>=HYPERLINK("https://rsms.futurehomex.com/lead/40155", "Roderick Gibson")</x:f>
      </x:c>
      <x:c r="B1533" t="n" s="2">
        <x:v>25</x:v>
      </x:c>
      <x:c r="C1533" t="str" s="2">
        <x:v/>
      </x:c>
      <x:c r="D1533" t="str" s="2">
        <x:f>=""</x:f>
      </x:c>
      <x:c r="E1533" s="0"/>
      <x:c r="F1533" t="str" s="2">
        <x:v>Financing Form</x:v>
      </x:c>
      <x:c r="G1533" t="str" s="2">
        <x:v>Heritage Housing of Albany</x:v>
      </x:c>
      <x:c r="H1533" t="str" s="2">
        <x:v>Yanet Alvarez</x:v>
      </x:c>
      <x:c r="I1533" s="0"/>
      <x:c r="J1533" t="str" s="2">
        <x:v>Yanet Alvarez</x:v>
      </x:c>
      <x:c r="K1533" t="n" s="2">
        <x:v>5</x:v>
      </x:c>
      <x:c r="L1533" t="str" s="2">
        <x:v>1.1</x:v>
      </x:c>
      <x:c r="M1533" t="str" s="2">
        <x:v>Tentative</x:v>
      </x:c>
      <x:c r="N1533" t="str" s="2">
        <x:v>Deal Created</x:v>
      </x:c>
      <x:c r="O1533" s="0"/>
      <x:c r="P1533" s="6">
        <x:v>46283</x:v>
      </x:c>
      <x:c r="Q1533" s="6">
        <x:v>46283.831422766205</x:v>
      </x:c>
      <x:c r="R1533" s="0"/>
      <x:c r="S1533" s="0"/>
      <x:c r="T1533" s="0"/>
      <x:c r="U1533" s="0"/>
      <x:c r="V1533" s="0"/>
      <x:c r="W1533" s="0"/>
      <x:c r="X1533" t="str" s="2">
        <x:v>4785011090</x:v>
      </x:c>
      <x:c r="Y1533" t="str" s="2">
        <x:v>R.gibson27@yahoo.com</x:v>
      </x:c>
      <x:c r="Z1533" s="0"/>
      <x:c r="AA1533" s="0"/>
      <x:c r="AB1533" s="6">
        <x:v>46283.831423379626</x:v>
      </x:c>
      <x:c r="AC1533" t="n" s="2">
        <x:v>40155</x:v>
      </x:c>
      <x:c r="AD1533" s="0"/>
      <x:c r="AE1533" s="0"/>
      <x:c r="AF1533" s="0"/>
      <x:c r="AG1533" s="0"/>
      <x:c r="AH1533" s="0"/>
      <x:c r="AI1533" s="0"/>
      <x:c r="AJ1533" s="0"/>
      <x:c r="AK1533" s="0"/>
    </x:row>
    <x:row r="1534">
      <x:c r="A1534" t="str" s="2">
        <x:f>=HYPERLINK("https://rsms.futurehomex.com/lead/40156", "Jayson Yeary")</x:f>
      </x:c>
      <x:c r="B1534" t="n" s="2">
        <x:v>25</x:v>
      </x:c>
      <x:c r="C1534" t="str" s="2">
        <x:v>1/3</x:v>
      </x:c>
      <x:c r="D1534" t="str" s="2">
        <x:f>=""</x:f>
      </x:c>
      <x:c r="E1534" s="0"/>
      <x:c r="F1534" t="str" s="2">
        <x:v>LandingPage</x:v>
      </x:c>
      <x:c r="G1534" t="str" s="2">
        <x:v>Heritage Housing of Oklahoma City</x:v>
      </x:c>
      <x:c r="H1534" t="str" s="2">
        <x:v>Trey Rixleben</x:v>
      </x:c>
      <x:c r="I1534" s="0"/>
      <x:c r="J1534" t="str" s="2">
        <x:v>Trey Rixleben</x:v>
      </x:c>
      <x:c r="K1534" t="n" s="2">
        <x:v>5</x:v>
      </x:c>
      <x:c r="L1534" t="str" s="2">
        <x:v>1.1</x:v>
      </x:c>
      <x:c r="M1534" t="str" s="2">
        <x:v>Tentative</x:v>
      </x:c>
      <x:c r="N1534" t="str" s="2">
        <x:v>Deal Created</x:v>
      </x:c>
      <x:c r="O1534" s="0"/>
      <x:c r="P1534" s="6">
        <x:v>46283</x:v>
      </x:c>
      <x:c r="Q1534" s="6">
        <x:v>46294.806425</x:v>
      </x:c>
      <x:c r="R1534" s="0"/>
      <x:c r="S1534" s="0"/>
      <x:c r="T1534" s="0"/>
      <x:c r="U1534" s="0"/>
      <x:c r="V1534" s="0"/>
      <x:c r="W1534" s="0"/>
      <x:c r="X1534" t="str" s="2">
        <x:v>4055359623</x:v>
      </x:c>
      <x:c r="Y1534" t="str" s="2">
        <x:v>j.yeary1181@gmail.com</x:v>
      </x:c>
      <x:c r="Z1534" s="6">
        <x:v>46295.93244163194</x:v>
      </x:c>
      <x:c r="AA1534" t="str" s="2">
        <x:v>Trey Rixleben</x:v>
      </x:c>
      <x:c r="AB1534" s="6">
        <x:v>46283.85373495371</x:v>
      </x:c>
      <x:c r="AC1534" t="n" s="2">
        <x:v>40156</x:v>
      </x:c>
      <x:c r="AD1534" s="0"/>
      <x:c r="AE1534" s="0"/>
      <x:c r="AF1534" s="0"/>
      <x:c r="AG1534" s="0"/>
      <x:c r="AH1534" s="0"/>
      <x:c r="AI1534" s="0"/>
      <x:c r="AJ1534" s="0"/>
      <x:c r="AK1534" s="0"/>
    </x:row>
    <x:row r="1535">
      <x:c r="A1535" t="str" s="2">
        <x:f>=HYPERLINK("https://rsms.futurehomex.com/lead/40157", "Ricky Mort")</x:f>
      </x:c>
      <x:c r="B1535" t="n" s="2">
        <x:v>25</x:v>
      </x:c>
      <x:c r="C1535" t="str" s="2">
        <x:v>0/1</x:v>
      </x:c>
      <x:c r="D1535" t="str" s="2">
        <x:f>=""</x:f>
      </x:c>
      <x:c r="E1535" s="0"/>
      <x:c r="F1535" t="str" s="2">
        <x:v>Facebook Messenger</x:v>
      </x:c>
      <x:c r="G1535" t="str" s="2">
        <x:v>Heritage Housing of Oklahoma City</x:v>
      </x:c>
      <x:c r="H1535" t="str" s="2">
        <x:v>Trey Rixleben</x:v>
      </x:c>
      <x:c r="I1535" t="str" s="2">
        <x:v>Karol Romero</x:v>
      </x:c>
      <x:c r="J1535" t="str" s="2">
        <x:v>Trey Rixleben</x:v>
      </x:c>
      <x:c r="K1535" t="n" s="2">
        <x:v>5</x:v>
      </x:c>
      <x:c r="L1535" t="str" s="2">
        <x:v>1.1</x:v>
      </x:c>
      <x:c r="M1535" t="str" s="2">
        <x:v>Dead</x:v>
      </x:c>
      <x:c r="N1535" t="str" s="2">
        <x:v>Deal Created</x:v>
      </x:c>
      <x:c r="O1535" s="0"/>
      <x:c r="P1535" s="6">
        <x:v>46283</x:v>
      </x:c>
      <x:c r="Q1535" s="6">
        <x:v>46283.86030891204</x:v>
      </x:c>
      <x:c r="R1535" s="0"/>
      <x:c r="S1535" s="0"/>
      <x:c r="T1535" s="0"/>
      <x:c r="U1535" s="0"/>
      <x:c r="V1535" s="0"/>
      <x:c r="W1535" s="0"/>
      <x:c r="X1535" t="str" s="2">
        <x:v>4056008332</x:v>
      </x:c>
      <x:c r="Y1535" t="str" s="2">
        <x:v>rickydalemort1974@gmail.com</x:v>
      </x:c>
      <x:c r="Z1535" s="6">
        <x:v>46284.6627065162</x:v>
      </x:c>
      <x:c r="AA1535" t="str" s="2">
        <x:v>Richard Bell</x:v>
      </x:c>
      <x:c r="AB1535" s="6">
        <x:v>46283.859933252315</x:v>
      </x:c>
      <x:c r="AC1535" t="n" s="2">
        <x:v>40157</x:v>
      </x:c>
      <x:c r="AD1535" s="0"/>
      <x:c r="AE1535" s="0"/>
      <x:c r="AF1535" s="0"/>
      <x:c r="AG1535" s="0"/>
      <x:c r="AH1535" s="0"/>
      <x:c r="AI1535" s="0"/>
      <x:c r="AJ1535" s="0"/>
      <x:c r="AK1535" s="0"/>
    </x:row>
    <x:row r="1536">
      <x:c r="A1536" t="str" s="2">
        <x:f>=HYPERLINK("https://rsms.futurehomex.com/lead/40158", "Waylan Smith")</x:f>
      </x:c>
      <x:c r="B1536" t="n" s="2">
        <x:v>25</x:v>
      </x:c>
      <x:c r="C1536" t="str" s="2">
        <x:v>0/3</x:v>
      </x:c>
      <x:c r="D1536" t="str" s="2">
        <x:f>=""</x:f>
      </x:c>
      <x:c r="E1536" s="0"/>
      <x:c r="F1536" t="str" s="2">
        <x:v>Website</x:v>
      </x:c>
      <x:c r="G1536" t="str" s="2">
        <x:v>Heritage Housing of Oklahoma City</x:v>
      </x:c>
      <x:c r="H1536" t="str" s="2">
        <x:v>Steve Castell</x:v>
      </x:c>
      <x:c r="I1536" s="0"/>
      <x:c r="J1536" s="0"/>
      <x:c r="K1536" t="n" s="2">
        <x:v>38</x:v>
      </x:c>
      <x:c r="L1536" t="str" s="2">
        <x:v>3.2</x:v>
      </x:c>
      <x:c r="M1536" t="str" s="2">
        <x:v>Inactive</x:v>
      </x:c>
      <x:c r="N1536" t="str" s="2">
        <x:v>Application</x:v>
      </x:c>
      <x:c r="O1536" s="0"/>
      <x:c r="P1536" s="6">
        <x:v>46283</x:v>
      </x:c>
      <x:c r="Q1536" s="6">
        <x:v>46294.732744444445</x:v>
      </x:c>
      <x:c r="R1536" s="0"/>
      <x:c r="S1536" s="6">
        <x:v>46284</x:v>
      </x:c>
      <x:c r="T1536" s="6">
        <x:v>46291</x:v>
      </x:c>
      <x:c r="U1536" s="0"/>
      <x:c r="V1536" s="0"/>
      <x:c r="W1536" s="0"/>
      <x:c r="X1536" t="str" s="2">
        <x:v>4052497806</x:v>
      </x:c>
      <x:c r="Y1536" t="str" s="2">
        <x:v>bob-smith@sbcglobal.net</x:v>
      </x:c>
      <x:c r="Z1536" s="6">
        <x:v>46294.93015246528</x:v>
      </x:c>
      <x:c r="AA1536" t="str" s="2">
        <x:v>Steve Castell</x:v>
      </x:c>
      <x:c r="AB1536" s="6">
        <x:v>46283.86092118055</x:v>
      </x:c>
      <x:c r="AC1536" t="n" s="2">
        <x:v>40158</x:v>
      </x:c>
      <x:c r="AD1536" t="str" s="2">
        <x:v>Singlewide</x:v>
      </x:c>
      <x:c r="AE1536" s="0"/>
      <x:c r="AF1536" s="0"/>
      <x:c r="AG1536" s="7">
        <x:v>8000</x:v>
      </x:c>
      <x:c r="AH1536" s="0"/>
      <x:c r="AI1536" t="str" s="2">
        <x:v>721</x:v>
      </x:c>
      <x:c r="AJ1536" s="0"/>
      <x:c r="AK1536" s="0"/>
    </x:row>
    <x:row r="1537">
      <x:c r="A1537" t="str" s="2">
        <x:f>=HYPERLINK("https://rsms.futurehomex.com/lead/40159", "Kimberly Izquierdo")</x:f>
      </x:c>
      <x:c r="B1537" t="n" s="2">
        <x:v>25</x:v>
      </x:c>
      <x:c r="C1537" t="str" s="2">
        <x:v/>
      </x:c>
      <x:c r="D1537" t="str" s="2">
        <x:f>=""</x:f>
      </x:c>
      <x:c r="E1537" s="0"/>
      <x:c r="F1537" t="str" s="2">
        <x:v>Walk-in</x:v>
      </x:c>
      <x:c r="G1537" t="str" s="2">
        <x:v>Heritage Housing of Asheboro</x:v>
      </x:c>
      <x:c r="H1537" t="str" s="2">
        <x:v>Maria Lopez</x:v>
      </x:c>
      <x:c r="I1537" s="0"/>
      <x:c r="J1537" s="0"/>
      <x:c r="K1537" t="n" s="2">
        <x:v>21</x:v>
      </x:c>
      <x:c r="L1537" t="str" s="2">
        <x:v>2.1</x:v>
      </x:c>
      <x:c r="M1537" t="str" s="2">
        <x:v>Tentative</x:v>
      </x:c>
      <x:c r="N1537" t="str" s="2">
        <x:v>Qualified</x:v>
      </x:c>
      <x:c r="O1537" s="0"/>
      <x:c r="P1537" s="6">
        <x:v>46283</x:v>
      </x:c>
      <x:c r="Q1537" s="6">
        <x:v>46293.5926508912</x:v>
      </x:c>
      <x:c r="R1537" s="0"/>
      <x:c r="S1537" s="6">
        <x:v>46283</x:v>
      </x:c>
      <x:c r="T1537" s="0"/>
      <x:c r="U1537" s="0"/>
      <x:c r="V1537" s="0"/>
      <x:c r="W1537" s="0"/>
      <x:c r="X1537" t="str" s="2">
        <x:v>3366535020</x:v>
      </x:c>
      <x:c r="Y1537" t="str" s="2">
        <x:v>kimberlyizquierdo151@yahoo.com</x:v>
      </x:c>
      <x:c r="Z1537" s="6">
        <x:v>46293.592639699076</x:v>
      </x:c>
      <x:c r="AA1537" t="str" s="2">
        <x:v>Jeremy Jacques</x:v>
      </x:c>
      <x:c r="AB1537" s="6">
        <x:v>46283.87771574074</x:v>
      </x:c>
      <x:c r="AC1537" t="n" s="2">
        <x:v>40159</x:v>
      </x:c>
      <x:c r="AD1537" s="0"/>
      <x:c r="AE1537" s="0"/>
      <x:c r="AF1537" s="0"/>
      <x:c r="AG1537" s="0"/>
      <x:c r="AH1537" s="0"/>
      <x:c r="AI1537" s="0"/>
      <x:c r="AJ1537" s="0"/>
      <x:c r="AK1537" s="0"/>
    </x:row>
    <x:row r="1538">
      <x:c r="A1538" t="str" s="2">
        <x:f>=HYPERLINK("https://rsms.futurehomex.com/lead/40160", "Michelle Walker")</x:f>
      </x:c>
      <x:c r="B1538" t="n" s="2">
        <x:v>25</x:v>
      </x:c>
      <x:c r="C1538" t="str" s="2">
        <x:v/>
      </x:c>
      <x:c r="D1538" t="str" s="2">
        <x:f>=""</x:f>
      </x:c>
      <x:c r="E1538" s="0"/>
      <x:c r="F1538" t="str" s="2">
        <x:v>Walk-in</x:v>
      </x:c>
      <x:c r="G1538" t="str" s="2">
        <x:v>Heritage Housing Gainesville</x:v>
      </x:c>
      <x:c r="H1538" t="str" s="2">
        <x:v>Kelly Ford</x:v>
      </x:c>
      <x:c r="I1538" s="0"/>
      <x:c r="J1538" t="str" s="2">
        <x:v>Kelly Ford</x:v>
      </x:c>
      <x:c r="K1538" t="n" s="2">
        <x:v>5</x:v>
      </x:c>
      <x:c r="L1538" t="str" s="2">
        <x:v>1.1</x:v>
      </x:c>
      <x:c r="M1538" t="str" s="2">
        <x:v>Tentative</x:v>
      </x:c>
      <x:c r="N1538" t="str" s="2">
        <x:v>Deal Created</x:v>
      </x:c>
      <x:c r="O1538" s="0"/>
      <x:c r="P1538" s="6">
        <x:v>46283</x:v>
      </x:c>
      <x:c r="Q1538" s="6">
        <x:v>46283.88170439815</x:v>
      </x:c>
      <x:c r="R1538" s="0"/>
      <x:c r="S1538" s="6">
        <x:v>46283</x:v>
      </x:c>
      <x:c r="T1538" s="0"/>
      <x:c r="U1538" s="0"/>
      <x:c r="V1538" s="0"/>
      <x:c r="W1538" s="0"/>
      <x:c r="X1538" t="str" s="2">
        <x:v>9727415855</x:v>
      </x:c>
      <x:c r="Y1538" t="str" s="2">
        <x:v>Chaseaaron6@netscape.net</x:v>
      </x:c>
      <x:c r="Z1538" s="6">
        <x:v>46283.88299614583</x:v>
      </x:c>
      <x:c r="AA1538" t="str" s="2">
        <x:v>Kelly Ford</x:v>
      </x:c>
      <x:c r="AB1538" s="6">
        <x:v>46283.88170601852</x:v>
      </x:c>
      <x:c r="AC1538" t="n" s="2">
        <x:v>40160</x:v>
      </x:c>
      <x:c r="AD1538" s="0"/>
      <x:c r="AE1538" s="0"/>
      <x:c r="AF1538" s="0"/>
      <x:c r="AG1538" s="0"/>
      <x:c r="AH1538" s="0"/>
      <x:c r="AI1538" s="0"/>
      <x:c r="AJ1538" s="0"/>
      <x:c r="AK1538" s="0"/>
    </x:row>
    <x:row r="1539">
      <x:c r="A1539" t="str" s="2">
        <x:f>=HYPERLINK("https://rsms.futurehomex.com/lead/40161", "Pretia Rozier")</x:f>
      </x:c>
      <x:c r="B1539" t="n" s="2">
        <x:v>25</x:v>
      </x:c>
      <x:c r="C1539" t="str" s="2">
        <x:v/>
      </x:c>
      <x:c r="D1539" t="str" s="2">
        <x:f>=""</x:f>
      </x:c>
      <x:c r="E1539" s="0"/>
      <x:c r="F1539" t="str" s="2">
        <x:v>Youtube</x:v>
      </x:c>
      <x:c r="G1539" t="str" s="2">
        <x:v>Heritage Housing of Albany</x:v>
      </x:c>
      <x:c r="H1539" t="str" s="2">
        <x:v>Yanet Alvarez</x:v>
      </x:c>
      <x:c r="I1539" s="0"/>
      <x:c r="J1539" t="str" s="2">
        <x:v>Yanet Alvarez</x:v>
      </x:c>
      <x:c r="K1539" t="n" s="2">
        <x:v>5</x:v>
      </x:c>
      <x:c r="L1539" t="str" s="2">
        <x:v>1.1</x:v>
      </x:c>
      <x:c r="M1539" t="str" s="2">
        <x:v>Tentative</x:v>
      </x:c>
      <x:c r="N1539" t="str" s="2">
        <x:v>Deal Created</x:v>
      </x:c>
      <x:c r="O1539" s="0"/>
      <x:c r="P1539" s="6">
        <x:v>46283</x:v>
      </x:c>
      <x:c r="Q1539" s="6">
        <x:v>46283.89317329861</x:v>
      </x:c>
      <x:c r="R1539" s="0"/>
      <x:c r="S1539" s="0"/>
      <x:c r="T1539" s="0"/>
      <x:c r="U1539" s="0"/>
      <x:c r="V1539" s="0"/>
      <x:c r="W1539" s="0"/>
      <x:c r="X1539" t="str" s="2">
        <x:v>2294188637</x:v>
      </x:c>
      <x:c r="Y1539" t="str" s="2">
        <x:v>Pretiarozier@gmsil.com</x:v>
      </x:c>
      <x:c r="Z1539" s="0"/>
      <x:c r="AA1539" s="0"/>
      <x:c r="AB1539" s="6">
        <x:v>46283.893173958335</x:v>
      </x:c>
      <x:c r="AC1539" t="n" s="2">
        <x:v>40161</x:v>
      </x:c>
      <x:c r="AD1539" s="0"/>
      <x:c r="AE1539" s="0"/>
      <x:c r="AF1539" s="0"/>
      <x:c r="AG1539" s="0"/>
      <x:c r="AH1539" s="0"/>
      <x:c r="AI1539" s="0"/>
      <x:c r="AJ1539" s="0"/>
      <x:c r="AK1539" s="0"/>
    </x:row>
    <x:row r="1540">
      <x:c r="A1540" t="str" s="2">
        <x:f>=HYPERLINK("https://rsms.futurehomex.com/lead/40162", "Olivia Fluren")</x:f>
      </x:c>
      <x:c r="B1540" t="n" s="2">
        <x:v>25</x:v>
      </x:c>
      <x:c r="C1540" t="str" s="2">
        <x:v/>
      </x:c>
      <x:c r="D1540" t="str" s="2">
        <x:f>=""</x:f>
      </x:c>
      <x:c r="E1540" s="0"/>
      <x:c r="F1540" t="str" s="2">
        <x:v>Office Hot Calls</x:v>
      </x:c>
      <x:c r="G1540" t="str" s="2">
        <x:v>Heritage Housing Mt Pleasant</x:v>
      </x:c>
      <x:c r="H1540" t="str" s="2">
        <x:v>Yarelis Torres</x:v>
      </x:c>
      <x:c r="I1540" s="0"/>
      <x:c r="J1540" t="str" s="2">
        <x:v>Yarelis Torres</x:v>
      </x:c>
      <x:c r="K1540" t="n" s="2">
        <x:v>5</x:v>
      </x:c>
      <x:c r="L1540" t="str" s="2">
        <x:v>1.1</x:v>
      </x:c>
      <x:c r="M1540" t="str" s="2">
        <x:v>Tentative</x:v>
      </x:c>
      <x:c r="N1540" t="str" s="2">
        <x:v>Deal Created</x:v>
      </x:c>
      <x:c r="O1540" s="0"/>
      <x:c r="P1540" s="6">
        <x:v>46283</x:v>
      </x:c>
      <x:c r="Q1540" s="6">
        <x:v>46287.649476770835</x:v>
      </x:c>
      <x:c r="R1540" s="0"/>
      <x:c r="S1540" s="0"/>
      <x:c r="T1540" s="0"/>
      <x:c r="U1540" s="0"/>
      <x:c r="V1540" s="0"/>
      <x:c r="W1540" s="0"/>
      <x:c r="X1540" t="str" s="2">
        <x:v>9038019079</x:v>
      </x:c>
      <x:c r="Y1540" t="str" s="2">
        <x:v>9038010197</x:v>
      </x:c>
      <x:c r="Z1540" s="6">
        <x:v>46283.99986998842</x:v>
      </x:c>
      <x:c r="AA1540" t="str" s="2">
        <x:v>Yarelis Torres</x:v>
      </x:c>
      <x:c r="AB1540" s="6">
        <x:v>46283.90045690972</x:v>
      </x:c>
      <x:c r="AC1540" t="n" s="2">
        <x:v>40162</x:v>
      </x:c>
      <x:c r="AD1540" s="0"/>
      <x:c r="AE1540" s="0"/>
      <x:c r="AF1540" s="0"/>
      <x:c r="AG1540" s="0"/>
      <x:c r="AH1540" s="0"/>
      <x:c r="AI1540" s="0"/>
      <x:c r="AJ1540" s="0"/>
      <x:c r="AK1540" s="0"/>
    </x:row>
    <x:row r="1541">
      <x:c r="A1541" t="str" s="2">
        <x:f>=HYPERLINK("https://rsms.futurehomex.com/lead/40163", "Kely Anaya")</x:f>
      </x:c>
      <x:c r="B1541" t="n" s="2">
        <x:v>25</x:v>
      </x:c>
      <x:c r="C1541" t="str" s="2">
        <x:v/>
      </x:c>
      <x:c r="D1541" t="str" s="2">
        <x:f>=""</x:f>
      </x:c>
      <x:c r="E1541" s="0"/>
      <x:c r="F1541" t="str" s="2">
        <x:v>Landing_BPM</x:v>
      </x:c>
      <x:c r="G1541" t="str" s="2">
        <x:v>Heritage Housing of Asheboro</x:v>
      </x:c>
      <x:c r="H1541" t="str" s="2">
        <x:v>Kate Gutierrez</x:v>
      </x:c>
      <x:c r="I1541" s="0"/>
      <x:c r="J1541" t="str" s="2">
        <x:v>Kate Gutierrez</x:v>
      </x:c>
      <x:c r="K1541" t="n" s="2">
        <x:v>21</x:v>
      </x:c>
      <x:c r="L1541" t="str" s="2">
        <x:v>2.1</x:v>
      </x:c>
      <x:c r="M1541" t="str" s="2">
        <x:v>Tentative</x:v>
      </x:c>
      <x:c r="N1541" t="str" s="2">
        <x:v>Qualified</x:v>
      </x:c>
      <x:c r="O1541" s="0"/>
      <x:c r="P1541" s="6">
        <x:v>46283</x:v>
      </x:c>
      <x:c r="Q1541" s="6">
        <x:v>46303.561555011576</x:v>
      </x:c>
      <x:c r="R1541" s="0"/>
      <x:c r="S1541" s="0"/>
      <x:c r="T1541" s="0"/>
      <x:c r="U1541" s="0"/>
      <x:c r="V1541" s="0"/>
      <x:c r="W1541" s="0"/>
      <x:c r="X1541" t="str" s="2">
        <x:v>3365823531</x:v>
      </x:c>
      <x:c r="Y1541" t="str" s="2">
        <x:v>kelydavila606@gmail.com</x:v>
      </x:c>
      <x:c r="Z1541" s="6">
        <x:v>46303.56154123843</x:v>
      </x:c>
      <x:c r="AA1541" t="str" s="2">
        <x:v>Jeremy Jacques</x:v>
      </x:c>
      <x:c r="AB1541" s="6">
        <x:v>46283.92269918982</x:v>
      </x:c>
      <x:c r="AC1541" t="n" s="2">
        <x:v>40163</x:v>
      </x:c>
      <x:c r="AD1541" s="0"/>
      <x:c r="AE1541" s="0"/>
      <x:c r="AF1541" s="0"/>
      <x:c r="AG1541" s="0"/>
      <x:c r="AH1541" s="0"/>
      <x:c r="AI1541" s="0"/>
      <x:c r="AJ1541" s="0"/>
      <x:c r="AK1541" s="0"/>
    </x:row>
    <x:row r="1542">
      <x:c r="A1542" t="str" s="2">
        <x:f>=HYPERLINK("https://rsms.futurehomex.com/lead/40164", "Marty Privett")</x:f>
      </x:c>
      <x:c r="B1542" t="n" s="2">
        <x:v>25</x:v>
      </x:c>
      <x:c r="C1542" t="str" s="2">
        <x:v>1/1</x:v>
      </x:c>
      <x:c r="D1542" t="str" s="2">
        <x:f>=""</x:f>
      </x:c>
      <x:c r="E1542" s="0"/>
      <x:c r="F1542" t="str" s="2">
        <x:v>Facebook Messenger</x:v>
      </x:c>
      <x:c r="G1542" t="str" s="2">
        <x:v>Heritage Housing of Oklahoma City</x:v>
      </x:c>
      <x:c r="H1542" t="str" s="2">
        <x:v>Steve Castell</x:v>
      </x:c>
      <x:c r="I1542" s="0"/>
      <x:c r="J1542" t="str" s="2">
        <x:v>Steve Castell</x:v>
      </x:c>
      <x:c r="K1542" t="n" s="2">
        <x:v>5</x:v>
      </x:c>
      <x:c r="L1542" t="str" s="2">
        <x:v>1.1</x:v>
      </x:c>
      <x:c r="M1542" t="str" s="2">
        <x:v>Tentative</x:v>
      </x:c>
      <x:c r="N1542" t="str" s="2">
        <x:v>Deal Created</x:v>
      </x:c>
      <x:c r="O1542" s="0"/>
      <x:c r="P1542" s="6">
        <x:v>46283</x:v>
      </x:c>
      <x:c r="Q1542" s="6">
        <x:v>46283.92844447917</x:v>
      </x:c>
      <x:c r="R1542" s="0"/>
      <x:c r="S1542" s="6">
        <x:v>46283</x:v>
      </x:c>
      <x:c r="T1542" s="0"/>
      <x:c r="U1542" s="0"/>
      <x:c r="V1542" s="0"/>
      <x:c r="W1542" s="0"/>
      <x:c r="X1542" t="str" s="2">
        <x:v>4054126502</x:v>
      </x:c>
      <x:c r="Y1542" t="str" s="2">
        <x:v>marty@peopleresources.biz</x:v>
      </x:c>
      <x:c r="Z1542" s="6">
        <x:v>46283.9312627662</x:v>
      </x:c>
      <x:c r="AA1542" t="str" s="2">
        <x:v>Steve Castell</x:v>
      </x:c>
      <x:c r="AB1542" s="6">
        <x:v>46283.92844621528</x:v>
      </x:c>
      <x:c r="AC1542" t="n" s="2">
        <x:v>40164</x:v>
      </x:c>
      <x:c r="AD1542" s="0"/>
      <x:c r="AE1542" s="0"/>
      <x:c r="AF1542" s="0"/>
      <x:c r="AG1542" s="0"/>
      <x:c r="AH1542" s="0"/>
      <x:c r="AI1542" s="0"/>
      <x:c r="AJ1542" s="0"/>
      <x:c r="AK1542" s="0"/>
    </x:row>
    <x:row r="1543">
      <x:c r="A1543" t="str" s="2">
        <x:f>=HYPERLINK("https://rsms.futurehomex.com/lead/40166", "Charla Hernandez")</x:f>
      </x:c>
      <x:c r="B1543" t="n" s="2">
        <x:v>25</x:v>
      </x:c>
      <x:c r="C1543" t="str" s="2">
        <x:v>0/1</x:v>
      </x:c>
      <x:c r="D1543" t="str" s="2">
        <x:f>=""</x:f>
      </x:c>
      <x:c r="E1543" s="0"/>
      <x:c r="F1543" t="str" s="2">
        <x:v>Landing_BPM</x:v>
      </x:c>
      <x:c r="G1543" t="str" s="2">
        <x:v>Heritage Housing of Oklahoma City</x:v>
      </x:c>
      <x:c r="H1543" t="str" s="2">
        <x:v>Noemi Rojo</x:v>
      </x:c>
      <x:c r="I1543" s="0"/>
      <x:c r="J1543" t="str" s="2">
        <x:v>Steve Castell</x:v>
      </x:c>
      <x:c r="K1543" t="n" s="2">
        <x:v>5</x:v>
      </x:c>
      <x:c r="L1543" t="str" s="2">
        <x:v>1.1</x:v>
      </x:c>
      <x:c r="M1543" t="str" s="2">
        <x:v>Dead</x:v>
      </x:c>
      <x:c r="N1543" t="str" s="2">
        <x:v>Deal Created</x:v>
      </x:c>
      <x:c r="O1543" s="0"/>
      <x:c r="P1543" s="6">
        <x:v>46283</x:v>
      </x:c>
      <x:c r="Q1543" s="6">
        <x:v>46283.932496875</x:v>
      </x:c>
      <x:c r="R1543" s="0"/>
      <x:c r="S1543" s="0"/>
      <x:c r="T1543" s="0"/>
      <x:c r="U1543" s="0"/>
      <x:c r="V1543" s="0"/>
      <x:c r="W1543" s="0"/>
      <x:c r="X1543" t="str" s="2">
        <x:v>4058985985</x:v>
      </x:c>
      <x:c r="Y1543" t="str" s="2">
        <x:v>butterflyaway667@gmail.com</x:v>
      </x:c>
      <x:c r="Z1543" s="6">
        <x:v>46283.935146145835</x:v>
      </x:c>
      <x:c r="AA1543" t="str" s="2">
        <x:v>Steve Castell</x:v>
      </x:c>
      <x:c r="AB1543" s="6">
        <x:v>46283.93268082176</x:v>
      </x:c>
      <x:c r="AC1543" t="n" s="2">
        <x:v>40166</x:v>
      </x:c>
      <x:c r="AD1543" s="0"/>
      <x:c r="AE1543" s="0"/>
      <x:c r="AF1543" s="0"/>
      <x:c r="AG1543" s="0"/>
      <x:c r="AH1543" s="0"/>
      <x:c r="AI1543" s="0"/>
      <x:c r="AJ1543" s="0"/>
      <x:c r="AK1543" s="0"/>
    </x:row>
    <x:row r="1544">
      <x:c r="A1544" t="str" s="2">
        <x:f>=HYPERLINK("https://rsms.futurehomex.com/lead/40167", "Melody Channon")</x:f>
      </x:c>
      <x:c r="B1544" t="n" s="2">
        <x:v>25</x:v>
      </x:c>
      <x:c r="C1544" t="str" s="2">
        <x:v>0/1</x:v>
      </x:c>
      <x:c r="D1544" t="str" s="2">
        <x:f>=""</x:f>
      </x:c>
      <x:c r="E1544" s="0"/>
      <x:c r="F1544" t="str" s="2">
        <x:v>Office Hot Calls</x:v>
      </x:c>
      <x:c r="G1544" t="str" s="2">
        <x:v>Heritage Housing of Oklahoma City</x:v>
      </x:c>
      <x:c r="H1544" t="str" s="2">
        <x:v>Trey Rixleben</x:v>
      </x:c>
      <x:c r="I1544" s="0"/>
      <x:c r="J1544" s="0"/>
      <x:c r="K1544" t="n" s="2">
        <x:v>5</x:v>
      </x:c>
      <x:c r="L1544" t="str" s="2">
        <x:v>1.1</x:v>
      </x:c>
      <x:c r="M1544" t="str" s="2">
        <x:v>Tentative</x:v>
      </x:c>
      <x:c r="N1544" t="str" s="2">
        <x:v>Deal Created</x:v>
      </x:c>
      <x:c r="O1544" s="0"/>
      <x:c r="P1544" s="6">
        <x:v>46283</x:v>
      </x:c>
      <x:c r="Q1544" s="6">
        <x:v>46283.94205297454</x:v>
      </x:c>
      <x:c r="R1544" s="0"/>
      <x:c r="S1544" s="6">
        <x:v>46283</x:v>
      </x:c>
      <x:c r="T1544" s="0"/>
      <x:c r="U1544" s="0"/>
      <x:c r="V1544" s="0"/>
      <x:c r="W1544" s="0"/>
      <x:c r="X1544" t="str" s="2">
        <x:v>4055688425</x:v>
      </x:c>
      <x:c r="Y1544" t="str" s="2">
        <x:v>4055688425</x:v>
      </x:c>
      <x:c r="Z1544" s="6">
        <x:v>46297.70738472222</x:v>
      </x:c>
      <x:c r="AA1544" t="str" s="2">
        <x:v>Trey Rixleben</x:v>
      </x:c>
      <x:c r="AB1544" s="6">
        <x:v>46283.942054548614</x:v>
      </x:c>
      <x:c r="AC1544" t="n" s="2">
        <x:v>40167</x:v>
      </x:c>
      <x:c r="AD1544" s="0"/>
      <x:c r="AE1544" s="0"/>
      <x:c r="AF1544" s="0"/>
      <x:c r="AG1544" s="0"/>
      <x:c r="AH1544" s="0"/>
      <x:c r="AI1544" s="0"/>
      <x:c r="AJ1544" s="0"/>
      <x:c r="AK1544" s="0"/>
    </x:row>
    <x:row r="1545">
      <x:c r="A1545" t="str" s="2">
        <x:f>=HYPERLINK("https://rsms.futurehomex.com/lead/40168", "Judy Maranto")</x:f>
      </x:c>
      <x:c r="B1545" t="n" s="2">
        <x:v>24</x:v>
      </x:c>
      <x:c r="C1545" t="str" s="2">
        <x:v/>
      </x:c>
      <x:c r="D1545" t="str" s="2">
        <x:f>=""</x:f>
      </x:c>
      <x:c r="E1545" s="0"/>
      <x:c r="F1545" t="str" s="2">
        <x:v>Website</x:v>
      </x:c>
      <x:c r="G1545" t="str" s="2">
        <x:v>Heritage Housing Mt Pleasant</x:v>
      </x:c>
      <x:c r="H1545" t="str" s="2">
        <x:v>Yarelis Torres</x:v>
      </x:c>
      <x:c r="I1545" s="0"/>
      <x:c r="J1545" t="str" s="2">
        <x:v>Sandra Saldana</x:v>
      </x:c>
      <x:c r="K1545" t="n" s="2">
        <x:v>5</x:v>
      </x:c>
      <x:c r="L1545" t="str" s="2">
        <x:v>1.1</x:v>
      </x:c>
      <x:c r="M1545" t="str" s="2">
        <x:v>Tentative</x:v>
      </x:c>
      <x:c r="N1545" t="str" s="2">
        <x:v>Prospect</x:v>
      </x:c>
      <x:c r="O1545" s="0"/>
      <x:c r="P1545" s="6">
        <x:v>46284</x:v>
      </x:c>
      <x:c r="Q1545" s="6">
        <x:v>46284.009256400466</x:v>
      </x:c>
      <x:c r="R1545" s="0"/>
      <x:c r="S1545" s="0"/>
      <x:c r="T1545" s="0"/>
      <x:c r="U1545" s="0"/>
      <x:c r="V1545" s="0"/>
      <x:c r="W1545" s="0"/>
      <x:c r="X1545" t="str" s="2">
        <x:v>3185054888</x:v>
      </x:c>
      <x:c r="Y1545" t="str" s="2">
        <x:v>judyruth545@gmail.com</x:v>
      </x:c>
      <x:c r="Z1545" s="6">
        <x:v>46285.578505474536</x:v>
      </x:c>
      <x:c r="AA1545" t="str" s="2">
        <x:v>Sandra Saldana</x:v>
      </x:c>
      <x:c r="AB1545" s="6">
        <x:v>46284.00960046296</x:v>
      </x:c>
      <x:c r="AC1545" t="n" s="2">
        <x:v>40168</x:v>
      </x:c>
      <x:c r="AD1545" s="0"/>
      <x:c r="AE1545" s="0"/>
      <x:c r="AF1545" s="0"/>
      <x:c r="AG1545" s="0"/>
      <x:c r="AH1545" s="0"/>
      <x:c r="AI1545" s="0"/>
      <x:c r="AJ1545" s="0"/>
      <x:c r="AK1545" s="0"/>
    </x:row>
    <x:row r="1546">
      <x:c r="A1546" t="str" s="2">
        <x:f>=HYPERLINK("https://rsms.futurehomex.com/lead/40169", "Tammy Keating")</x:f>
      </x:c>
      <x:c r="B1546" t="n" s="2">
        <x:v>24</x:v>
      </x:c>
      <x:c r="C1546" t="str" s="2">
        <x:v/>
      </x:c>
      <x:c r="D1546" t="str" s="2">
        <x:f>=""</x:f>
      </x:c>
      <x:c r="E1546" s="0"/>
      <x:c r="F1546" t="str" s="2">
        <x:v>Office Hot Calls</x:v>
      </x:c>
      <x:c r="G1546" t="str" s="2">
        <x:v>Heritage Housing Mt Pleasant</x:v>
      </x:c>
      <x:c r="H1546" t="str" s="2">
        <x:v>Yarelis Torres</x:v>
      </x:c>
      <x:c r="I1546" s="0"/>
      <x:c r="J1546" t="str" s="2">
        <x:v>Yarelis Torres</x:v>
      </x:c>
      <x:c r="K1546" t="n" s="2">
        <x:v>5</x:v>
      </x:c>
      <x:c r="L1546" t="str" s="2">
        <x:v>1.1</x:v>
      </x:c>
      <x:c r="M1546" t="str" s="2">
        <x:v>Tentative</x:v>
      </x:c>
      <x:c r="N1546" t="str" s="2">
        <x:v>Deal Created</x:v>
      </x:c>
      <x:c r="O1546" s="0"/>
      <x:c r="P1546" s="6">
        <x:v>46284</x:v>
      </x:c>
      <x:c r="Q1546" s="6">
        <x:v>46284.01181238426</x:v>
      </x:c>
      <x:c r="R1546" s="0"/>
      <x:c r="S1546" s="0"/>
      <x:c r="T1546" s="0"/>
      <x:c r="U1546" s="0"/>
      <x:c r="V1546" s="0"/>
      <x:c r="W1546" s="0"/>
      <x:c r="X1546" t="str" s="2">
        <x:v>2812362727</x:v>
      </x:c>
      <x:c r="Y1546" t="str" s="2">
        <x:v>2812362727</x:v>
      </x:c>
      <x:c r="Z1546" s="6">
        <x:v>46284.94787048611</x:v>
      </x:c>
      <x:c r="AA1546" t="str" s="2">
        <x:v>Yarelis Torres</x:v>
      </x:c>
      <x:c r="AB1546" s="6">
        <x:v>46284.01181415509</x:v>
      </x:c>
      <x:c r="AC1546" t="n" s="2">
        <x:v>40169</x:v>
      </x:c>
      <x:c r="AD1546" s="0"/>
      <x:c r="AE1546" s="0"/>
      <x:c r="AF1546" s="0"/>
      <x:c r="AG1546" s="0"/>
      <x:c r="AH1546" s="0"/>
      <x:c r="AI1546" s="0"/>
      <x:c r="AJ1546" s="0"/>
      <x:c r="AK1546" s="0"/>
    </x:row>
    <x:row r="1547">
      <x:c r="A1547" t="str" s="2">
        <x:f>=HYPERLINK("https://rsms.futurehomex.com/lead/40170", "Jonathan Elmelund")</x:f>
      </x:c>
      <x:c r="B1547" t="n" s="2">
        <x:v>24</x:v>
      </x:c>
      <x:c r="C1547" t="str" s="2">
        <x:v>1/1</x:v>
      </x:c>
      <x:c r="D1547" t="str" s="2">
        <x:f>=""</x:f>
      </x:c>
      <x:c r="E1547" t="str" s="2">
        <x:v>Keona Elmelund</x:v>
      </x:c>
      <x:c r="F1547" t="str" s="2">
        <x:v>Walk-in</x:v>
      </x:c>
      <x:c r="G1547" t="str" s="2">
        <x:v>Heritage Housing of Oklahoma City</x:v>
      </x:c>
      <x:c r="H1547" t="str" s="2">
        <x:v>Trey Rixleben</x:v>
      </x:c>
      <x:c r="I1547" s="0"/>
      <x:c r="J1547" s="0"/>
      <x:c r="K1547" t="n" s="2">
        <x:v>5</x:v>
      </x:c>
      <x:c r="L1547" t="str" s="2">
        <x:v>1.1</x:v>
      </x:c>
      <x:c r="M1547" t="str" s="2">
        <x:v>Tentative</x:v>
      </x:c>
      <x:c r="N1547" t="str" s="2">
        <x:v>Deal Created</x:v>
      </x:c>
      <x:c r="O1547" s="0"/>
      <x:c r="P1547" s="6">
        <x:v>46284</x:v>
      </x:c>
      <x:c r="Q1547" s="6">
        <x:v>46284.57030802083</x:v>
      </x:c>
      <x:c r="R1547" s="0"/>
      <x:c r="S1547" s="6">
        <x:v>46283</x:v>
      </x:c>
      <x:c r="T1547" s="0"/>
      <x:c r="U1547" s="0"/>
      <x:c r="V1547" s="0"/>
      <x:c r="W1547" s="0"/>
      <x:c r="X1547" t="str" s="2">
        <x:v>3035017765</x:v>
      </x:c>
      <x:c r="Y1547" t="str" s="2">
        <x:v>jonathan.elmelund@yahoo.com</x:v>
      </x:c>
      <x:c r="Z1547" s="6">
        <x:v>46289.93100185185</x:v>
      </x:c>
      <x:c r="AA1547" t="str" s="2">
        <x:v>Trey Rixleben</x:v>
      </x:c>
      <x:c r="AB1547" s="6">
        <x:v>46284.569818634256</x:v>
      </x:c>
      <x:c r="AC1547" t="n" s="2">
        <x:v>40170</x:v>
      </x:c>
      <x:c r="AD1547" s="0"/>
      <x:c r="AE1547" s="0"/>
      <x:c r="AF1547" s="0"/>
      <x:c r="AG1547" s="0"/>
      <x:c r="AH1547" s="0"/>
      <x:c r="AI1547" s="0"/>
      <x:c r="AJ1547" s="0"/>
      <x:c r="AK1547" s="0"/>
    </x:row>
    <x:row r="1548">
      <x:c r="A1548" t="str" s="2">
        <x:f>=HYPERLINK("https://rsms.futurehomex.com/lead/40171", "Deven Raines")</x:f>
      </x:c>
      <x:c r="B1548" t="n" s="2">
        <x:v>24</x:v>
      </x:c>
      <x:c r="C1548" t="str" s="2">
        <x:v>1/2</x:v>
      </x:c>
      <x:c r="D1548" t="str" s="2">
        <x:f>=""</x:f>
      </x:c>
      <x:c r="E1548" s="0"/>
      <x:c r="F1548" t="str" s="2">
        <x:v>Landing_BPM</x:v>
      </x:c>
      <x:c r="G1548" t="str" s="2">
        <x:v>Heritage Housing of Oklahoma City</x:v>
      </x:c>
      <x:c r="H1548" t="str" s="2">
        <x:v>Trey Rixleben</x:v>
      </x:c>
      <x:c r="I1548" s="0"/>
      <x:c r="J1548" t="str" s="2">
        <x:v>Trey Rixleben</x:v>
      </x:c>
      <x:c r="K1548" t="n" s="2">
        <x:v>5</x:v>
      </x:c>
      <x:c r="L1548" t="str" s="2">
        <x:v>1.1</x:v>
      </x:c>
      <x:c r="M1548" t="str" s="2">
        <x:v>Tentative</x:v>
      </x:c>
      <x:c r="N1548" t="str" s="2">
        <x:v>Deal Created</x:v>
      </x:c>
      <x:c r="O1548" s="0"/>
      <x:c r="P1548" s="6">
        <x:v>46284</x:v>
      </x:c>
      <x:c r="Q1548" s="6">
        <x:v>46296.83893834491</x:v>
      </x:c>
      <x:c r="R1548" s="0"/>
      <x:c r="S1548" s="0"/>
      <x:c r="T1548" s="0"/>
      <x:c r="U1548" s="0"/>
      <x:c r="V1548" s="0"/>
      <x:c r="W1548" s="0"/>
      <x:c r="X1548" t="str" s="2">
        <x:v>9183197183</x:v>
      </x:c>
      <x:c r="Y1548" t="str" s="2">
        <x:v>devenraines32@gmail.com</x:v>
      </x:c>
      <x:c r="Z1548" s="6">
        <x:v>46296.84002939815</x:v>
      </x:c>
      <x:c r="AA1548" t="str" s="2">
        <x:v>Trey Rixleben</x:v>
      </x:c>
      <x:c r="AB1548" s="6">
        <x:v>46284.57763417824</x:v>
      </x:c>
      <x:c r="AC1548" t="n" s="2">
        <x:v>40171</x:v>
      </x:c>
      <x:c r="AD1548" s="0"/>
      <x:c r="AE1548" s="0"/>
      <x:c r="AF1548" s="0"/>
      <x:c r="AG1548" s="0"/>
      <x:c r="AH1548" s="0"/>
      <x:c r="AI1548" s="0"/>
      <x:c r="AJ1548" s="0"/>
      <x:c r="AK1548" s="0"/>
    </x:row>
    <x:row r="1549">
      <x:c r="A1549" t="str" s="2">
        <x:f>=HYPERLINK("https://rsms.futurehomex.com/lead/40172", "Tara Scott")</x:f>
      </x:c>
      <x:c r="B1549" t="n" s="2">
        <x:v>24</x:v>
      </x:c>
      <x:c r="C1549" t="str" s="2">
        <x:v>1/1</x:v>
      </x:c>
      <x:c r="D1549" t="str" s="2">
        <x:f>=""</x:f>
      </x:c>
      <x:c r="E1549" s="0"/>
      <x:c r="F1549" t="str" s="2">
        <x:v>Landing_BPM</x:v>
      </x:c>
      <x:c r="G1549" t="str" s="2">
        <x:v>Heritage Housing of Oklahoma City</x:v>
      </x:c>
      <x:c r="H1549" t="str" s="2">
        <x:v>Trey Rixleben</x:v>
      </x:c>
      <x:c r="I1549" s="0"/>
      <x:c r="J1549" t="str" s="2">
        <x:v>Trey Rixleben</x:v>
      </x:c>
      <x:c r="K1549" t="n" s="2">
        <x:v>5</x:v>
      </x:c>
      <x:c r="L1549" t="str" s="2">
        <x:v>1.1</x:v>
      </x:c>
      <x:c r="M1549" t="str" s="2">
        <x:v>Tentative</x:v>
      </x:c>
      <x:c r="N1549" t="str" s="2">
        <x:v>Deal Created</x:v>
      </x:c>
      <x:c r="O1549" s="0"/>
      <x:c r="P1549" s="6">
        <x:v>46284</x:v>
      </x:c>
      <x:c r="Q1549" s="6">
        <x:v>46304.77827256944</x:v>
      </x:c>
      <x:c r="R1549" s="0"/>
      <x:c r="S1549" s="0"/>
      <x:c r="T1549" s="0"/>
      <x:c r="U1549" s="0"/>
      <x:c r="V1549" s="0"/>
      <x:c r="W1549" s="0"/>
      <x:c r="X1549" t="str" s="2">
        <x:v>4702784270</x:v>
      </x:c>
      <x:c r="Y1549" t="str" s="2">
        <x:v>tarashantel@gmaill.com</x:v>
      </x:c>
      <x:c r="Z1549" s="6">
        <x:v>46304.77868773148</x:v>
      </x:c>
      <x:c r="AA1549" t="str" s="2">
        <x:v>Trey Rixleben</x:v>
      </x:c>
      <x:c r="AB1549" s="6">
        <x:v>46284.580400266204</x:v>
      </x:c>
      <x:c r="AC1549" t="n" s="2">
        <x:v>40172</x:v>
      </x:c>
      <x:c r="AD1549" s="0"/>
      <x:c r="AE1549" s="0"/>
      <x:c r="AF1549" s="0"/>
      <x:c r="AG1549" s="0"/>
      <x:c r="AH1549" s="0"/>
      <x:c r="AI1549" s="0"/>
      <x:c r="AJ1549" s="0"/>
      <x:c r="AK1549" s="0"/>
    </x:row>
    <x:row r="1550">
      <x:c r="A1550" t="str" s="2">
        <x:f>=HYPERLINK("https://rsms.futurehomex.com/lead/40173", "Matthew Grass-Moore")</x:f>
      </x:c>
      <x:c r="B1550" t="n" s="2">
        <x:v>24</x:v>
      </x:c>
      <x:c r="C1550" t="str" s="2">
        <x:v>1/4</x:v>
      </x:c>
      <x:c r="D1550" t="str" s="2">
        <x:f>=""</x:f>
      </x:c>
      <x:c r="E1550" s="0"/>
      <x:c r="F1550" t="str" s="2">
        <x:v>Facebook Messenger</x:v>
      </x:c>
      <x:c r="G1550" t="str" s="2">
        <x:v>Heritage Housing of Oklahoma City</x:v>
      </x:c>
      <x:c r="H1550" t="str" s="2">
        <x:v>Steve Castell</x:v>
      </x:c>
      <x:c r="I1550" s="0"/>
      <x:c r="J1550" t="str" s="2">
        <x:v>Steve Castell</x:v>
      </x:c>
      <x:c r="K1550" t="n" s="2">
        <x:v>5</x:v>
      </x:c>
      <x:c r="L1550" t="str" s="2">
        <x:v>1.1</x:v>
      </x:c>
      <x:c r="M1550" t="str" s="2">
        <x:v>Tentative</x:v>
      </x:c>
      <x:c r="N1550" t="str" s="2">
        <x:v>Deal Created</x:v>
      </x:c>
      <x:c r="O1550" s="0"/>
      <x:c r="P1550" s="6">
        <x:v>46284</x:v>
      </x:c>
      <x:c r="Q1550" s="6">
        <x:v>46284.595431747686</x:v>
      </x:c>
      <x:c r="R1550" s="0"/>
      <x:c r="S1550" s="0"/>
      <x:c r="T1550" s="0"/>
      <x:c r="U1550" s="0"/>
      <x:c r="V1550" s="0"/>
      <x:c r="W1550" s="0"/>
      <x:c r="X1550" t="str" s="2">
        <x:v>4056172389</x:v>
      </x:c>
      <x:c r="Y1550" t="str" s="2">
        <x:v>4056172389</x:v>
      </x:c>
      <x:c r="Z1550" s="6">
        <x:v>46304.04338533565</x:v>
      </x:c>
      <x:c r="AA1550" t="str" s="2">
        <x:v>Steve Castell</x:v>
      </x:c>
      <x:c r="AB1550" s="6">
        <x:v>46284.595432256945</x:v>
      </x:c>
      <x:c r="AC1550" t="n" s="2">
        <x:v>40173</x:v>
      </x:c>
      <x:c r="AD1550" s="0"/>
      <x:c r="AE1550" s="0"/>
      <x:c r="AF1550" s="0"/>
      <x:c r="AG1550" s="0"/>
      <x:c r="AH1550" s="0"/>
      <x:c r="AI1550" s="0"/>
      <x:c r="AJ1550" s="0"/>
      <x:c r="AK1550" s="0"/>
    </x:row>
    <x:row r="1551">
      <x:c r="A1551" t="str" s="2">
        <x:f>=HYPERLINK("https://rsms.futurehomex.com/lead/40174", "michelle anderson")</x:f>
      </x:c>
      <x:c r="B1551" t="n" s="2">
        <x:v>24</x:v>
      </x:c>
      <x:c r="C1551" t="str" s="2">
        <x:v>0/3</x:v>
      </x:c>
      <x:c r="D1551" t="str" s="2">
        <x:f>=""</x:f>
      </x:c>
      <x:c r="E1551" s="0"/>
      <x:c r="F1551" t="str" s="2">
        <x:v>Youtube</x:v>
      </x:c>
      <x:c r="G1551" t="str" s="2">
        <x:v>Heritage Housing of Oklahoma City</x:v>
      </x:c>
      <x:c r="H1551" t="str" s="2">
        <x:v>Steve Castell</x:v>
      </x:c>
      <x:c r="I1551" s="0"/>
      <x:c r="J1551" t="str" s="2">
        <x:v>Steve Castell</x:v>
      </x:c>
      <x:c r="K1551" t="n" s="2">
        <x:v>5</x:v>
      </x:c>
      <x:c r="L1551" t="str" s="2">
        <x:v>1.1</x:v>
      </x:c>
      <x:c r="M1551" t="str" s="2">
        <x:v>Inactive</x:v>
      </x:c>
      <x:c r="N1551" t="str" s="2">
        <x:v>Deal Created</x:v>
      </x:c>
      <x:c r="O1551" s="0"/>
      <x:c r="P1551" s="6">
        <x:v>46284</x:v>
      </x:c>
      <x:c r="Q1551" s="6">
        <x:v>46284.59745929398</x:v>
      </x:c>
      <x:c r="R1551" s="0"/>
      <x:c r="S1551" s="0"/>
      <x:c r="T1551" s="0"/>
      <x:c r="U1551" s="0"/>
      <x:c r="V1551" s="0"/>
      <x:c r="W1551" s="0"/>
      <x:c r="X1551" t="str" s="2">
        <x:v>4052270487</x:v>
      </x:c>
      <x:c r="Y1551" t="str" s="2">
        <x:v>MEKASBEADS@GMAIL.COM</x:v>
      </x:c>
      <x:c r="Z1551" s="6">
        <x:v>46303.95348966435</x:v>
      </x:c>
      <x:c r="AA1551" t="str" s="2">
        <x:v>Steve Castell</x:v>
      </x:c>
      <x:c r="AB1551" s="6">
        <x:v>46284.59745983796</x:v>
      </x:c>
      <x:c r="AC1551" t="n" s="2">
        <x:v>40174</x:v>
      </x:c>
      <x:c r="AD1551" s="0"/>
      <x:c r="AE1551" s="0"/>
      <x:c r="AF1551" s="0"/>
      <x:c r="AG1551" s="0"/>
      <x:c r="AH1551" s="0"/>
      <x:c r="AI1551" s="0"/>
      <x:c r="AJ1551" s="0"/>
      <x:c r="AK1551" s="0"/>
    </x:row>
    <x:row r="1552">
      <x:c r="A1552" t="str" s="2">
        <x:f>=HYPERLINK("https://rsms.futurehomex.com/lead/40176", "Natosha nicely")</x:f>
      </x:c>
      <x:c r="B1552" t="n" s="2">
        <x:v>24</x:v>
      </x:c>
      <x:c r="C1552" t="str" s="2">
        <x:v>1/1</x:v>
      </x:c>
      <x:c r="D1552" t="str" s="2">
        <x:f>=""</x:f>
      </x:c>
      <x:c r="E1552" s="0"/>
      <x:c r="F1552" t="str" s="2">
        <x:v>Landing_BPM</x:v>
      </x:c>
      <x:c r="G1552" t="str" s="2">
        <x:v>Heritage Housing of Oklahoma City</x:v>
      </x:c>
      <x:c r="H1552" t="str" s="2">
        <x:v>Trey Rixleben</x:v>
      </x:c>
      <x:c r="I1552" s="0"/>
      <x:c r="J1552" t="str" s="2">
        <x:v>Trey Rixleben</x:v>
      </x:c>
      <x:c r="K1552" t="n" s="2">
        <x:v>5</x:v>
      </x:c>
      <x:c r="L1552" t="str" s="2">
        <x:v>1.1</x:v>
      </x:c>
      <x:c r="M1552" t="str" s="2">
        <x:v>Tentative</x:v>
      </x:c>
      <x:c r="N1552" t="str" s="2">
        <x:v>Deal Created</x:v>
      </x:c>
      <x:c r="O1552" s="0"/>
      <x:c r="P1552" s="6">
        <x:v>46284</x:v>
      </x:c>
      <x:c r="Q1552" s="6">
        <x:v>46295.95088271991</x:v>
      </x:c>
      <x:c r="R1552" s="0"/>
      <x:c r="S1552" s="0"/>
      <x:c r="T1552" s="0"/>
      <x:c r="U1552" s="0"/>
      <x:c r="V1552" s="0"/>
      <x:c r="W1552" s="0"/>
      <x:c r="X1552" t="str" s="2">
        <x:v>4057654083</x:v>
      </x:c>
      <x:c r="Y1552" t="str" s="2">
        <x:v>natnicely1990@gmail.com</x:v>
      </x:c>
      <x:c r="Z1552" s="6">
        <x:v>46295.952082407406</x:v>
      </x:c>
      <x:c r="AA1552" t="str" s="2">
        <x:v>Trey Rixleben</x:v>
      </x:c>
      <x:c r="AB1552" s="6">
        <x:v>46284.60453607639</x:v>
      </x:c>
      <x:c r="AC1552" t="n" s="2">
        <x:v>40176</x:v>
      </x:c>
      <x:c r="AD1552" s="0"/>
      <x:c r="AE1552" s="0"/>
      <x:c r="AF1552" s="0"/>
      <x:c r="AG1552" s="0"/>
      <x:c r="AH1552" s="0"/>
      <x:c r="AI1552" s="0"/>
      <x:c r="AJ1552" s="0"/>
      <x:c r="AK1552" s="0"/>
    </x:row>
    <x:row r="1553">
      <x:c r="A1553" t="str" s="2">
        <x:f>=HYPERLINK("https://rsms.futurehomex.com/lead/40177", "Amanda Ballard")</x:f>
      </x:c>
      <x:c r="B1553" t="n" s="2">
        <x:v>24</x:v>
      </x:c>
      <x:c r="C1553" t="str" s="2">
        <x:v>0/2</x:v>
      </x:c>
      <x:c r="D1553" t="str" s="2">
        <x:f>=""</x:f>
      </x:c>
      <x:c r="E1553" s="0"/>
      <x:c r="F1553" t="str" s="2">
        <x:v>Financing Form</x:v>
      </x:c>
      <x:c r="G1553" t="str" s="2">
        <x:v>Heritage Housing of Oklahoma City</x:v>
      </x:c>
      <x:c r="H1553" t="str" s="2">
        <x:v>Noemi Rojo</x:v>
      </x:c>
      <x:c r="I1553" s="0"/>
      <x:c r="J1553" s="0"/>
      <x:c r="K1553" t="n" s="2">
        <x:v>5</x:v>
      </x:c>
      <x:c r="L1553" t="str" s="2">
        <x:v>1.1</x:v>
      </x:c>
      <x:c r="M1553" t="str" s="2">
        <x:v>Tentative</x:v>
      </x:c>
      <x:c r="N1553" t="str" s="2">
        <x:v>Deal Created</x:v>
      </x:c>
      <x:c r="O1553" s="0"/>
      <x:c r="P1553" s="6">
        <x:v>46284</x:v>
      </x:c>
      <x:c r="Q1553" s="6">
        <x:v>46287.994180127316</x:v>
      </x:c>
      <x:c r="R1553" s="0"/>
      <x:c r="S1553" s="0"/>
      <x:c r="T1553" s="0"/>
      <x:c r="U1553" s="0"/>
      <x:c r="V1553" s="0"/>
      <x:c r="W1553" s="0"/>
      <x:c r="X1553" t="str" s="2">
        <x:v>9188895621</x:v>
      </x:c>
      <x:c r="Y1553" t="str" s="2">
        <x:v>ballardamanda44@gmail.com</x:v>
      </x:c>
      <x:c r="Z1553" s="6">
        <x:v>46301.720882326386</x:v>
      </x:c>
      <x:c r="AA1553" t="str" s="2">
        <x:v>Noemi Rojo</x:v>
      </x:c>
      <x:c r="AB1553" s="6">
        <x:v>46284.61065</x:v>
      </x:c>
      <x:c r="AC1553" t="n" s="2">
        <x:v>40177</x:v>
      </x:c>
      <x:c r="AD1553" s="0"/>
      <x:c r="AE1553" s="0"/>
      <x:c r="AF1553" s="0"/>
      <x:c r="AG1553" s="0"/>
      <x:c r="AH1553" s="0"/>
      <x:c r="AI1553" s="0"/>
      <x:c r="AJ1553" s="0"/>
      <x:c r="AK1553" s="0"/>
    </x:row>
    <x:row r="1554">
      <x:c r="A1554" t="str" s="2">
        <x:f>=HYPERLINK("https://rsms.futurehomex.com/lead/40178", "Myrakyle Taylor")</x:f>
      </x:c>
      <x:c r="B1554" t="n" s="2">
        <x:v>24</x:v>
      </x:c>
      <x:c r="C1554" t="str" s="2">
        <x:v>0/3</x:v>
      </x:c>
      <x:c r="D1554" t="str" s="2">
        <x:f>=""</x:f>
      </x:c>
      <x:c r="E1554" s="0"/>
      <x:c r="F1554" t="str" s="2">
        <x:v>Financing Form</x:v>
      </x:c>
      <x:c r="G1554" t="str" s="2">
        <x:v>Heritage Housing of Oklahoma City</x:v>
      </x:c>
      <x:c r="H1554" t="str" s="2">
        <x:v>Noemi Rojo</x:v>
      </x:c>
      <x:c r="I1554" s="0"/>
      <x:c r="J1554" s="0"/>
      <x:c r="K1554" t="n" s="2">
        <x:v>5</x:v>
      </x:c>
      <x:c r="L1554" t="str" s="2">
        <x:v>1.1</x:v>
      </x:c>
      <x:c r="M1554" t="str" s="2">
        <x:v>Tentative</x:v>
      </x:c>
      <x:c r="N1554" t="str" s="2">
        <x:v>Deal Created</x:v>
      </x:c>
      <x:c r="O1554" s="0"/>
      <x:c r="P1554" s="6">
        <x:v>46284</x:v>
      </x:c>
      <x:c r="Q1554" s="6">
        <x:v>46287.995129016206</x:v>
      </x:c>
      <x:c r="R1554" s="0"/>
      <x:c r="S1554" s="0"/>
      <x:c r="T1554" s="0"/>
      <x:c r="U1554" s="0"/>
      <x:c r="V1554" s="0"/>
      <x:c r="W1554" s="0"/>
      <x:c r="X1554" t="str" s="2">
        <x:v>2542488298</x:v>
      </x:c>
      <x:c r="Y1554" t="str" s="2">
        <x:v>myrakylet@icloud.com</x:v>
      </x:c>
      <x:c r="Z1554" s="6">
        <x:v>46301.72036640046</x:v>
      </x:c>
      <x:c r="AA1554" t="str" s="2">
        <x:v>Noemi Rojo</x:v>
      </x:c>
      <x:c r="AB1554" s="6">
        <x:v>46284.61024664352</x:v>
      </x:c>
      <x:c r="AC1554" t="n" s="2">
        <x:v>40178</x:v>
      </x:c>
      <x:c r="AD1554" s="0"/>
      <x:c r="AE1554" s="0"/>
      <x:c r="AF1554" s="0"/>
      <x:c r="AG1554" s="0"/>
      <x:c r="AH1554" s="0"/>
      <x:c r="AI1554" s="0"/>
      <x:c r="AJ1554" s="0"/>
      <x:c r="AK1554" s="0"/>
    </x:row>
    <x:row r="1555">
      <x:c r="A1555" t="str" s="2">
        <x:f>=HYPERLINK("https://rsms.futurehomex.com/lead/40179", "Kimberly Stockdale")</x:f>
      </x:c>
      <x:c r="B1555" t="n" s="2">
        <x:v>24</x:v>
      </x:c>
      <x:c r="C1555" t="str" s="2">
        <x:v>1/1</x:v>
      </x:c>
      <x:c r="D1555" t="str" s="2">
        <x:f>=""</x:f>
      </x:c>
      <x:c r="E1555" s="0"/>
      <x:c r="F1555" t="str" s="2">
        <x:v>Youtube</x:v>
      </x:c>
      <x:c r="G1555" t="str" s="2">
        <x:v>Heritage Housing of Oklahoma City</x:v>
      </x:c>
      <x:c r="H1555" t="str" s="2">
        <x:v>Trey Rixleben</x:v>
      </x:c>
      <x:c r="I1555" s="0"/>
      <x:c r="J1555" t="str" s="2">
        <x:v>Trey Rixleben</x:v>
      </x:c>
      <x:c r="K1555" t="n" s="2">
        <x:v>5</x:v>
      </x:c>
      <x:c r="L1555" t="str" s="2">
        <x:v>1.1</x:v>
      </x:c>
      <x:c r="M1555" t="str" s="2">
        <x:v>Tentative</x:v>
      </x:c>
      <x:c r="N1555" t="str" s="2">
        <x:v>Deal Created</x:v>
      </x:c>
      <x:c r="O1555" s="0"/>
      <x:c r="P1555" s="6">
        <x:v>46284</x:v>
      </x:c>
      <x:c r="Q1555" s="6">
        <x:v>46308.70809664352</x:v>
      </x:c>
      <x:c r="R1555" s="0"/>
      <x:c r="S1555" s="0"/>
      <x:c r="T1555" s="0"/>
      <x:c r="U1555" s="0"/>
      <x:c r="V1555" s="0"/>
      <x:c r="W1555" s="0"/>
      <x:c r="X1555" t="str" s="2">
        <x:v>4052874232</x:v>
      </x:c>
      <x:c r="Y1555" t="str" s="2">
        <x:v>stockdalekimberly00@gmail.com</x:v>
      </x:c>
      <x:c r="Z1555" s="6">
        <x:v>46308.7092537037</x:v>
      </x:c>
      <x:c r="AA1555" t="str" s="2">
        <x:v>Trey Rixleben</x:v>
      </x:c>
      <x:c r="AB1555" s="6">
        <x:v>46284.60954521991</x:v>
      </x:c>
      <x:c r="AC1555" t="n" s="2">
        <x:v>40179</x:v>
      </x:c>
      <x:c r="AD1555" s="0"/>
      <x:c r="AE1555" s="0"/>
      <x:c r="AF1555" s="0"/>
      <x:c r="AG1555" s="0"/>
      <x:c r="AH1555" s="0"/>
      <x:c r="AI1555" s="0"/>
      <x:c r="AJ1555" s="0"/>
      <x:c r="AK1555" s="0"/>
    </x:row>
    <x:row r="1556">
      <x:c r="A1556" t="str" s="2">
        <x:f>=HYPERLINK("https://rsms.futurehomex.com/lead/40180", "KAYLEE JOHNSON")</x:f>
      </x:c>
      <x:c r="B1556" t="n" s="2">
        <x:v>24</x:v>
      </x:c>
      <x:c r="C1556" t="str" s="2">
        <x:v>0/2</x:v>
      </x:c>
      <x:c r="D1556" t="str" s="2">
        <x:f>=""</x:f>
      </x:c>
      <x:c r="E1556" s="0"/>
      <x:c r="F1556" t="str" s="2">
        <x:v>Youtube</x:v>
      </x:c>
      <x:c r="G1556" t="str" s="2">
        <x:v>Heritage Housing of Oklahoma City</x:v>
      </x:c>
      <x:c r="H1556" t="str" s="2">
        <x:v>Noemi Rojo</x:v>
      </x:c>
      <x:c r="I1556" s="0"/>
      <x:c r="J1556" s="0"/>
      <x:c r="K1556" t="n" s="2">
        <x:v>5</x:v>
      </x:c>
      <x:c r="L1556" t="str" s="2">
        <x:v>1.1</x:v>
      </x:c>
      <x:c r="M1556" t="str" s="2">
        <x:v>Tentative</x:v>
      </x:c>
      <x:c r="N1556" t="str" s="2">
        <x:v>Deal Created</x:v>
      </x:c>
      <x:c r="O1556" s="0"/>
      <x:c r="P1556" s="6">
        <x:v>46284</x:v>
      </x:c>
      <x:c r="Q1556" s="6">
        <x:v>46287.99596987268</x:v>
      </x:c>
      <x:c r="R1556" s="0"/>
      <x:c r="S1556" s="0"/>
      <x:c r="T1556" s="0"/>
      <x:c r="U1556" s="0"/>
      <x:c r="V1556" s="0"/>
      <x:c r="W1556" s="0"/>
      <x:c r="X1556" t="str" s="2">
        <x:v>4056977278</x:v>
      </x:c>
      <x:c r="Y1556" t="str" s="2">
        <x:v>kjohns405@gmail.com</x:v>
      </x:c>
      <x:c r="Z1556" s="6">
        <x:v>46301.720766701386</x:v>
      </x:c>
      <x:c r="AA1556" t="str" s="2">
        <x:v>Noemi Rojo</x:v>
      </x:c>
      <x:c r="AB1556" s="6">
        <x:v>46284.611087997684</x:v>
      </x:c>
      <x:c r="AC1556" t="n" s="2">
        <x:v>40180</x:v>
      </x:c>
      <x:c r="AD1556" s="0"/>
      <x:c r="AE1556" s="0"/>
      <x:c r="AF1556" s="0"/>
      <x:c r="AG1556" s="0"/>
      <x:c r="AH1556" s="0"/>
      <x:c r="AI1556" s="0"/>
      <x:c r="AJ1556" s="0"/>
      <x:c r="AK1556" s="0"/>
    </x:row>
    <x:row r="1557">
      <x:c r="A1557" t="str" s="2">
        <x:f>=HYPERLINK("https://rsms.futurehomex.com/lead/40181", "Andrew Skinner")</x:f>
      </x:c>
      <x:c r="B1557" t="n" s="2">
        <x:v>24</x:v>
      </x:c>
      <x:c r="C1557" t="str" s="2">
        <x:v/>
      </x:c>
      <x:c r="D1557" t="str" s="2">
        <x:f>=""</x:f>
      </x:c>
      <x:c r="E1557" t="str" s="2">
        <x:v>Carrie(confirm Spelling) Skinner</x:v>
      </x:c>
      <x:c r="F1557" t="str" s="2">
        <x:v>Walk-in</x:v>
      </x:c>
      <x:c r="G1557" t="str" s="2">
        <x:v>Heritage Housing of Athens</x:v>
      </x:c>
      <x:c r="H1557" t="str" s="2">
        <x:v>Ethan Fossett</x:v>
      </x:c>
      <x:c r="I1557" s="0"/>
      <x:c r="J1557" s="0"/>
      <x:c r="K1557" t="n" s="2">
        <x:v>5</x:v>
      </x:c>
      <x:c r="L1557" t="str" s="2">
        <x:v>1.1</x:v>
      </x:c>
      <x:c r="M1557" t="str" s="2">
        <x:v>Active</x:v>
      </x:c>
      <x:c r="N1557" t="str" s="2">
        <x:v>Prospect</x:v>
      </x:c>
      <x:c r="O1557" s="0"/>
      <x:c r="P1557" s="6">
        <x:v>46284</x:v>
      </x:c>
      <x:c r="Q1557" s="6">
        <x:v>46287.88141959491</x:v>
      </x:c>
      <x:c r="R1557" s="0"/>
      <x:c r="S1557" s="6">
        <x:v>46284</x:v>
      </x:c>
      <x:c r="T1557" s="0"/>
      <x:c r="U1557" s="0"/>
      <x:c r="V1557" s="0"/>
      <x:c r="W1557" s="0"/>
      <x:c r="X1557" t="str" s="2">
        <x:v>7707697484</x:v>
      </x:c>
      <x:c r="Y1557" t="str" s="2">
        <x:v>drewskinner7@gmail.com</x:v>
      </x:c>
      <x:c r="Z1557" s="0"/>
      <x:c r="AA1557" s="0"/>
      <x:c r="AB1557" s="6">
        <x:v>46284.611772488424</x:v>
      </x:c>
      <x:c r="AC1557" t="n" s="2">
        <x:v>40181</x:v>
      </x:c>
      <x:c r="AD1557" s="0"/>
      <x:c r="AE1557" s="0"/>
      <x:c r="AF1557" s="0"/>
      <x:c r="AG1557" s="7">
        <x:v>0</x:v>
      </x:c>
      <x:c r="AH1557" s="0"/>
      <x:c r="AI1557" t="str" s="2" xml:space="preserve">
        <x:v>680 </x:v>
      </x:c>
      <x:c r="AJ1557" s="0"/>
      <x:c r="AK1557" s="0"/>
    </x:row>
    <x:row r="1558">
      <x:c r="A1558" t="str" s="2">
        <x:f>=HYPERLINK("https://rsms.futurehomex.com/lead/40183", "Verna Duvernois")</x:f>
      </x:c>
      <x:c r="B1558" t="n" s="2">
        <x:v>24</x:v>
      </x:c>
      <x:c r="C1558" t="str" s="2">
        <x:v>0/3</x:v>
      </x:c>
      <x:c r="D1558" t="str" s="2">
        <x:f>=""</x:f>
      </x:c>
      <x:c r="E1558" s="0"/>
      <x:c r="F1558" t="str" s="2">
        <x:v>Financing Form</x:v>
      </x:c>
      <x:c r="G1558" t="str" s="2">
        <x:v>Heritage Housing of Oklahoma City</x:v>
      </x:c>
      <x:c r="H1558" t="str" s="2">
        <x:v>Noemi Rojo</x:v>
      </x:c>
      <x:c r="I1558" s="0"/>
      <x:c r="J1558" s="0"/>
      <x:c r="K1558" t="n" s="2">
        <x:v>5</x:v>
      </x:c>
      <x:c r="L1558" t="str" s="2">
        <x:v>1.1</x:v>
      </x:c>
      <x:c r="M1558" t="str" s="2">
        <x:v>Tentative</x:v>
      </x:c>
      <x:c r="N1558" t="str" s="2">
        <x:v>Deal Created</x:v>
      </x:c>
      <x:c r="O1558" s="0"/>
      <x:c r="P1558" s="6">
        <x:v>46284</x:v>
      </x:c>
      <x:c r="Q1558" s="6">
        <x:v>46287.99682222222</x:v>
      </x:c>
      <x:c r="R1558" s="0"/>
      <x:c r="S1558" s="0"/>
      <x:c r="T1558" s="0"/>
      <x:c r="U1558" s="0"/>
      <x:c r="V1558" s="0"/>
      <x:c r="W1558" s="0"/>
      <x:c r="X1558" t="str" s="2">
        <x:v>4058806648</x:v>
      </x:c>
      <x:c r="Y1558" t="str" s="2">
        <x:v>vernaduvernois19@gmail.com</x:v>
      </x:c>
      <x:c r="Z1558" s="6">
        <x:v>46301.72095721065</x:v>
      </x:c>
      <x:c r="AA1558" t="str" s="2">
        <x:v>Noemi Rojo</x:v>
      </x:c>
      <x:c r="AB1558" s="6">
        <x:v>46284.61285413194</x:v>
      </x:c>
      <x:c r="AC1558" t="n" s="2">
        <x:v>40183</x:v>
      </x:c>
      <x:c r="AD1558" s="0"/>
      <x:c r="AE1558" s="0"/>
      <x:c r="AF1558" s="0"/>
      <x:c r="AG1558" s="0"/>
      <x:c r="AH1558" s="0"/>
      <x:c r="AI1558" s="0"/>
      <x:c r="AJ1558" s="0"/>
      <x:c r="AK1558" s="0"/>
    </x:row>
    <x:row r="1559">
      <x:c r="A1559" t="str" s="2">
        <x:f>=HYPERLINK("https://rsms.futurehomex.com/lead/40184", "Eric Plumbar")</x:f>
      </x:c>
      <x:c r="B1559" t="n" s="2">
        <x:v>24</x:v>
      </x:c>
      <x:c r="C1559" t="str" s="2">
        <x:v>1/1</x:v>
      </x:c>
      <x:c r="D1559" t="str" s="2">
        <x:f>=""</x:f>
      </x:c>
      <x:c r="E1559" s="0"/>
      <x:c r="F1559" t="str" s="2">
        <x:v>Website</x:v>
      </x:c>
      <x:c r="G1559" t="str" s="2">
        <x:v>Heritage Housing of Jennings</x:v>
      </x:c>
      <x:c r="H1559" t="str" s="2">
        <x:v>Clint O'Neal</x:v>
      </x:c>
      <x:c r="I1559" s="0"/>
      <x:c r="J1559" t="str" s="2">
        <x:v>Clint O'Neal</x:v>
      </x:c>
      <x:c r="K1559" t="n" s="2">
        <x:v>5</x:v>
      </x:c>
      <x:c r="L1559" t="str" s="2">
        <x:v>1.1</x:v>
      </x:c>
      <x:c r="M1559" t="str" s="2">
        <x:v>Tentative</x:v>
      </x:c>
      <x:c r="N1559" t="str" s="2">
        <x:v>Deal Created</x:v>
      </x:c>
      <x:c r="O1559" s="0"/>
      <x:c r="P1559" s="6">
        <x:v>46284</x:v>
      </x:c>
      <x:c r="Q1559" s="6">
        <x:v>46284.6307159375</x:v>
      </x:c>
      <x:c r="R1559" s="0"/>
      <x:c r="S1559" s="0"/>
      <x:c r="T1559" s="0"/>
      <x:c r="U1559" s="0"/>
      <x:c r="V1559" s="0"/>
      <x:c r="W1559" s="0"/>
      <x:c r="X1559" t="str" s="2">
        <x:v>3377178750</x:v>
      </x:c>
      <x:c r="Y1559" t="str" s="2">
        <x:v>johnq337@yahoo.com</x:v>
      </x:c>
      <x:c r="Z1559" s="6">
        <x:v>46284.631268715275</x:v>
      </x:c>
      <x:c r="AA1559" t="str" s="2">
        <x:v>Clint O'Neal</x:v>
      </x:c>
      <x:c r="AB1559" s="6">
        <x:v>46284.63015578704</x:v>
      </x:c>
      <x:c r="AC1559" t="n" s="2">
        <x:v>40184</x:v>
      </x:c>
      <x:c r="AD1559" s="0"/>
      <x:c r="AE1559" s="0"/>
      <x:c r="AF1559" s="0"/>
      <x:c r="AG1559" s="0"/>
      <x:c r="AH1559" s="0"/>
      <x:c r="AI1559" s="0"/>
      <x:c r="AJ1559" s="0"/>
      <x:c r="AK1559" s="0"/>
    </x:row>
    <x:row r="1560">
      <x:c r="A1560" t="str" s="2">
        <x:f>=HYPERLINK("https://rsms.futurehomex.com/lead/40185", "Casey Smith")</x:f>
      </x:c>
      <x:c r="B1560" t="n" s="2">
        <x:v>24</x:v>
      </x:c>
      <x:c r="C1560" t="str" s="2">
        <x:v/>
      </x:c>
      <x:c r="D1560" t="str" s="2">
        <x:f>=""</x:f>
      </x:c>
      <x:c r="E1560" s="0"/>
      <x:c r="F1560" t="str" s="2">
        <x:v>Landing_BPM</x:v>
      </x:c>
      <x:c r="G1560" t="str" s="2">
        <x:v>Heritage Housing of Athens</x:v>
      </x:c>
      <x:c r="H1560" t="str" s="2">
        <x:v>Nathan Bishop</x:v>
      </x:c>
      <x:c r="I1560" s="0"/>
      <x:c r="J1560" s="0"/>
      <x:c r="K1560" t="n" s="2">
        <x:v>5</x:v>
      </x:c>
      <x:c r="L1560" t="str" s="2">
        <x:v>1.1</x:v>
      </x:c>
      <x:c r="M1560" t="str" s="2">
        <x:v>Tentative</x:v>
      </x:c>
      <x:c r="N1560" t="str" s="2">
        <x:v>Prospect</x:v>
      </x:c>
      <x:c r="O1560" s="0"/>
      <x:c r="P1560" s="6">
        <x:v>46284</x:v>
      </x:c>
      <x:c r="Q1560" s="6">
        <x:v>46284.64881704861</x:v>
      </x:c>
      <x:c r="R1560" s="0"/>
      <x:c r="S1560" s="0"/>
      <x:c r="T1560" s="0"/>
      <x:c r="U1560" s="0"/>
      <x:c r="V1560" s="0"/>
      <x:c r="W1560" s="0"/>
      <x:c r="X1560" t="str" s="2">
        <x:v>8646149202</x:v>
      </x:c>
      <x:c r="Y1560" t="str" s="2">
        <x:v>trwmom14@yahoo.com</x:v>
      </x:c>
      <x:c r="Z1560" s="6">
        <x:v>46284.652895983796</x:v>
      </x:c>
      <x:c r="AA1560" t="str" s="2">
        <x:v>Nathan Bishop</x:v>
      </x:c>
      <x:c r="AB1560" s="6">
        <x:v>46284.64881825232</x:v>
      </x:c>
      <x:c r="AC1560" t="n" s="2">
        <x:v>40185</x:v>
      </x:c>
      <x:c r="AD1560" s="0"/>
      <x:c r="AE1560" s="0"/>
      <x:c r="AF1560" s="0"/>
      <x:c r="AG1560" s="0"/>
      <x:c r="AH1560" s="0"/>
      <x:c r="AI1560" s="0"/>
      <x:c r="AJ1560" s="0"/>
      <x:c r="AK1560" s="0"/>
    </x:row>
    <x:row r="1561">
      <x:c r="A1561" t="str" s="2">
        <x:f>=HYPERLINK("https://rsms.futurehomex.com/lead/40186", "Danielle Nethercutt")</x:f>
      </x:c>
      <x:c r="B1561" t="n" s="2">
        <x:v>24</x:v>
      </x:c>
      <x:c r="C1561" t="str" s="2">
        <x:v>0/1</x:v>
      </x:c>
      <x:c r="D1561" t="str" s="2">
        <x:f>=""</x:f>
      </x:c>
      <x:c r="E1561" s="0"/>
      <x:c r="F1561" t="str" s="2">
        <x:v>Facebook Messenger</x:v>
      </x:c>
      <x:c r="G1561" t="str" s="2">
        <x:v>Heritage Housing of Oklahoma City</x:v>
      </x:c>
      <x:c r="H1561" t="str" s="2">
        <x:v>Steve Castell</x:v>
      </x:c>
      <x:c r="I1561" s="0"/>
      <x:c r="J1561" t="str" s="2">
        <x:v>Steve Castell</x:v>
      </x:c>
      <x:c r="K1561" t="n" s="2">
        <x:v>5</x:v>
      </x:c>
      <x:c r="L1561" t="str" s="2">
        <x:v>1.1</x:v>
      </x:c>
      <x:c r="M1561" t="str" s="2">
        <x:v>Inactive</x:v>
      </x:c>
      <x:c r="N1561" t="str" s="2">
        <x:v>Deal Created</x:v>
      </x:c>
      <x:c r="O1561" s="0"/>
      <x:c r="P1561" s="6">
        <x:v>46284</x:v>
      </x:c>
      <x:c r="Q1561" s="6">
        <x:v>46284.65024938658</x:v>
      </x:c>
      <x:c r="R1561" s="0"/>
      <x:c r="S1561" s="0"/>
      <x:c r="T1561" s="0"/>
      <x:c r="U1561" s="0"/>
      <x:c r="V1561" s="0"/>
      <x:c r="W1561" s="0"/>
      <x:c r="X1561" t="str" s="2">
        <x:v>2147630253</x:v>
      </x:c>
      <x:c r="Y1561" t="str" s="2">
        <x:v>2147630253</x:v>
      </x:c>
      <x:c r="Z1561" s="6">
        <x:v>46284.71243344907</x:v>
      </x:c>
      <x:c r="AA1561" t="str" s="2">
        <x:v>Steve Castell</x:v>
      </x:c>
      <x:c r="AB1561" s="6">
        <x:v>46284.65025104167</x:v>
      </x:c>
      <x:c r="AC1561" t="n" s="2">
        <x:v>40186</x:v>
      </x:c>
      <x:c r="AD1561" s="0"/>
      <x:c r="AE1561" s="0"/>
      <x:c r="AF1561" s="0"/>
      <x:c r="AG1561" s="0"/>
      <x:c r="AH1561" s="0"/>
      <x:c r="AI1561" s="0"/>
      <x:c r="AJ1561" s="0"/>
      <x:c r="AK1561" s="0"/>
    </x:row>
    <x:row r="1562">
      <x:c r="A1562" t="str" s="2">
        <x:f>=HYPERLINK("https://rsms.futurehomex.com/lead/40187", "Wesley Allen")</x:f>
      </x:c>
      <x:c r="B1562" t="n" s="2">
        <x:v>24</x:v>
      </x:c>
      <x:c r="C1562" t="str" s="2">
        <x:v/>
      </x:c>
      <x:c r="D1562" t="str" s="2">
        <x:f>=""</x:f>
      </x:c>
      <x:c r="E1562" s="0"/>
      <x:c r="F1562" t="str" s="2">
        <x:v>Walk-in</x:v>
      </x:c>
      <x:c r="G1562" t="str" s="2">
        <x:v>Heritage Housing of Asheboro</x:v>
      </x:c>
      <x:c r="H1562" t="str" s="2">
        <x:v>Maria Lopez</x:v>
      </x:c>
      <x:c r="I1562" s="0"/>
      <x:c r="J1562" s="0"/>
      <x:c r="K1562" t="n" s="2">
        <x:v>21</x:v>
      </x:c>
      <x:c r="L1562" t="str" s="2">
        <x:v>2.1</x:v>
      </x:c>
      <x:c r="M1562" t="str" s="2">
        <x:v>Dead</x:v>
      </x:c>
      <x:c r="N1562" t="str" s="2">
        <x:v>Qualified</x:v>
      </x:c>
      <x:c r="O1562" s="0"/>
      <x:c r="P1562" s="6">
        <x:v>46284</x:v>
      </x:c>
      <x:c r="Q1562" s="6">
        <x:v>46303.56005717593</x:v>
      </x:c>
      <x:c r="R1562" s="0"/>
      <x:c r="S1562" s="6">
        <x:v>46284</x:v>
      </x:c>
      <x:c r="T1562" s="0"/>
      <x:c r="U1562" s="0"/>
      <x:c r="V1562" s="0"/>
      <x:c r="W1562" s="0"/>
      <x:c r="X1562" t="str" s="2">
        <x:v>9104343924</x:v>
      </x:c>
      <x:c r="Y1562" t="str" s="2">
        <x:v>wesleyallen3@icloud.com</x:v>
      </x:c>
      <x:c r="Z1562" s="6">
        <x:v>46303.560044247686</x:v>
      </x:c>
      <x:c r="AA1562" t="str" s="2">
        <x:v>Jeremy Jacques</x:v>
      </x:c>
      <x:c r="AB1562" s="6">
        <x:v>46284.664467939816</x:v>
      </x:c>
      <x:c r="AC1562" t="n" s="2">
        <x:v>40187</x:v>
      </x:c>
      <x:c r="AD1562" s="0"/>
      <x:c r="AE1562" s="0"/>
      <x:c r="AF1562" s="0"/>
      <x:c r="AG1562" s="0"/>
      <x:c r="AH1562" s="0"/>
      <x:c r="AI1562" s="0"/>
      <x:c r="AJ1562" s="0"/>
      <x:c r="AK1562" s="0"/>
    </x:row>
    <x:row r="1563">
      <x:c r="A1563" t="str" s="2">
        <x:f>=HYPERLINK("https://rsms.futurehomex.com/lead/40188", "Chaz Sherbourne")</x:f>
      </x:c>
      <x:c r="B1563" t="n" s="2">
        <x:v>24</x:v>
      </x:c>
      <x:c r="C1563" t="str" s="2">
        <x:v>0/2</x:v>
      </x:c>
      <x:c r="D1563" t="str" s="2">
        <x:f>=""</x:f>
      </x:c>
      <x:c r="E1563" s="0"/>
      <x:c r="F1563" t="str" s="2">
        <x:v>Facebook Messenger</x:v>
      </x:c>
      <x:c r="G1563" t="str" s="2">
        <x:v>Heritage Housing of Oklahoma City</x:v>
      </x:c>
      <x:c r="H1563" t="str" s="2">
        <x:v>Trey Rixleben</x:v>
      </x:c>
      <x:c r="I1563" t="str" s="2">
        <x:v>Karol Romero</x:v>
      </x:c>
      <x:c r="J1563" t="str" s="2">
        <x:v>Trey Rixleben</x:v>
      </x:c>
      <x:c r="K1563" t="n" s="2">
        <x:v>5</x:v>
      </x:c>
      <x:c r="L1563" t="str" s="2">
        <x:v>1.1</x:v>
      </x:c>
      <x:c r="M1563" t="str" s="2">
        <x:v>Dead</x:v>
      </x:c>
      <x:c r="N1563" t="str" s="2">
        <x:v>Deal Created</x:v>
      </x:c>
      <x:c r="O1563" s="0"/>
      <x:c r="P1563" s="6">
        <x:v>46284</x:v>
      </x:c>
      <x:c r="Q1563" s="6">
        <x:v>46284.69704255787</x:v>
      </x:c>
      <x:c r="R1563" s="0"/>
      <x:c r="S1563" s="0"/>
      <x:c r="T1563" s="0"/>
      <x:c r="U1563" s="0"/>
      <x:c r="V1563" s="0"/>
      <x:c r="W1563" s="0"/>
      <x:c r="X1563" t="str" s="2">
        <x:v>4056988339</x:v>
      </x:c>
      <x:c r="Y1563" t="str" s="2">
        <x:v>gannonandace@gmail.com</x:v>
      </x:c>
      <x:c r="Z1563" s="6">
        <x:v>46291.7646721412</x:v>
      </x:c>
      <x:c r="AA1563" t="str" s="2">
        <x:v>Richard Bell</x:v>
      </x:c>
      <x:c r="AB1563" s="6">
        <x:v>46284.697044016204</x:v>
      </x:c>
      <x:c r="AC1563" t="n" s="2">
        <x:v>40188</x:v>
      </x:c>
      <x:c r="AD1563" s="0"/>
      <x:c r="AE1563" s="0"/>
      <x:c r="AF1563" s="0"/>
      <x:c r="AG1563" s="0"/>
      <x:c r="AH1563" s="0"/>
      <x:c r="AI1563" s="0"/>
      <x:c r="AJ1563" s="0"/>
      <x:c r="AK1563" s="0"/>
    </x:row>
    <x:row r="1564">
      <x:c r="A1564" t="str" s="2">
        <x:f>=HYPERLINK("https://rsms.futurehomex.com/lead/40189", "Stacey Mccann")</x:f>
      </x:c>
      <x:c r="B1564" t="n" s="2">
        <x:v>24</x:v>
      </x:c>
      <x:c r="C1564" t="str" s="2">
        <x:v>1/3</x:v>
      </x:c>
      <x:c r="D1564" t="str" s="2">
        <x:f>=""</x:f>
      </x:c>
      <x:c r="E1564" s="0"/>
      <x:c r="F1564" t="str" s="2">
        <x:v>Walk-in</x:v>
      </x:c>
      <x:c r="G1564" t="str" s="2">
        <x:v>Heritage Housing of Jennings</x:v>
      </x:c>
      <x:c r="H1564" t="str" s="2">
        <x:v>Clint O'Neal</x:v>
      </x:c>
      <x:c r="I1564" s="0"/>
      <x:c r="J1564" s="0"/>
      <x:c r="K1564" t="n" s="2">
        <x:v>5</x:v>
      </x:c>
      <x:c r="L1564" t="str" s="2">
        <x:v>1.1</x:v>
      </x:c>
      <x:c r="M1564" t="str" s="2">
        <x:v>Tentative</x:v>
      </x:c>
      <x:c r="N1564" t="str" s="2">
        <x:v>Prospect</x:v>
      </x:c>
      <x:c r="O1564" s="0"/>
      <x:c r="P1564" s="6">
        <x:v>46284</x:v>
      </x:c>
      <x:c r="Q1564" s="6">
        <x:v>46284.70038738426</x:v>
      </x:c>
      <x:c r="R1564" s="0"/>
      <x:c r="S1564" s="0"/>
      <x:c r="T1564" s="0"/>
      <x:c r="U1564" s="0"/>
      <x:c r="V1564" s="0"/>
      <x:c r="W1564" s="0"/>
      <x:c r="X1564" t="str" s="2">
        <x:v>9852016478</x:v>
      </x:c>
      <x:c r="Y1564" t="str" s="2">
        <x:v>hrnco20@gmail.com</x:v>
      </x:c>
      <x:c r="Z1564" s="6">
        <x:v>46302.670791516204</x:v>
      </x:c>
      <x:c r="AA1564" t="str" s="2">
        <x:v>Clint O'Neal</x:v>
      </x:c>
      <x:c r="AB1564" s="6">
        <x:v>46284.700387881945</x:v>
      </x:c>
      <x:c r="AC1564" t="n" s="2">
        <x:v>40189</x:v>
      </x:c>
      <x:c r="AD1564" s="0"/>
      <x:c r="AE1564" s="0"/>
      <x:c r="AF1564" s="0"/>
      <x:c r="AG1564" s="0"/>
      <x:c r="AH1564" s="0"/>
      <x:c r="AI1564" s="0"/>
      <x:c r="AJ1564" s="0"/>
      <x:c r="AK1564" s="0"/>
    </x:row>
    <x:row r="1565">
      <x:c r="A1565" t="str" s="2">
        <x:f>=HYPERLINK("https://rsms.futurehomex.com/lead/40190", "Mike Dekel")</x:f>
      </x:c>
      <x:c r="B1565" t="n" s="2">
        <x:v>24</x:v>
      </x:c>
      <x:c r="C1565" t="str" s="2">
        <x:v>0/1</x:v>
      </x:c>
      <x:c r="D1565" t="str" s="2">
        <x:f>=""</x:f>
      </x:c>
      <x:c r="E1565" s="0"/>
      <x:c r="F1565" t="str" s="2">
        <x:v>Facebook Messenger</x:v>
      </x:c>
      <x:c r="G1565" t="str" s="2">
        <x:v>Heritage Housing of Albany</x:v>
      </x:c>
      <x:c r="H1565" t="str" s="2">
        <x:v>Yanet Alvarez</x:v>
      </x:c>
      <x:c r="I1565" s="0"/>
      <x:c r="J1565" t="str" s="2">
        <x:v>Yanet Alvarez</x:v>
      </x:c>
      <x:c r="K1565" t="n" s="2">
        <x:v>5</x:v>
      </x:c>
      <x:c r="L1565" t="str" s="2">
        <x:v>1.1</x:v>
      </x:c>
      <x:c r="M1565" t="str" s="2">
        <x:v>Tentative</x:v>
      </x:c>
      <x:c r="N1565" t="str" s="2">
        <x:v>Deal Created</x:v>
      </x:c>
      <x:c r="O1565" s="0"/>
      <x:c r="P1565" s="6">
        <x:v>46284</x:v>
      </x:c>
      <x:c r="Q1565" s="6">
        <x:v>46284.70131704861</x:v>
      </x:c>
      <x:c r="R1565" s="0"/>
      <x:c r="S1565" s="0"/>
      <x:c r="T1565" s="0"/>
      <x:c r="U1565" s="0"/>
      <x:c r="V1565" s="0"/>
      <x:c r="W1565" s="0"/>
      <x:c r="X1565" t="str" s="2">
        <x:v>4043168754</x:v>
      </x:c>
      <x:c r="Y1565" t="str" s="2">
        <x:v>mikedekel@gmail.com</x:v>
      </x:c>
      <x:c r="Z1565" s="6">
        <x:v>46287.76376041667</x:v>
      </x:c>
      <x:c r="AA1565" t="str" s="2">
        <x:v>Yanet Alvarez</x:v>
      </x:c>
      <x:c r="AB1565" s="6">
        <x:v>46284.70131855324</x:v>
      </x:c>
      <x:c r="AC1565" t="n" s="2">
        <x:v>40190</x:v>
      </x:c>
      <x:c r="AD1565" s="0"/>
      <x:c r="AE1565" s="0"/>
      <x:c r="AF1565" s="0"/>
      <x:c r="AG1565" s="0"/>
      <x:c r="AH1565" s="0"/>
      <x:c r="AI1565" s="0"/>
      <x:c r="AJ1565" s="0"/>
      <x:c r="AK1565" s="0"/>
    </x:row>
    <x:row r="1566">
      <x:c r="A1566" t="str" s="2">
        <x:f>=HYPERLINK("https://rsms.futurehomex.com/lead/40191", "Matthew Gorham")</x:f>
      </x:c>
      <x:c r="B1566" t="n" s="2">
        <x:v>24</x:v>
      </x:c>
      <x:c r="C1566" t="str" s="2">
        <x:v/>
      </x:c>
      <x:c r="D1566" t="str" s="2">
        <x:f>=""</x:f>
      </x:c>
      <x:c r="E1566" s="0"/>
      <x:c r="F1566" t="str" s="2">
        <x:v>Website</x:v>
      </x:c>
      <x:c r="G1566" t="str" s="2">
        <x:v>Heritage Housing of Asheboro</x:v>
      </x:c>
      <x:c r="H1566" t="str" s="2">
        <x:v>Maria Lopez</x:v>
      </x:c>
      <x:c r="I1566" t="str" s="2">
        <x:v>Karol Romero</x:v>
      </x:c>
      <x:c r="J1566" s="0"/>
      <x:c r="K1566" t="n" s="2">
        <x:v>21</x:v>
      </x:c>
      <x:c r="L1566" t="str" s="2">
        <x:v>2.1</x:v>
      </x:c>
      <x:c r="M1566" t="str" s="2">
        <x:v>Tentative</x:v>
      </x:c>
      <x:c r="N1566" t="str" s="2">
        <x:v>Qualified</x:v>
      </x:c>
      <x:c r="O1566" s="0"/>
      <x:c r="P1566" s="6">
        <x:v>46284</x:v>
      </x:c>
      <x:c r="Q1566" s="6">
        <x:v>46297.55630829861</x:v>
      </x:c>
      <x:c r="R1566" s="0"/>
      <x:c r="S1566" s="0"/>
      <x:c r="T1566" s="0"/>
      <x:c r="U1566" s="0"/>
      <x:c r="V1566" s="0"/>
      <x:c r="W1566" s="0"/>
      <x:c r="X1566" t="str" s="2">
        <x:v>6789342688</x:v>
      </x:c>
      <x:c r="Y1566" t="str" s="2">
        <x:v>matthewvonda@gmail.com</x:v>
      </x:c>
      <x:c r="Z1566" s="6">
        <x:v>46293.59001565972</x:v>
      </x:c>
      <x:c r="AA1566" t="str" s="2">
        <x:v>Jeremy Jacques</x:v>
      </x:c>
      <x:c r="AB1566" s="6">
        <x:v>46284.718913888886</x:v>
      </x:c>
      <x:c r="AC1566" t="n" s="2">
        <x:v>40191</x:v>
      </x:c>
      <x:c r="AD1566" s="0"/>
      <x:c r="AE1566" s="0"/>
      <x:c r="AF1566" s="0"/>
      <x:c r="AG1566" s="0"/>
      <x:c r="AH1566" s="0"/>
      <x:c r="AI1566" s="0"/>
      <x:c r="AJ1566" s="0"/>
      <x:c r="AK1566" s="0"/>
    </x:row>
    <x:row r="1567">
      <x:c r="A1567" t="str" s="2">
        <x:f>=HYPERLINK("https://rsms.futurehomex.com/lead/40192", "Brianna Parrish")</x:f>
      </x:c>
      <x:c r="B1567" t="n" s="2">
        <x:v>24</x:v>
      </x:c>
      <x:c r="C1567" t="str" s="2">
        <x:v/>
      </x:c>
      <x:c r="D1567" t="str" s="2">
        <x:f>=""</x:f>
      </x:c>
      <x:c r="E1567" t="str" s="2">
        <x:v>Blake Parrish</x:v>
      </x:c>
      <x:c r="F1567" t="str" s="2">
        <x:v>Walk-in</x:v>
      </x:c>
      <x:c r="G1567" t="str" s="2">
        <x:v>Heritage Housing of Athens</x:v>
      </x:c>
      <x:c r="H1567" t="str" s="2">
        <x:v>Ethan Fossett</x:v>
      </x:c>
      <x:c r="I1567" s="0"/>
      <x:c r="J1567" s="0"/>
      <x:c r="K1567" t="n" s="2">
        <x:v>5</x:v>
      </x:c>
      <x:c r="L1567" t="str" s="2">
        <x:v>1.1</x:v>
      </x:c>
      <x:c r="M1567" t="str" s="2">
        <x:v>Active</x:v>
      </x:c>
      <x:c r="N1567" t="str" s="2">
        <x:v>Prospect</x:v>
      </x:c>
      <x:c r="O1567" s="0"/>
      <x:c r="P1567" s="6">
        <x:v>46284</x:v>
      </x:c>
      <x:c r="Q1567" s="6">
        <x:v>46284.800789155095</x:v>
      </x:c>
      <x:c r="R1567" s="0"/>
      <x:c r="S1567" s="6">
        <x:v>46284</x:v>
      </x:c>
      <x:c r="T1567" s="0"/>
      <x:c r="U1567" s="0"/>
      <x:c r="V1567" s="0"/>
      <x:c r="W1567" s="0"/>
      <x:c r="X1567" t="str" s="2">
        <x:v>7065344617</x:v>
      </x:c>
      <x:c r="Y1567" t="str" s="2">
        <x:v>briannabm011@gmail.com</x:v>
      </x:c>
      <x:c r="Z1567" s="0"/>
      <x:c r="AA1567" s="0"/>
      <x:c r="AB1567" s="6">
        <x:v>46284.73733379629</x:v>
      </x:c>
      <x:c r="AC1567" t="n" s="2">
        <x:v>40192</x:v>
      </x:c>
      <x:c r="AD1567" s="0"/>
      <x:c r="AE1567" s="0"/>
      <x:c r="AF1567" s="0"/>
      <x:c r="AG1567" s="7">
        <x:v>0</x:v>
      </x:c>
      <x:c r="AH1567" s="0"/>
      <x:c r="AI1567" s="0"/>
      <x:c r="AJ1567" s="0"/>
      <x:c r="AK1567" s="0"/>
    </x:row>
    <x:row r="1568">
      <x:c r="A1568" t="str" s="2">
        <x:f>=HYPERLINK("https://rsms.futurehomex.com/lead/40193", "Taisha Patterson")</x:f>
      </x:c>
      <x:c r="B1568" t="n" s="2">
        <x:v>24</x:v>
      </x:c>
      <x:c r="C1568" t="str" s="2">
        <x:v>0/1</x:v>
      </x:c>
      <x:c r="D1568" t="str" s="2">
        <x:f>=""</x:f>
      </x:c>
      <x:c r="E1568" s="0"/>
      <x:c r="F1568" t="str" s="2">
        <x:v>Financing Form</x:v>
      </x:c>
      <x:c r="G1568" t="str" s="2">
        <x:v>Heritage Housing of Minden</x:v>
      </x:c>
      <x:c r="H1568" t="str" s="2">
        <x:v>Patrick Schuchart</x:v>
      </x:c>
      <x:c r="I1568" t="str" s="2">
        <x:v>Karol Romero</x:v>
      </x:c>
      <x:c r="J1568" t="str" s="2">
        <x:v>Patrick Schuchart</x:v>
      </x:c>
      <x:c r="K1568" t="n" s="2">
        <x:v>5</x:v>
      </x:c>
      <x:c r="L1568" t="str" s="2">
        <x:v>1.1</x:v>
      </x:c>
      <x:c r="M1568" t="str" s="2">
        <x:v>Tentative</x:v>
      </x:c>
      <x:c r="N1568" t="str" s="2">
        <x:v>Prospect</x:v>
      </x:c>
      <x:c r="O1568" s="0"/>
      <x:c r="P1568" s="6">
        <x:v>46284</x:v>
      </x:c>
      <x:c r="Q1568" s="6">
        <x:v>46284.74120034722</x:v>
      </x:c>
      <x:c r="R1568" t="str" s="2">
        <x:v>Patrick Schuchart</x:v>
      </x:c>
      <x:c r="S1568" s="0"/>
      <x:c r="T1568" s="0"/>
      <x:c r="U1568" s="0"/>
      <x:c r="V1568" s="0"/>
      <x:c r="W1568" s="0"/>
      <x:c r="X1568" t="str" s="2">
        <x:v>3185726259</x:v>
      </x:c>
      <x:c r="Y1568" t="str" s="2">
        <x:v>taishapatterson@yahoo.com</x:v>
      </x:c>
      <x:c r="Z1568" s="6">
        <x:v>46295.82650636574</x:v>
      </x:c>
      <x:c r="AA1568" t="str" s="2">
        <x:v>Kyla Brown</x:v>
      </x:c>
      <x:c r="AB1568" s="6">
        <x:v>46284.74120173611</x:v>
      </x:c>
      <x:c r="AC1568" t="n" s="2">
        <x:v>40193</x:v>
      </x:c>
      <x:c r="AD1568" s="0"/>
      <x:c r="AE1568" s="0"/>
      <x:c r="AF1568" s="0"/>
      <x:c r="AG1568" s="0"/>
      <x:c r="AH1568" s="0"/>
      <x:c r="AI1568" s="0"/>
      <x:c r="AJ1568" s="0"/>
      <x:c r="AK1568" s="0"/>
    </x:row>
    <x:row r="1569">
      <x:c r="A1569" t="str" s="2">
        <x:f>=HYPERLINK("https://rsms.futurehomex.com/lead/40194", "Sherry Brooks")</x:f>
      </x:c>
      <x:c r="B1569" t="n" s="2">
        <x:v>24</x:v>
      </x:c>
      <x:c r="C1569" t="str" s="2">
        <x:v>0/3</x:v>
      </x:c>
      <x:c r="D1569" t="str" s="2">
        <x:f>=""</x:f>
      </x:c>
      <x:c r="E1569" t="str" s="2">
        <x:v>Frederick Brooks</x:v>
      </x:c>
      <x:c r="F1569" t="str" s="2">
        <x:v>Facebook Messenger</x:v>
      </x:c>
      <x:c r="G1569" t="str" s="2">
        <x:v>Heritage Housing of Oklahoma City</x:v>
      </x:c>
      <x:c r="H1569" t="str" s="2">
        <x:v>Trey Rixleben</x:v>
      </x:c>
      <x:c r="I1569" t="str" s="2">
        <x:v>Karol Romero</x:v>
      </x:c>
      <x:c r="J1569" t="str" s="2">
        <x:v>Trey Rixleben</x:v>
      </x:c>
      <x:c r="K1569" t="n" s="2">
        <x:v>80</x:v>
      </x:c>
      <x:c r="L1569" t="str" s="2">
        <x:v>5.3</x:v>
      </x:c>
      <x:c r="M1569" t="str" s="2">
        <x:v>Closed</x:v>
      </x:c>
      <x:c r="N1569" t="str" s="2">
        <x:v>Pending Delivery</x:v>
      </x:c>
      <x:c r="O1569" s="6">
        <x:v>46326</x:v>
      </x:c>
      <x:c r="P1569" s="6">
        <x:v>46284</x:v>
      </x:c>
      <x:c r="Q1569" s="6">
        <x:v>46296.97149528935</x:v>
      </x:c>
      <x:c r="R1569" s="0"/>
      <x:c r="S1569" s="6">
        <x:v>46284</x:v>
      </x:c>
      <x:c r="T1569" s="6">
        <x:v>46286</x:v>
      </x:c>
      <x:c r="U1569" s="6">
        <x:v>46287</x:v>
      </x:c>
      <x:c r="V1569" s="6">
        <x:v>46287</x:v>
      </x:c>
      <x:c r="W1569" s="0"/>
      <x:c r="X1569" t="str" s="2">
        <x:v>6084770592</x:v>
      </x:c>
      <x:c r="Y1569" t="str" s="2">
        <x:v>frbroo6@aol.com</x:v>
      </x:c>
      <x:c r="Z1569" s="6">
        <x:v>46297.85989490741</x:v>
      </x:c>
      <x:c r="AA1569" t="str" s="2">
        <x:v>Wendy Lee Lunn</x:v>
      </x:c>
      <x:c r="AB1569" s="6">
        <x:v>46284.762203969905</x:v>
      </x:c>
      <x:c r="AC1569" t="n" s="2">
        <x:v>40194</x:v>
      </x:c>
      <x:c r="AD1569" t="str" s="2">
        <x:v>Doublewide</x:v>
      </x:c>
      <x:c r="AE1569" t="str" s="2">
        <x:v>Legacy Housing Corporation</x:v>
      </x:c>
      <x:c r="AF1569" s="7">
        <x:v>18990</x:v>
      </x:c>
      <x:c r="AG1569" s="7">
        <x:v>18990</x:v>
      </x:c>
      <x:c r="AH1569" s="0"/>
      <x:c r="AI1569" t="str" s="2">
        <x:v>653</x:v>
      </x:c>
      <x:c r="AJ1569" s="0"/>
      <x:c r="AK1569" t="str" s="6">
        <x:v>2026-10-16</x:v>
      </x:c>
    </x:row>
    <x:row r="1570">
      <x:c r="A1570" t="str" s="2">
        <x:f>=HYPERLINK("https://rsms.futurehomex.com/lead/40195", "Eric Passaro")</x:f>
      </x:c>
      <x:c r="B1570" t="n" s="2">
        <x:v>24</x:v>
      </x:c>
      <x:c r="C1570" t="str" s="2">
        <x:v/>
      </x:c>
      <x:c r="D1570" t="str" s="2">
        <x:f>=""</x:f>
      </x:c>
      <x:c r="E1570" s="0"/>
      <x:c r="F1570" t="str" s="2">
        <x:v>Walk-in</x:v>
      </x:c>
      <x:c r="G1570" t="str" s="2">
        <x:v>Heritage Housing of Asheboro</x:v>
      </x:c>
      <x:c r="H1570" t="str" s="2">
        <x:v>Maria Lopez</x:v>
      </x:c>
      <x:c r="I1570" s="0"/>
      <x:c r="J1570" s="0"/>
      <x:c r="K1570" t="n" s="2">
        <x:v>21</x:v>
      </x:c>
      <x:c r="L1570" t="str" s="2">
        <x:v>2.1</x:v>
      </x:c>
      <x:c r="M1570" t="str" s="2">
        <x:v>Tentative</x:v>
      </x:c>
      <x:c r="N1570" t="str" s="2">
        <x:v>Qualified</x:v>
      </x:c>
      <x:c r="O1570" s="0"/>
      <x:c r="P1570" s="6">
        <x:v>46284</x:v>
      </x:c>
      <x:c r="Q1570" s="6">
        <x:v>46293.59038159722</x:v>
      </x:c>
      <x:c r="R1570" s="0"/>
      <x:c r="S1570" s="0"/>
      <x:c r="T1570" s="0"/>
      <x:c r="U1570" s="0"/>
      <x:c r="V1570" s="0"/>
      <x:c r="W1570" s="0"/>
      <x:c r="X1570" t="str" s="2">
        <x:v>3368704339</x:v>
      </x:c>
      <x:c r="Y1570" t="str" s="2">
        <x:v>ericthomaspassaro@outlook.com</x:v>
      </x:c>
      <x:c r="Z1570" s="6">
        <x:v>46293.59036886574</x:v>
      </x:c>
      <x:c r="AA1570" t="str" s="2">
        <x:v>Jeremy Jacques</x:v>
      </x:c>
      <x:c r="AB1570" s="6">
        <x:v>46284.765378125</x:v>
      </x:c>
      <x:c r="AC1570" t="n" s="2">
        <x:v>40195</x:v>
      </x:c>
      <x:c r="AD1570" s="0"/>
      <x:c r="AE1570" s="0"/>
      <x:c r="AF1570" s="0"/>
      <x:c r="AG1570" s="0"/>
      <x:c r="AH1570" s="0"/>
      <x:c r="AI1570" s="0"/>
      <x:c r="AJ1570" s="0"/>
      <x:c r="AK1570" s="0"/>
    </x:row>
    <x:row r="1571">
      <x:c r="A1571" t="str" s="2">
        <x:f>=HYPERLINK("https://rsms.futurehomex.com/lead/40196", "Mark Joshua")</x:f>
      </x:c>
      <x:c r="B1571" t="n" s="2">
        <x:v>24</x:v>
      </x:c>
      <x:c r="C1571" t="str" s="2">
        <x:v/>
      </x:c>
      <x:c r="D1571" t="str" s="2">
        <x:f>=""</x:f>
      </x:c>
      <x:c r="E1571" s="0"/>
      <x:c r="F1571" t="str" s="2">
        <x:v>Website</x:v>
      </x:c>
      <x:c r="G1571" t="str" s="2">
        <x:v>Heritage Housing of Oklahoma City</x:v>
      </x:c>
      <x:c r="H1571" t="str" s="2">
        <x:v>Alejandra Calderon</x:v>
      </x:c>
      <x:c r="I1571" t="str" s="2">
        <x:v>Karol Romero</x:v>
      </x:c>
      <x:c r="J1571" s="0"/>
      <x:c r="K1571" t="n" s="2">
        <x:v>5</x:v>
      </x:c>
      <x:c r="L1571" t="str" s="2">
        <x:v>1.1</x:v>
      </x:c>
      <x:c r="M1571" t="str" s="2">
        <x:v>Tentative</x:v>
      </x:c>
      <x:c r="N1571" t="str" s="2">
        <x:v>Prospect</x:v>
      </x:c>
      <x:c r="O1571" s="0"/>
      <x:c r="P1571" s="6">
        <x:v>46284</x:v>
      </x:c>
      <x:c r="Q1571" s="6">
        <x:v>46284.78572260417</x:v>
      </x:c>
      <x:c r="R1571" s="0"/>
      <x:c r="S1571" s="6">
        <x:v>46284</x:v>
      </x:c>
      <x:c r="T1571" s="0"/>
      <x:c r="U1571" s="0"/>
      <x:c r="V1571" s="0"/>
      <x:c r="W1571" s="0"/>
      <x:c r="X1571" t="str" s="2">
        <x:v>4053833359</x:v>
      </x:c>
      <x:c r="Y1571" t="str" s="2">
        <x:v>lmjoshua2016@gmail.com</x:v>
      </x:c>
      <x:c r="Z1571" s="6">
        <x:v>46284.849655439815</x:v>
      </x:c>
      <x:c r="AA1571" t="str" s="2">
        <x:v>Alejandra Calderon</x:v>
      </x:c>
      <x:c r="AB1571" s="6">
        <x:v>46284.76613383102</x:v>
      </x:c>
      <x:c r="AC1571" t="n" s="2">
        <x:v>40196</x:v>
      </x:c>
      <x:c r="AD1571" s="0"/>
      <x:c r="AE1571" s="0"/>
      <x:c r="AF1571" s="0"/>
      <x:c r="AG1571" s="0"/>
      <x:c r="AH1571" s="0"/>
      <x:c r="AI1571" t="str" s="2">
        <x:v>568</x:v>
      </x:c>
      <x:c r="AJ1571" s="0"/>
      <x:c r="AK1571" s="0"/>
    </x:row>
    <x:row r="1572">
      <x:c r="A1572" t="str" s="2">
        <x:f>=HYPERLINK("https://rsms.futurehomex.com/lead/40197", "June Powell")</x:f>
      </x:c>
      <x:c r="B1572" t="n" s="2">
        <x:v>24</x:v>
      </x:c>
      <x:c r="C1572" t="str" s="2">
        <x:v/>
      </x:c>
      <x:c r="D1572" t="str" s="2">
        <x:f>=""</x:f>
      </x:c>
      <x:c r="E1572" s="0"/>
      <x:c r="F1572" t="str" s="2">
        <x:v>Landing_BPM</x:v>
      </x:c>
      <x:c r="G1572" t="str" s="2">
        <x:v>Heritage Housing of Augusta</x:v>
      </x:c>
      <x:c r="H1572" t="str" s="2">
        <x:v>Jennifer Johnson</x:v>
      </x:c>
      <x:c r="I1572" t="str" s="2">
        <x:v>Karol Romero</x:v>
      </x:c>
      <x:c r="J1572" t="str" s="2">
        <x:v>Jennifer Johnson</x:v>
      </x:c>
      <x:c r="K1572" t="n" s="2">
        <x:v>48</x:v>
      </x:c>
      <x:c r="L1572" t="str" s="2">
        <x:v>3.7</x:v>
      </x:c>
      <x:c r="M1572" t="str" s="2">
        <x:v>Dead</x:v>
      </x:c>
      <x:c r="N1572" t="str" s="2">
        <x:v>Loan Submitted</x:v>
      </x:c>
      <x:c r="O1572" s="0"/>
      <x:c r="P1572" s="6">
        <x:v>46284</x:v>
      </x:c>
      <x:c r="Q1572" s="6">
        <x:v>46295.84194302083</x:v>
      </x:c>
      <x:c r="R1572" s="0"/>
      <x:c r="S1572" s="6">
        <x:v>46284</x:v>
      </x:c>
      <x:c r="T1572" s="6">
        <x:v>46284</x:v>
      </x:c>
      <x:c r="U1572" s="6">
        <x:v>46294</x:v>
      </x:c>
      <x:c r="V1572" s="0"/>
      <x:c r="W1572" s="0"/>
      <x:c r="X1572" t="str" s="2">
        <x:v>7622158703</x:v>
      </x:c>
      <x:c r="Y1572" t="str" s="2">
        <x:v>virtues12002@gmail.com</x:v>
      </x:c>
      <x:c r="Z1572" s="6">
        <x:v>46297.56786056713</x:v>
      </x:c>
      <x:c r="AA1572" t="str" s="2">
        <x:v>Jennifer Johnson</x:v>
      </x:c>
      <x:c r="AB1572" s="6">
        <x:v>46284.77118440972</x:v>
      </x:c>
      <x:c r="AC1572" t="n" s="2">
        <x:v>40197</x:v>
      </x:c>
      <x:c r="AD1572" t="str" s="2">
        <x:v>Singlewide</x:v>
      </x:c>
      <x:c r="AE1572" t="str" s="2">
        <x:v>Legacy Housing Corporation</x:v>
      </x:c>
      <x:c r="AF1572" s="7">
        <x:v>10000</x:v>
      </x:c>
      <x:c r="AG1572" s="7">
        <x:v>10000</x:v>
      </x:c>
      <x:c r="AH1572" s="0"/>
      <x:c r="AI1572" s="0"/>
      <x:c r="AJ1572" s="0"/>
      <x:c r="AK1572" s="0"/>
    </x:row>
    <x:row r="1573">
      <x:c r="A1573" t="str" s="2">
        <x:f>=HYPERLINK("https://rsms.futurehomex.com/lead/40198", "Levi McDaniel")</x:f>
      </x:c>
      <x:c r="B1573" t="n" s="2">
        <x:v>24</x:v>
      </x:c>
      <x:c r="C1573" t="str" s="2">
        <x:v/>
      </x:c>
      <x:c r="D1573" t="str" s="2">
        <x:f>=""</x:f>
      </x:c>
      <x:c r="E1573" s="0"/>
      <x:c r="F1573" t="str" s="2">
        <x:v>Walk-in</x:v>
      </x:c>
      <x:c r="G1573" t="str" s="2">
        <x:v>Heritage Housing of Oklahoma City</x:v>
      </x:c>
      <x:c r="H1573" t="str" s="2">
        <x:v>Eva Misheva</x:v>
      </x:c>
      <x:c r="I1573" s="0"/>
      <x:c r="J1573" s="0"/>
      <x:c r="K1573" t="n" s="2">
        <x:v>5</x:v>
      </x:c>
      <x:c r="L1573" t="str" s="2">
        <x:v>1.1</x:v>
      </x:c>
      <x:c r="M1573" t="str" s="2">
        <x:v>Tentative</x:v>
      </x:c>
      <x:c r="N1573" t="str" s="2">
        <x:v>Prospect</x:v>
      </x:c>
      <x:c r="O1573" s="0"/>
      <x:c r="P1573" s="6">
        <x:v>46284</x:v>
      </x:c>
      <x:c r="Q1573" s="6">
        <x:v>46284.775061886576</x:v>
      </x:c>
      <x:c r="R1573" s="0"/>
      <x:c r="S1573" s="6">
        <x:v>46284</x:v>
      </x:c>
      <x:c r="T1573" s="0"/>
      <x:c r="U1573" s="0"/>
      <x:c r="V1573" s="0"/>
      <x:c r="W1573" s="0"/>
      <x:c r="X1573" t="str" s="2">
        <x:v>5803104686</x:v>
      </x:c>
      <x:c r="Y1573" t="str" s="2">
        <x:v>levimcdaniel565@gmail.com</x:v>
      </x:c>
      <x:c r="Z1573" s="0"/>
      <x:c r="AA1573" s="0"/>
      <x:c r="AB1573" s="6">
        <x:v>46284.77506354167</x:v>
      </x:c>
      <x:c r="AC1573" t="n" s="2">
        <x:v>40198</x:v>
      </x:c>
      <x:c r="AD1573" s="0"/>
      <x:c r="AE1573" s="0"/>
      <x:c r="AF1573" s="0"/>
      <x:c r="AG1573" s="0"/>
      <x:c r="AH1573" s="0"/>
      <x:c r="AI1573" s="0"/>
      <x:c r="AJ1573" s="0"/>
      <x:c r="AK1573" s="0"/>
    </x:row>
    <x:row r="1574">
      <x:c r="A1574" t="str" s="2">
        <x:f>=HYPERLINK("https://rsms.futurehomex.com/lead/40199", "Dallas Snow")</x:f>
      </x:c>
      <x:c r="B1574" t="n" s="2">
        <x:v>24</x:v>
      </x:c>
      <x:c r="C1574" t="str" s="2">
        <x:v>1/2</x:v>
      </x:c>
      <x:c r="D1574" t="str" s="2">
        <x:f>=""</x:f>
      </x:c>
      <x:c r="E1574" s="0"/>
      <x:c r="F1574" t="str" s="2">
        <x:v>Google Ads</x:v>
      </x:c>
      <x:c r="G1574" t="str" s="2">
        <x:v>Heritage Housing of Albany</x:v>
      </x:c>
      <x:c r="H1574" t="str" s="2">
        <x:v>Alexander Bryant</x:v>
      </x:c>
      <x:c r="I1574" t="str" s="2">
        <x:v>Karol Romero</x:v>
      </x:c>
      <x:c r="J1574" t="str" s="2">
        <x:v>Alexander Bryant</x:v>
      </x:c>
      <x:c r="K1574" t="n" s="2">
        <x:v>5</x:v>
      </x:c>
      <x:c r="L1574" t="str" s="2">
        <x:v>1.1</x:v>
      </x:c>
      <x:c r="M1574" t="str" s="2">
        <x:v>Tentative</x:v>
      </x:c>
      <x:c r="N1574" t="str" s="2">
        <x:v>Deal Created</x:v>
      </x:c>
      <x:c r="O1574" s="0"/>
      <x:c r="P1574" s="6">
        <x:v>46284</x:v>
      </x:c>
      <x:c r="Q1574" s="6">
        <x:v>46284.77527225694</x:v>
      </x:c>
      <x:c r="R1574" s="0"/>
      <x:c r="S1574" s="0"/>
      <x:c r="T1574" s="0"/>
      <x:c r="U1574" s="0"/>
      <x:c r="V1574" s="0"/>
      <x:c r="W1574" s="0"/>
      <x:c r="X1574" t="str" s="2">
        <x:v>7065343616</x:v>
      </x:c>
      <x:c r="Y1574" t="str" s="2">
        <x:v>7065343616</x:v>
      </x:c>
      <x:c r="Z1574" s="6">
        <x:v>46302.900988078705</x:v>
      </x:c>
      <x:c r="AA1574" t="str" s="2">
        <x:v>Justin Johnson</x:v>
      </x:c>
      <x:c r="AB1574" s="6">
        <x:v>46284.77527369213</x:v>
      </x:c>
      <x:c r="AC1574" t="n" s="2">
        <x:v>40199</x:v>
      </x:c>
      <x:c r="AD1574" s="0"/>
      <x:c r="AE1574" s="0"/>
      <x:c r="AF1574" s="0"/>
      <x:c r="AG1574" s="0"/>
      <x:c r="AH1574" s="0"/>
      <x:c r="AI1574" s="0"/>
      <x:c r="AJ1574" s="0"/>
      <x:c r="AK1574" s="0"/>
    </x:row>
    <x:row r="1575">
      <x:c r="A1575" t="str" s="2">
        <x:f>=HYPERLINK("https://rsms.futurehomex.com/lead/40200", "Emmy Perez")</x:f>
      </x:c>
      <x:c r="B1575" t="n" s="2">
        <x:v>24</x:v>
      </x:c>
      <x:c r="C1575" t="str" s="2">
        <x:v/>
      </x:c>
      <x:c r="D1575" t="str" s="2">
        <x:f>=""</x:f>
      </x:c>
      <x:c r="E1575" s="0"/>
      <x:c r="F1575" t="str" s="2">
        <x:v>Walk-in</x:v>
      </x:c>
      <x:c r="G1575" t="str" s="2">
        <x:v>Heritage Housing of Asheboro</x:v>
      </x:c>
      <x:c r="H1575" t="str" s="2">
        <x:v>Maria Lopez</x:v>
      </x:c>
      <x:c r="I1575" s="0"/>
      <x:c r="J1575" s="0"/>
      <x:c r="K1575" t="n" s="2">
        <x:v>21</x:v>
      </x:c>
      <x:c r="L1575" t="str" s="2">
        <x:v>2.1</x:v>
      </x:c>
      <x:c r="M1575" t="str" s="2">
        <x:v>Tentative</x:v>
      </x:c>
      <x:c r="N1575" t="str" s="2">
        <x:v>Qualified</x:v>
      </x:c>
      <x:c r="O1575" s="0"/>
      <x:c r="P1575" s="6">
        <x:v>46284</x:v>
      </x:c>
      <x:c r="Q1575" s="6">
        <x:v>46293.59068923611</x:v>
      </x:c>
      <x:c r="R1575" s="0"/>
      <x:c r="S1575" s="6">
        <x:v>46284</x:v>
      </x:c>
      <x:c r="T1575" s="0"/>
      <x:c r="U1575" s="0"/>
      <x:c r="V1575" s="0"/>
      <x:c r="W1575" s="0"/>
      <x:c r="X1575" t="str" s="2">
        <x:v>3362573420</x:v>
      </x:c>
      <x:c r="Y1575" t="str" s="2">
        <x:v>emmyperez6@gmail.com</x:v>
      </x:c>
      <x:c r="Z1575" s="6">
        <x:v>46293.590676238426</x:v>
      </x:c>
      <x:c r="AA1575" t="str" s="2">
        <x:v>Jeremy Jacques</x:v>
      </x:c>
      <x:c r="AB1575" s="6">
        <x:v>46284.792193368055</x:v>
      </x:c>
      <x:c r="AC1575" t="n" s="2">
        <x:v>40200</x:v>
      </x:c>
      <x:c r="AD1575" s="0"/>
      <x:c r="AE1575" s="0"/>
      <x:c r="AF1575" s="0"/>
      <x:c r="AG1575" s="0"/>
      <x:c r="AH1575" s="0"/>
      <x:c r="AI1575" s="0"/>
      <x:c r="AJ1575" s="0"/>
      <x:c r="AK1575" s="0"/>
    </x:row>
    <x:row r="1576">
      <x:c r="A1576" t="str" s="2">
        <x:f>=HYPERLINK("https://rsms.futurehomex.com/lead/40201", "Monique Benton")</x:f>
      </x:c>
      <x:c r="B1576" t="n" s="2">
        <x:v>24</x:v>
      </x:c>
      <x:c r="C1576" t="str" s="2">
        <x:v/>
      </x:c>
      <x:c r="D1576" t="str" s="2">
        <x:f>=""</x:f>
      </x:c>
      <x:c r="E1576" s="0"/>
      <x:c r="F1576" t="str" s="2">
        <x:v>Walk-in</x:v>
      </x:c>
      <x:c r="G1576" t="str" s="2">
        <x:v>Heritage Housing of Athens</x:v>
      </x:c>
      <x:c r="H1576" t="str" s="2">
        <x:v>Nathan Bishop</x:v>
      </x:c>
      <x:c r="I1576" s="0"/>
      <x:c r="J1576" s="0"/>
      <x:c r="K1576" t="n" s="2">
        <x:v>5</x:v>
      </x:c>
      <x:c r="L1576" t="str" s="2">
        <x:v>1.1</x:v>
      </x:c>
      <x:c r="M1576" t="str" s="2">
        <x:v>Tentative</x:v>
      </x:c>
      <x:c r="N1576" t="str" s="2">
        <x:v>Prospect</x:v>
      </x:c>
      <x:c r="O1576" s="0"/>
      <x:c r="P1576" s="6">
        <x:v>46284</x:v>
      </x:c>
      <x:c r="Q1576" s="6">
        <x:v>46284.87008912037</x:v>
      </x:c>
      <x:c r="R1576" s="0"/>
      <x:c r="S1576" s="6">
        <x:v>46284</x:v>
      </x:c>
      <x:c r="T1576" s="0"/>
      <x:c r="U1576" s="0"/>
      <x:c r="V1576" s="0"/>
      <x:c r="W1576" s="0"/>
      <x:c r="X1576" t="str" s="2">
        <x:v>7622519573</x:v>
      </x:c>
      <x:c r="Y1576" t="str" s="2">
        <x:v>destinardister0723@gmail.com</x:v>
      </x:c>
      <x:c r="Z1576" s="6">
        <x:v>46284.86632248843</x:v>
      </x:c>
      <x:c r="AA1576" t="str" s="2">
        <x:v>Nathan Bishop</x:v>
      </x:c>
      <x:c r="AB1576" s="6">
        <x:v>46284.80664050926</x:v>
      </x:c>
      <x:c r="AC1576" t="n" s="2">
        <x:v>40201</x:v>
      </x:c>
      <x:c r="AD1576" s="0"/>
      <x:c r="AE1576" s="0"/>
      <x:c r="AF1576" s="0"/>
      <x:c r="AG1576" s="0"/>
      <x:c r="AH1576" s="0"/>
      <x:c r="AI1576" s="0"/>
      <x:c r="AJ1576" s="0"/>
      <x:c r="AK1576" s="0"/>
    </x:row>
    <x:row r="1577">
      <x:c r="A1577" t="str" s="2">
        <x:f>=HYPERLINK("https://rsms.futurehomex.com/lead/40202", "David Diaz")</x:f>
      </x:c>
      <x:c r="B1577" t="n" s="2">
        <x:v>24</x:v>
      </x:c>
      <x:c r="C1577" t="str" s="2">
        <x:v/>
      </x:c>
      <x:c r="D1577" t="str" s="2">
        <x:f>=""</x:f>
      </x:c>
      <x:c r="E1577" s="0"/>
      <x:c r="F1577" t="str" s="2">
        <x:v>Walk-in</x:v>
      </x:c>
      <x:c r="G1577" t="str" s="2">
        <x:v>Heritage Housing of Asheboro</x:v>
      </x:c>
      <x:c r="H1577" t="str" s="2">
        <x:v>Maria Lopez</x:v>
      </x:c>
      <x:c r="I1577" s="0"/>
      <x:c r="J1577" s="0"/>
      <x:c r="K1577" t="n" s="2">
        <x:v>21</x:v>
      </x:c>
      <x:c r="L1577" t="str" s="2">
        <x:v>2.1</x:v>
      </x:c>
      <x:c r="M1577" t="str" s="2">
        <x:v>Tentative</x:v>
      </x:c>
      <x:c r="N1577" t="str" s="2">
        <x:v>Qualified</x:v>
      </x:c>
      <x:c r="O1577" s="0"/>
      <x:c r="P1577" s="6">
        <x:v>46284</x:v>
      </x:c>
      <x:c r="Q1577" s="6">
        <x:v>46293.59140420139</x:v>
      </x:c>
      <x:c r="R1577" s="0"/>
      <x:c r="S1577" s="0"/>
      <x:c r="T1577" s="0"/>
      <x:c r="U1577" s="0"/>
      <x:c r="V1577" s="0"/>
      <x:c r="W1577" s="0"/>
      <x:c r="X1577" t="str" s="2">
        <x:v>9109758204</x:v>
      </x:c>
      <x:c r="Y1577" t="str" s="2">
        <x:v>diazdavid05@yahoo.com</x:v>
      </x:c>
      <x:c r="Z1577" s="6">
        <x:v>46293.59139170139</x:v>
      </x:c>
      <x:c r="AA1577" t="str" s="2">
        <x:v>Jeremy Jacques</x:v>
      </x:c>
      <x:c r="AB1577" s="6">
        <x:v>46284.834886805555</x:v>
      </x:c>
      <x:c r="AC1577" t="n" s="2">
        <x:v>40202</x:v>
      </x:c>
      <x:c r="AD1577" s="0"/>
      <x:c r="AE1577" s="0"/>
      <x:c r="AF1577" s="0"/>
      <x:c r="AG1577" s="0"/>
      <x:c r="AH1577" s="0"/>
      <x:c r="AI1577" s="0"/>
      <x:c r="AJ1577" s="0"/>
      <x:c r="AK1577" s="0"/>
    </x:row>
    <x:row r="1578">
      <x:c r="A1578" t="str" s="2">
        <x:f>=HYPERLINK("https://rsms.futurehomex.com/lead/40203", "Jonell Dunn")</x:f>
      </x:c>
      <x:c r="B1578" t="n" s="2">
        <x:v>24</x:v>
      </x:c>
      <x:c r="C1578" t="str" s="2">
        <x:v>0/1</x:v>
      </x:c>
      <x:c r="D1578" t="str" s="2">
        <x:f>=""</x:f>
      </x:c>
      <x:c r="E1578" s="0"/>
      <x:c r="F1578" t="str" s="2">
        <x:v>Walk-in</x:v>
      </x:c>
      <x:c r="G1578" t="str" s="2">
        <x:v>Heritage Housing of Athens</x:v>
      </x:c>
      <x:c r="H1578" t="str" s="2">
        <x:v>Ethan Fossett</x:v>
      </x:c>
      <x:c r="I1578" s="0"/>
      <x:c r="J1578" s="0"/>
      <x:c r="K1578" t="n" s="2">
        <x:v>21</x:v>
      </x:c>
      <x:c r="L1578" t="str" s="2">
        <x:v>2.1</x:v>
      </x:c>
      <x:c r="M1578" t="str" s="2">
        <x:v>Active</x:v>
      </x:c>
      <x:c r="N1578" t="str" s="2">
        <x:v>Qualified</x:v>
      </x:c>
      <x:c r="O1578" s="0"/>
      <x:c r="P1578" s="6">
        <x:v>46284</x:v>
      </x:c>
      <x:c r="Q1578" s="6">
        <x:v>46296.69483194444</x:v>
      </x:c>
      <x:c r="R1578" s="0"/>
      <x:c r="S1578" s="6">
        <x:v>46284</x:v>
      </x:c>
      <x:c r="T1578" s="0"/>
      <x:c r="U1578" s="0"/>
      <x:c r="V1578" s="0"/>
      <x:c r="W1578" s="0"/>
      <x:c r="X1578" t="str" s="2">
        <x:v>7062249485</x:v>
      </x:c>
      <x:c r="Y1578" t="str" s="2">
        <x:v>jonelldunn2@gmail.com</x:v>
      </x:c>
      <x:c r="Z1578" s="6">
        <x:v>46288.658783530096</x:v>
      </x:c>
      <x:c r="AA1578" t="str" s="2">
        <x:v>Ethan Fossett</x:v>
      </x:c>
      <x:c r="AB1578" s="6">
        <x:v>46284.8439283912</x:v>
      </x:c>
      <x:c r="AC1578" t="n" s="2">
        <x:v>40203</x:v>
      </x:c>
      <x:c r="AD1578" s="0"/>
      <x:c r="AE1578" s="0"/>
      <x:c r="AF1578" s="0"/>
      <x:c r="AG1578" s="7">
        <x:v>0</x:v>
      </x:c>
      <x:c r="AH1578" s="0"/>
      <x:c r="AI1578" s="0"/>
      <x:c r="AJ1578" s="0"/>
      <x:c r="AK1578" s="0"/>
    </x:row>
    <x:row r="1579">
      <x:c r="A1579" t="str" s="2">
        <x:f>=HYPERLINK("https://rsms.futurehomex.com/lead/40204", "Ashley Helton")</x:f>
      </x:c>
      <x:c r="B1579" t="n" s="2">
        <x:v>24</x:v>
      </x:c>
      <x:c r="C1579" t="str" s="2">
        <x:v/>
      </x:c>
      <x:c r="D1579" t="str" s="2">
        <x:f>=""</x:f>
      </x:c>
      <x:c r="E1579" s="0"/>
      <x:c r="F1579" t="str" s="2">
        <x:v>Walk-in</x:v>
      </x:c>
      <x:c r="G1579" t="str" s="2">
        <x:v>Heritage Housing of Asheboro</x:v>
      </x:c>
      <x:c r="H1579" t="str" s="2">
        <x:v>Kate Gutierrez</x:v>
      </x:c>
      <x:c r="I1579" s="0"/>
      <x:c r="J1579" s="0"/>
      <x:c r="K1579" t="n" s="2">
        <x:v>21</x:v>
      </x:c>
      <x:c r="L1579" t="str" s="2">
        <x:v>2.1</x:v>
      </x:c>
      <x:c r="M1579" t="str" s="2">
        <x:v>Tentative</x:v>
      </x:c>
      <x:c r="N1579" t="str" s="2">
        <x:v>Qualified</x:v>
      </x:c>
      <x:c r="O1579" s="0"/>
      <x:c r="P1579" s="6">
        <x:v>46284</x:v>
      </x:c>
      <x:c r="Q1579" s="6">
        <x:v>46293.591674270836</x:v>
      </x:c>
      <x:c r="R1579" s="0"/>
      <x:c r="S1579" s="0"/>
      <x:c r="T1579" s="0"/>
      <x:c r="U1579" s="0"/>
      <x:c r="V1579" s="0"/>
      <x:c r="W1579" s="0"/>
      <x:c r="X1579" t="str" s="2">
        <x:v>3365611190</x:v>
      </x:c>
      <x:c r="Y1579" t="str" s="2">
        <x:v>ashley68jacob@yahoo.com</x:v>
      </x:c>
      <x:c r="Z1579" s="6">
        <x:v>46293.591661342594</x:v>
      </x:c>
      <x:c r="AA1579" t="str" s="2">
        <x:v>Jeremy Jacques</x:v>
      </x:c>
      <x:c r="AB1579" s="6">
        <x:v>46284.846413506944</x:v>
      </x:c>
      <x:c r="AC1579" t="n" s="2">
        <x:v>40204</x:v>
      </x:c>
      <x:c r="AD1579" s="0"/>
      <x:c r="AE1579" s="0"/>
      <x:c r="AF1579" s="0"/>
      <x:c r="AG1579" s="0"/>
      <x:c r="AH1579" s="0"/>
      <x:c r="AI1579" s="0"/>
      <x:c r="AJ1579" s="0"/>
      <x:c r="AK1579" s="0"/>
    </x:row>
    <x:row r="1580">
      <x:c r="A1580" t="str" s="2">
        <x:f>=HYPERLINK("https://rsms.futurehomex.com/lead/40205", "Jaime Fregoso")</x:f>
      </x:c>
      <x:c r="B1580" t="n" s="2">
        <x:v>24</x:v>
      </x:c>
      <x:c r="C1580" t="str" s="2">
        <x:v>1/3</x:v>
      </x:c>
      <x:c r="D1580" t="str" s="2">
        <x:f>=""</x:f>
      </x:c>
      <x:c r="E1580" s="0"/>
      <x:c r="F1580" t="str" s="2">
        <x:v>Facebook Messenger</x:v>
      </x:c>
      <x:c r="G1580" t="str" s="2">
        <x:v>Heritage Housing of Oklahoma City</x:v>
      </x:c>
      <x:c r="H1580" t="str" s="2">
        <x:v>Steve Castell</x:v>
      </x:c>
      <x:c r="I1580" s="0"/>
      <x:c r="J1580" t="str" s="2">
        <x:v>Steve Castell</x:v>
      </x:c>
      <x:c r="K1580" t="n" s="2">
        <x:v>5</x:v>
      </x:c>
      <x:c r="L1580" t="str" s="2">
        <x:v>1.1</x:v>
      </x:c>
      <x:c r="M1580" t="str" s="2">
        <x:v>Tentative</x:v>
      </x:c>
      <x:c r="N1580" t="str" s="2">
        <x:v>Deal Created</x:v>
      </x:c>
      <x:c r="O1580" s="0"/>
      <x:c r="P1580" s="6">
        <x:v>46284</x:v>
      </x:c>
      <x:c r="Q1580" s="6">
        <x:v>46284.897022488425</x:v>
      </x:c>
      <x:c r="R1580" s="0"/>
      <x:c r="S1580" s="0"/>
      <x:c r="T1580" s="0"/>
      <x:c r="U1580" s="0"/>
      <x:c r="V1580" s="0"/>
      <x:c r="W1580" s="0"/>
      <x:c r="X1580" t="str" s="2">
        <x:v>4055035026</x:v>
      </x:c>
      <x:c r="Y1580" t="str" s="2">
        <x:v>j2hconstructionllc@gmail.com</x:v>
      </x:c>
      <x:c r="Z1580" s="6">
        <x:v>46294.9621783912</x:v>
      </x:c>
      <x:c r="AA1580" t="str" s="2">
        <x:v>Steve Castell</x:v>
      </x:c>
      <x:c r="AB1580" s="6">
        <x:v>46284.89702445602</x:v>
      </x:c>
      <x:c r="AC1580" t="n" s="2">
        <x:v>40205</x:v>
      </x:c>
      <x:c r="AD1580" s="0"/>
      <x:c r="AE1580" s="0"/>
      <x:c r="AF1580" s="0"/>
      <x:c r="AG1580" s="0"/>
      <x:c r="AH1580" s="0"/>
      <x:c r="AI1580" s="0"/>
      <x:c r="AJ1580" s="0"/>
      <x:c r="AK1580" s="0"/>
    </x:row>
    <x:row r="1581">
      <x:c r="A1581" t="str" s="2">
        <x:f>=HYPERLINK("https://rsms.futurehomex.com/lead/40206", "Katlin Morowski")</x:f>
      </x:c>
      <x:c r="B1581" t="n" s="2">
        <x:v>24</x:v>
      </x:c>
      <x:c r="C1581" t="str" s="2">
        <x:v>0/3</x:v>
      </x:c>
      <x:c r="D1581" t="str" s="2">
        <x:f>=""</x:f>
      </x:c>
      <x:c r="E1581" s="0"/>
      <x:c r="F1581" t="str" s="2">
        <x:v>Landing_BPM</x:v>
      </x:c>
      <x:c r="G1581" t="str" s="2">
        <x:v>Heritage Housing of Oklahoma City</x:v>
      </x:c>
      <x:c r="H1581" t="str" s="2">
        <x:v>Steve Castell</x:v>
      </x:c>
      <x:c r="I1581" s="0"/>
      <x:c r="J1581" t="str" s="2">
        <x:v>Steve Castell</x:v>
      </x:c>
      <x:c r="K1581" t="n" s="2">
        <x:v>5</x:v>
      </x:c>
      <x:c r="L1581" t="str" s="2">
        <x:v>1.1</x:v>
      </x:c>
      <x:c r="M1581" t="str" s="2">
        <x:v>Tentative</x:v>
      </x:c>
      <x:c r="N1581" t="str" s="2">
        <x:v>Deal Created</x:v>
      </x:c>
      <x:c r="O1581" s="0"/>
      <x:c r="P1581" s="6">
        <x:v>46284</x:v>
      </x:c>
      <x:c r="Q1581" s="6">
        <x:v>46284.92814004629</x:v>
      </x:c>
      <x:c r="R1581" s="0"/>
      <x:c r="S1581" s="0"/>
      <x:c r="T1581" s="0"/>
      <x:c r="U1581" s="0"/>
      <x:c r="V1581" s="0"/>
      <x:c r="W1581" s="0"/>
      <x:c r="X1581" t="str" s="2">
        <x:v>4055851337</x:v>
      </x:c>
      <x:c r="Y1581" t="str" s="2">
        <x:v>katlinmorowski0@gmail.com</x:v>
      </x:c>
      <x:c r="Z1581" s="6">
        <x:v>46300.76324475694</x:v>
      </x:c>
      <x:c r="AA1581" t="str" s="2">
        <x:v>Richard Bell</x:v>
      </x:c>
      <x:c r="AB1581" s="6">
        <x:v>46284.928140625</x:v>
      </x:c>
      <x:c r="AC1581" t="n" s="2">
        <x:v>40206</x:v>
      </x:c>
      <x:c r="AD1581" s="0"/>
      <x:c r="AE1581" s="0"/>
      <x:c r="AF1581" s="0"/>
      <x:c r="AG1581" s="0"/>
      <x:c r="AH1581" s="0"/>
      <x:c r="AI1581" s="0"/>
      <x:c r="AJ1581" s="0"/>
      <x:c r="AK1581" s="0"/>
    </x:row>
    <x:row r="1582">
      <x:c r="A1582" t="str" s="2">
        <x:f>=HYPERLINK("https://rsms.futurehomex.com/lead/40207", "Billy Terrell")</x:f>
      </x:c>
      <x:c r="B1582" t="n" s="2">
        <x:v>24</x:v>
      </x:c>
      <x:c r="C1582" t="str" s="2">
        <x:v>2/7</x:v>
      </x:c>
      <x:c r="D1582" t="str" s="2">
        <x:f>=""</x:f>
      </x:c>
      <x:c r="E1582" s="0"/>
      <x:c r="F1582" t="str" s="2">
        <x:v>Meta Ads - Messenger</x:v>
      </x:c>
      <x:c r="G1582" t="str" s="2">
        <x:v>Heritage Housing of Oklahoma City</x:v>
      </x:c>
      <x:c r="H1582" t="str" s="2">
        <x:v>Steve Castell</x:v>
      </x:c>
      <x:c r="I1582" s="0"/>
      <x:c r="J1582" s="0"/>
      <x:c r="K1582" t="n" s="2">
        <x:v>59</x:v>
      </x:c>
      <x:c r="L1582" t="str" s="2">
        <x:v>4.3</x:v>
      </x:c>
      <x:c r="M1582" t="str" s="2">
        <x:v>Active</x:v>
      </x:c>
      <x:c r="N1582" t="str" s="2">
        <x:v>Loan Approved</x:v>
      </x:c>
      <x:c r="O1582" s="0"/>
      <x:c r="P1582" s="6">
        <x:v>46284</x:v>
      </x:c>
      <x:c r="Q1582" s="6">
        <x:v>46305.75282137731</x:v>
      </x:c>
      <x:c r="R1582" s="0"/>
      <x:c r="S1582" s="6">
        <x:v>46289</x:v>
      </x:c>
      <x:c r="T1582" s="6">
        <x:v>46300</x:v>
      </x:c>
      <x:c r="U1582" s="6">
        <x:v>46301</x:v>
      </x:c>
      <x:c r="V1582" s="0"/>
      <x:c r="W1582" s="0"/>
      <x:c r="X1582" t="str" s="2">
        <x:v>9182323457</x:v>
      </x:c>
      <x:c r="Y1582" t="str" s="2">
        <x:v>billyterrell63@gmail.com</x:v>
      </x:c>
      <x:c r="Z1582" s="6">
        <x:v>46308.63929733796</x:v>
      </x:c>
      <x:c r="AA1582" t="str" s="2">
        <x:v>Richard Bell</x:v>
      </x:c>
      <x:c r="AB1582" s="6">
        <x:v>46284.97573842593</x:v>
      </x:c>
      <x:c r="AC1582" t="n" s="2">
        <x:v>40207</x:v>
      </x:c>
      <x:c r="AD1582" t="str" s="2">
        <x:v>Singlewide</x:v>
      </x:c>
      <x:c r="AE1582" s="0"/>
      <x:c r="AF1582" s="0"/>
      <x:c r="AG1582" s="7">
        <x:v>1000</x:v>
      </x:c>
      <x:c r="AH1582" s="0"/>
      <x:c r="AI1582" t="str" s="2">
        <x:v>527</x:v>
      </x:c>
      <x:c r="AJ1582" s="0"/>
      <x:c r="AK1582" s="0"/>
    </x:row>
    <x:row r="1583">
      <x:c r="A1583" t="str" s="2">
        <x:f>=HYPERLINK("https://rsms.futurehomex.com/lead/40208", "Karen Whygle")</x:f>
      </x:c>
      <x:c r="B1583" t="n" s="2">
        <x:v>23</x:v>
      </x:c>
      <x:c r="C1583" t="str" s="2">
        <x:v>1/5</x:v>
      </x:c>
      <x:c r="D1583" t="str" s="2">
        <x:f>=""</x:f>
      </x:c>
      <x:c r="E1583" s="0"/>
      <x:c r="F1583" t="str" s="2">
        <x:v>Youtube</x:v>
      </x:c>
      <x:c r="G1583" t="str" s="2">
        <x:v>Heritage Housing of Oklahoma City</x:v>
      </x:c>
      <x:c r="H1583" t="str" s="2">
        <x:v>Noemi Rojo</x:v>
      </x:c>
      <x:c r="I1583" s="0"/>
      <x:c r="J1583" t="str" s="2">
        <x:v>Noemi Rojo</x:v>
      </x:c>
      <x:c r="K1583" t="n" s="2">
        <x:v>5</x:v>
      </x:c>
      <x:c r="L1583" t="str" s="2">
        <x:v>1.1</x:v>
      </x:c>
      <x:c r="M1583" t="str" s="2">
        <x:v>Tentative</x:v>
      </x:c>
      <x:c r="N1583" t="str" s="2">
        <x:v>Deal Created</x:v>
      </x:c>
      <x:c r="O1583" s="0"/>
      <x:c r="P1583" s="6">
        <x:v>46285</x:v>
      </x:c>
      <x:c r="Q1583" s="6">
        <x:v>46295.94182792824</x:v>
      </x:c>
      <x:c r="R1583" s="0"/>
      <x:c r="S1583" s="0"/>
      <x:c r="T1583" s="0"/>
      <x:c r="U1583" s="0"/>
      <x:c r="V1583" s="0"/>
      <x:c r="W1583" s="0"/>
      <x:c r="X1583" t="str" s="2">
        <x:v>4028336417</x:v>
      </x:c>
      <x:c r="Y1583" t="str" s="2">
        <x:v>karenwhygle@gmail.com</x:v>
      </x:c>
      <x:c r="Z1583" s="6">
        <x:v>46300.980322372685</x:v>
      </x:c>
      <x:c r="AA1583" t="str" s="2">
        <x:v>Steve Castell</x:v>
      </x:c>
      <x:c r="AB1583" s="6">
        <x:v>46298.64679571759</x:v>
      </x:c>
      <x:c r="AC1583" t="n" s="2">
        <x:v>40208</x:v>
      </x:c>
      <x:c r="AD1583" s="0"/>
      <x:c r="AE1583" s="0"/>
      <x:c r="AF1583" s="0"/>
      <x:c r="AG1583" s="0"/>
      <x:c r="AH1583" s="0"/>
      <x:c r="AI1583" s="0"/>
      <x:c r="AJ1583" s="0"/>
      <x:c r="AK1583" s="0"/>
    </x:row>
    <x:row r="1584">
      <x:c r="A1584" t="str" s="2">
        <x:f>=HYPERLINK("https://rsms.futurehomex.com/lead/40209", "Ryan Pardon")</x:f>
      </x:c>
      <x:c r="B1584" t="n" s="2">
        <x:v>23</x:v>
      </x:c>
      <x:c r="C1584" t="str" s="2">
        <x:v>0/1</x:v>
      </x:c>
      <x:c r="D1584" t="str" s="2">
        <x:f>=""</x:f>
      </x:c>
      <x:c r="E1584" s="0"/>
      <x:c r="F1584" t="str" s="2">
        <x:v>Financing Form</x:v>
      </x:c>
      <x:c r="G1584" t="str" s="2">
        <x:v>Heritage Housing of Oklahoma City</x:v>
      </x:c>
      <x:c r="H1584" t="str" s="2">
        <x:v>Alejandra Calderon</x:v>
      </x:c>
      <x:c r="I1584" s="0"/>
      <x:c r="J1584" s="0"/>
      <x:c r="K1584" t="n" s="2">
        <x:v>5</x:v>
      </x:c>
      <x:c r="L1584" t="str" s="2">
        <x:v>1.1</x:v>
      </x:c>
      <x:c r="M1584" t="str" s="2">
        <x:v>Dead</x:v>
      </x:c>
      <x:c r="N1584" t="str" s="2">
        <x:v>Deal Created</x:v>
      </x:c>
      <x:c r="O1584" s="0"/>
      <x:c r="P1584" s="6">
        <x:v>46285</x:v>
      </x:c>
      <x:c r="Q1584" s="6">
        <x:v>46285.08144278935</x:v>
      </x:c>
      <x:c r="R1584" s="0"/>
      <x:c r="S1584" s="0"/>
      <x:c r="T1584" s="0"/>
      <x:c r="U1584" s="0"/>
      <x:c r="V1584" s="0"/>
      <x:c r="W1584" s="0"/>
      <x:c r="X1584" t="str" s="2">
        <x:v>5734121212</x:v>
      </x:c>
      <x:c r="Y1584" t="str" s="2">
        <x:v>jopardon22@gmail.com</x:v>
      </x:c>
      <x:c r="Z1584" s="6">
        <x:v>46288.94377496528</x:v>
      </x:c>
      <x:c r="AA1584" t="str" s="2">
        <x:v>Alejandra Calderon</x:v>
      </x:c>
      <x:c r="AB1584" s="6">
        <x:v>46285.08144332176</x:v>
      </x:c>
      <x:c r="AC1584" t="n" s="2">
        <x:v>40209</x:v>
      </x:c>
      <x:c r="AD1584" s="0"/>
      <x:c r="AE1584" s="0"/>
      <x:c r="AF1584" s="0"/>
      <x:c r="AG1584" s="0"/>
      <x:c r="AH1584" s="0"/>
      <x:c r="AI1584" s="0"/>
      <x:c r="AJ1584" s="0"/>
      <x:c r="AK1584" s="0"/>
    </x:row>
    <x:row r="1585">
      <x:c r="A1585" t="str" s="2">
        <x:f>=HYPERLINK("https://rsms.futurehomex.com/lead/40210", "Jacob Pendergreft")</x:f>
      </x:c>
      <x:c r="B1585" t="n" s="2">
        <x:v>23</x:v>
      </x:c>
      <x:c r="C1585" t="str" s="2">
        <x:v>1/1</x:v>
      </x:c>
      <x:c r="D1585" t="str" s="2">
        <x:f>=""</x:f>
      </x:c>
      <x:c r="E1585" s="0"/>
      <x:c r="F1585" t="str" s="2">
        <x:v>Walk-in</x:v>
      </x:c>
      <x:c r="G1585" t="str" s="2">
        <x:v>Heritage Housing of Oklahoma City</x:v>
      </x:c>
      <x:c r="H1585" t="str" s="2">
        <x:v>Eva Misheva</x:v>
      </x:c>
      <x:c r="I1585" s="0"/>
      <x:c r="J1585" s="0"/>
      <x:c r="K1585" t="n" s="2">
        <x:v>5</x:v>
      </x:c>
      <x:c r="L1585" t="str" s="2">
        <x:v>1.1</x:v>
      </x:c>
      <x:c r="M1585" t="str" s="2">
        <x:v>Tentative</x:v>
      </x:c>
      <x:c r="N1585" t="str" s="2">
        <x:v>Prospect</x:v>
      </x:c>
      <x:c r="O1585" s="0"/>
      <x:c r="P1585" s="6">
        <x:v>46285</x:v>
      </x:c>
      <x:c r="Q1585" s="6">
        <x:v>46285.735507488425</x:v>
      </x:c>
      <x:c r="R1585" s="0"/>
      <x:c r="S1585" s="6">
        <x:v>46284</x:v>
      </x:c>
      <x:c r="T1585" s="0"/>
      <x:c r="U1585" s="0"/>
      <x:c r="V1585" s="0"/>
      <x:c r="W1585" s="0"/>
      <x:c r="X1585" t="str" s="2">
        <x:v>4055581409</x:v>
      </x:c>
      <x:c r="Y1585" t="str" s="2">
        <x:v>jake4194@gmail.com</x:v>
      </x:c>
      <x:c r="Z1585" s="6">
        <x:v>46292.93367615741</x:v>
      </x:c>
      <x:c r="AA1585" t="str" s="2">
        <x:v>Eva Misheva</x:v>
      </x:c>
      <x:c r="AB1585" s="6">
        <x:v>46285.73551160879</x:v>
      </x:c>
      <x:c r="AC1585" t="n" s="2">
        <x:v>40210</x:v>
      </x:c>
      <x:c r="AD1585" s="0"/>
      <x:c r="AE1585" s="0"/>
      <x:c r="AF1585" s="0"/>
      <x:c r="AG1585" s="0"/>
      <x:c r="AH1585" s="0"/>
      <x:c r="AI1585" s="0"/>
      <x:c r="AJ1585" s="0"/>
      <x:c r="AK1585" s="0"/>
    </x:row>
    <x:row r="1586">
      <x:c r="A1586" t="str" s="2">
        <x:f>=HYPERLINK("https://rsms.futurehomex.com/lead/40211", "Alonzo Greenwood")</x:f>
      </x:c>
      <x:c r="B1586" t="n" s="2">
        <x:v>23</x:v>
      </x:c>
      <x:c r="C1586" t="str" s="2">
        <x:v>1/1</x:v>
      </x:c>
      <x:c r="D1586" t="str" s="2">
        <x:f>=""</x:f>
      </x:c>
      <x:c r="E1586" s="0"/>
      <x:c r="F1586" t="str" s="2">
        <x:v>Walk-in</x:v>
      </x:c>
      <x:c r="G1586" t="str" s="2">
        <x:v>Heritage Housing of Oklahoma City</x:v>
      </x:c>
      <x:c r="H1586" t="str" s="2">
        <x:v>Eva Misheva</x:v>
      </x:c>
      <x:c r="I1586" s="0"/>
      <x:c r="J1586" s="0"/>
      <x:c r="K1586" t="n" s="2">
        <x:v>5</x:v>
      </x:c>
      <x:c r="L1586" t="str" s="2">
        <x:v>1.1</x:v>
      </x:c>
      <x:c r="M1586" t="str" s="2">
        <x:v>Tentative</x:v>
      </x:c>
      <x:c r="N1586" t="str" s="2">
        <x:v>Prospect</x:v>
      </x:c>
      <x:c r="O1586" s="0"/>
      <x:c r="P1586" s="6">
        <x:v>46285</x:v>
      </x:c>
      <x:c r="Q1586" s="6">
        <x:v>46285.743945104165</x:v>
      </x:c>
      <x:c r="R1586" s="0"/>
      <x:c r="S1586" s="0"/>
      <x:c r="T1586" s="0"/>
      <x:c r="U1586" s="0"/>
      <x:c r="V1586" s="0"/>
      <x:c r="W1586" s="0"/>
      <x:c r="X1586" t="str" s="2">
        <x:v>4056545087</x:v>
      </x:c>
      <x:c r="Y1586" t="str" s="2">
        <x:v>Alonzo .B.Greenwood@gmail.com</x:v>
      </x:c>
      <x:c r="Z1586" s="6">
        <x:v>46292.93676049769</x:v>
      </x:c>
      <x:c r="AA1586" t="str" s="2">
        <x:v>Eva Misheva</x:v>
      </x:c>
      <x:c r="AB1586" s="6">
        <x:v>46285.7439465625</x:v>
      </x:c>
      <x:c r="AC1586" t="n" s="2">
        <x:v>40211</x:v>
      </x:c>
      <x:c r="AD1586" s="0"/>
      <x:c r="AE1586" s="0"/>
      <x:c r="AF1586" s="0"/>
      <x:c r="AG1586" s="0"/>
      <x:c r="AH1586" s="0"/>
      <x:c r="AI1586" s="0"/>
      <x:c r="AJ1586" s="0"/>
      <x:c r="AK1586" s="0"/>
    </x:row>
    <x:row r="1587">
      <x:c r="A1587" t="str" s="2">
        <x:f>=HYPERLINK("https://rsms.futurehomex.com/lead/40212", "CAROLETA HARDMAN")</x:f>
      </x:c>
      <x:c r="B1587" t="n" s="2">
        <x:v>23</x:v>
      </x:c>
      <x:c r="C1587" t="str" s="2">
        <x:v>1/2</x:v>
      </x:c>
      <x:c r="D1587" t="str" s="2">
        <x:f>=""</x:f>
      </x:c>
      <x:c r="E1587" s="0"/>
      <x:c r="F1587" t="str" s="2">
        <x:v>Walk-in</x:v>
      </x:c>
      <x:c r="G1587" t="str" s="2">
        <x:v>Heritage Housing of Oklahoma City</x:v>
      </x:c>
      <x:c r="H1587" t="str" s="2">
        <x:v>Eva Misheva</x:v>
      </x:c>
      <x:c r="I1587" s="0"/>
      <x:c r="J1587" s="0"/>
      <x:c r="K1587" t="n" s="2">
        <x:v>5</x:v>
      </x:c>
      <x:c r="L1587" t="str" s="2">
        <x:v>1.1</x:v>
      </x:c>
      <x:c r="M1587" t="str" s="2">
        <x:v>Tentative</x:v>
      </x:c>
      <x:c r="N1587" t="str" s="2">
        <x:v>Prospect</x:v>
      </x:c>
      <x:c r="O1587" s="0"/>
      <x:c r="P1587" s="6">
        <x:v>46285</x:v>
      </x:c>
      <x:c r="Q1587" s="6">
        <x:v>46285.76781813658</x:v>
      </x:c>
      <x:c r="R1587" s="0"/>
      <x:c r="S1587" s="6">
        <x:v>46285</x:v>
      </x:c>
      <x:c r="T1587" s="0"/>
      <x:c r="U1587" s="0"/>
      <x:c r="V1587" s="0"/>
      <x:c r="W1587" s="0"/>
      <x:c r="X1587" t="str" s="2">
        <x:v>8325732563</x:v>
      </x:c>
      <x:c r="Y1587" t="str" s="2">
        <x:v>Caroletajohnson@sbcglobal.net</x:v>
      </x:c>
      <x:c r="Z1587" s="6">
        <x:v>46300.65655008102</x:v>
      </x:c>
      <x:c r="AA1587" t="str" s="2">
        <x:v>Eva Misheva</x:v>
      </x:c>
      <x:c r="AB1587" s="6">
        <x:v>46285.767819560184</x:v>
      </x:c>
      <x:c r="AC1587" t="n" s="2">
        <x:v>40212</x:v>
      </x:c>
      <x:c r="AD1587" s="0"/>
      <x:c r="AE1587" s="0"/>
      <x:c r="AF1587" s="0"/>
      <x:c r="AG1587" s="0"/>
      <x:c r="AH1587" s="0"/>
      <x:c r="AI1587" s="0"/>
      <x:c r="AJ1587" s="0"/>
      <x:c r="AK1587" s="0"/>
    </x:row>
    <x:row r="1588">
      <x:c r="A1588" t="str" s="2">
        <x:f>=HYPERLINK("https://rsms.futurehomex.com/lead/40213", "Tony 1")</x:f>
      </x:c>
      <x:c r="B1588" t="n" s="2">
        <x:v>23</x:v>
      </x:c>
      <x:c r="C1588" t="str" s="2">
        <x:v/>
      </x:c>
      <x:c r="D1588" t="str" s="2">
        <x:f>=""</x:f>
      </x:c>
      <x:c r="E1588" s="0"/>
      <x:c r="F1588" t="str" s="2">
        <x:v>Walk-in</x:v>
      </x:c>
      <x:c r="G1588" t="str" s="2">
        <x:v>Heritage Housing of Albany</x:v>
      </x:c>
      <x:c r="H1588" t="str" s="2">
        <x:v>Alexander Bryant</x:v>
      </x:c>
      <x:c r="I1588" t="str" s="2">
        <x:v>Karol Romero</x:v>
      </x:c>
      <x:c r="J1588" t="str" s="2">
        <x:v>Alexander Bryant</x:v>
      </x:c>
      <x:c r="K1588" t="n" s="2">
        <x:v>5</x:v>
      </x:c>
      <x:c r="L1588" t="str" s="2">
        <x:v>1.1</x:v>
      </x:c>
      <x:c r="M1588" t="str" s="2">
        <x:v>Tentative</x:v>
      </x:c>
      <x:c r="N1588" t="str" s="2">
        <x:v>Deal Created</x:v>
      </x:c>
      <x:c r="O1588" s="0"/>
      <x:c r="P1588" s="6">
        <x:v>46285</x:v>
      </x:c>
      <x:c r="Q1588" s="6">
        <x:v>46285.773554085645</x:v>
      </x:c>
      <x:c r="R1588" s="0"/>
      <x:c r="S1588" s="0"/>
      <x:c r="T1588" s="0"/>
      <x:c r="U1588" s="0"/>
      <x:c r="V1588" s="0"/>
      <x:c r="W1588" s="0"/>
      <x:c r="X1588" t="str" s="2">
        <x:v>2292237171</x:v>
      </x:c>
      <x:c r="Y1588" t="str" s="2">
        <x:v>2292237171</x:v>
      </x:c>
      <x:c r="Z1588" s="0"/>
      <x:c r="AA1588" s="0"/>
      <x:c r="AB1588" s="6">
        <x:v>46285.77355582176</x:v>
      </x:c>
      <x:c r="AC1588" t="n" s="2">
        <x:v>40213</x:v>
      </x:c>
      <x:c r="AD1588" s="0"/>
      <x:c r="AE1588" s="0"/>
      <x:c r="AF1588" s="0"/>
      <x:c r="AG1588" s="0"/>
      <x:c r="AH1588" s="0"/>
      <x:c r="AI1588" s="0"/>
      <x:c r="AJ1588" s="0"/>
      <x:c r="AK1588" s="0"/>
    </x:row>
    <x:row r="1589">
      <x:c r="A1589" t="str" s="2">
        <x:f>=HYPERLINK("https://rsms.futurehomex.com/lead/40214", "Cristina Pecina")</x:f>
      </x:c>
      <x:c r="B1589" t="n" s="2">
        <x:v>23</x:v>
      </x:c>
      <x:c r="C1589" t="str" s="2">
        <x:v/>
      </x:c>
      <x:c r="D1589" t="str" s="2">
        <x:f>=""</x:f>
      </x:c>
      <x:c r="E1589" s="0"/>
      <x:c r="F1589" t="str" s="2">
        <x:v>Facebook Messenger</x:v>
      </x:c>
      <x:c r="G1589" t="str" s="2">
        <x:v>Heritage Housing Mt Pleasant</x:v>
      </x:c>
      <x:c r="H1589" t="str" s="2">
        <x:v>Sandra Saldana</x:v>
      </x:c>
      <x:c r="I1589" s="0"/>
      <x:c r="J1589" t="str" s="2">
        <x:v>Sandra Saldana</x:v>
      </x:c>
      <x:c r="K1589" t="n" s="2">
        <x:v>5</x:v>
      </x:c>
      <x:c r="L1589" t="str" s="2">
        <x:v>1.1</x:v>
      </x:c>
      <x:c r="M1589" t="str" s="2">
        <x:v>Tentative</x:v>
      </x:c>
      <x:c r="N1589" t="str" s="2">
        <x:v>Deal Created</x:v>
      </x:c>
      <x:c r="O1589" s="0"/>
      <x:c r="P1589" s="6">
        <x:v>46285</x:v>
      </x:c>
      <x:c r="Q1589" s="6">
        <x:v>46285.795374189816</x:v>
      </x:c>
      <x:c r="R1589" s="0"/>
      <x:c r="S1589" s="0"/>
      <x:c r="T1589" s="0"/>
      <x:c r="U1589" s="0"/>
      <x:c r="V1589" s="0"/>
      <x:c r="W1589" s="0"/>
      <x:c r="X1589" t="str" s="2">
        <x:v>9039311893</x:v>
      </x:c>
      <x:c r="Y1589" t="str" s="2">
        <x:v>9039311893</x:v>
      </x:c>
      <x:c r="Z1589" s="6">
        <x:v>46285.918559756945</x:v>
      </x:c>
      <x:c r="AA1589" t="str" s="2">
        <x:v>Sandra Saldana</x:v>
      </x:c>
      <x:c r="AB1589" s="6">
        <x:v>46285.79537569445</x:v>
      </x:c>
      <x:c r="AC1589" t="n" s="2">
        <x:v>40214</x:v>
      </x:c>
      <x:c r="AD1589" s="0"/>
      <x:c r="AE1589" s="0"/>
      <x:c r="AF1589" s="0"/>
      <x:c r="AG1589" s="0"/>
      <x:c r="AH1589" s="0"/>
      <x:c r="AI1589" s="0"/>
      <x:c r="AJ1589" s="0"/>
      <x:c r="AK1589" s="0"/>
    </x:row>
    <x:row r="1590">
      <x:c r="A1590" t="str" s="2">
        <x:f>=HYPERLINK("https://rsms.futurehomex.com/lead/40215", "CHLOE ALLEN &amp; SEAN MORRIS")</x:f>
      </x:c>
      <x:c r="B1590" t="n" s="2">
        <x:v>23</x:v>
      </x:c>
      <x:c r="C1590" t="str" s="2">
        <x:v>1/1</x:v>
      </x:c>
      <x:c r="D1590" t="str" s="2">
        <x:f>=""</x:f>
      </x:c>
      <x:c r="E1590" s="0"/>
      <x:c r="F1590" t="str" s="2">
        <x:v>Walk-in</x:v>
      </x:c>
      <x:c r="G1590" t="str" s="2">
        <x:v>Heritage Housing of Oklahoma City</x:v>
      </x:c>
      <x:c r="H1590" t="str" s="2">
        <x:v>Eva Misheva</x:v>
      </x:c>
      <x:c r="I1590" s="0"/>
      <x:c r="J1590" s="0"/>
      <x:c r="K1590" t="n" s="2">
        <x:v>5</x:v>
      </x:c>
      <x:c r="L1590" t="str" s="2">
        <x:v>1.1</x:v>
      </x:c>
      <x:c r="M1590" t="str" s="2">
        <x:v>Tentative</x:v>
      </x:c>
      <x:c r="N1590" t="str" s="2">
        <x:v>Prospect</x:v>
      </x:c>
      <x:c r="O1590" s="0"/>
      <x:c r="P1590" s="6">
        <x:v>46285</x:v>
      </x:c>
      <x:c r="Q1590" s="6">
        <x:v>46285.85925732639</x:v>
      </x:c>
      <x:c r="R1590" s="0"/>
      <x:c r="S1590" s="6">
        <x:v>46284</x:v>
      </x:c>
      <x:c r="T1590" s="0"/>
      <x:c r="U1590" s="0"/>
      <x:c r="V1590" s="0"/>
      <x:c r="W1590" s="0"/>
      <x:c r="X1590" t="str" s="2">
        <x:v>4054965881</x:v>
      </x:c>
      <x:c r="Y1590" t="str" s="2">
        <x:v>ALLENCHLOE70@GMAIL.COM</x:v>
      </x:c>
      <x:c r="Z1590" s="6">
        <x:v>46285.87620899305</x:v>
      </x:c>
      <x:c r="AA1590" t="str" s="2">
        <x:v>Eva Misheva</x:v>
      </x:c>
      <x:c r="AB1590" s="6">
        <x:v>46285.85925891204</x:v>
      </x:c>
      <x:c r="AC1590" t="n" s="2">
        <x:v>40215</x:v>
      </x:c>
      <x:c r="AD1590" s="0"/>
      <x:c r="AE1590" s="0"/>
      <x:c r="AF1590" s="0"/>
      <x:c r="AG1590" s="0"/>
      <x:c r="AH1590" s="0"/>
      <x:c r="AI1590" s="0"/>
      <x:c r="AJ1590" s="0"/>
      <x:c r="AK1590" s="0"/>
    </x:row>
    <x:row r="1591">
      <x:c r="A1591" t="str" s="2">
        <x:f>=HYPERLINK("https://rsms.futurehomex.com/lead/40216", "Ryan Pardon")</x:f>
      </x:c>
      <x:c r="B1591" t="n" s="2">
        <x:v>23</x:v>
      </x:c>
      <x:c r="C1591" t="str" s="2">
        <x:v>0/1</x:v>
      </x:c>
      <x:c r="D1591" t="str" s="2">
        <x:f>=""</x:f>
      </x:c>
      <x:c r="E1591" s="0"/>
      <x:c r="F1591" t="str" s="2">
        <x:v>Financing Form</x:v>
      </x:c>
      <x:c r="G1591" t="str" s="2">
        <x:v>Heritage Housing of Oklahoma City</x:v>
      </x:c>
      <x:c r="H1591" t="str" s="2">
        <x:v>Steve Castell</x:v>
      </x:c>
      <x:c r="I1591" s="0"/>
      <x:c r="J1591" t="str" s="2">
        <x:v>Steve Castell</x:v>
      </x:c>
      <x:c r="K1591" t="n" s="2">
        <x:v>5</x:v>
      </x:c>
      <x:c r="L1591" t="str" s="2">
        <x:v>1.1</x:v>
      </x:c>
      <x:c r="M1591" t="str" s="2">
        <x:v>Dead</x:v>
      </x:c>
      <x:c r="N1591" t="str" s="2">
        <x:v>Deal Created</x:v>
      </x:c>
      <x:c r="O1591" s="0"/>
      <x:c r="P1591" s="6">
        <x:v>46285</x:v>
      </x:c>
      <x:c r="Q1591" s="6">
        <x:v>46285.96023758102</x:v>
      </x:c>
      <x:c r="R1591" s="0"/>
      <x:c r="S1591" s="0"/>
      <x:c r="T1591" s="0"/>
      <x:c r="U1591" s="0"/>
      <x:c r="V1591" s="0"/>
      <x:c r="W1591" s="0"/>
      <x:c r="X1591" t="str" s="2">
        <x:v>5734121212</x:v>
      </x:c>
      <x:c r="Y1591" t="str" s="2">
        <x:v>jopardon22@gmail.com</x:v>
      </x:c>
      <x:c r="Z1591" s="6">
        <x:v>46287.986483333334</x:v>
      </x:c>
      <x:c r="AA1591" t="str" s="2">
        <x:v>Steve Castell</x:v>
      </x:c>
      <x:c r="AB1591" s="6">
        <x:v>46285.960238113425</x:v>
      </x:c>
      <x:c r="AC1591" t="n" s="2">
        <x:v>40216</x:v>
      </x:c>
      <x:c r="AD1591" s="0"/>
      <x:c r="AE1591" s="0"/>
      <x:c r="AF1591" s="0"/>
      <x:c r="AG1591" s="0"/>
      <x:c r="AH1591" s="0"/>
      <x:c r="AI1591" s="0"/>
      <x:c r="AJ1591" s="0"/>
      <x:c r="AK1591" s="0"/>
    </x:row>
    <x:row r="1592">
      <x:c r="A1592" t="str" s="2">
        <x:f>=HYPERLINK("https://rsms.futurehomex.com/lead/40217", "Kristina Clark")</x:f>
      </x:c>
      <x:c r="B1592" t="n" s="2">
        <x:v>23</x:v>
      </x:c>
      <x:c r="C1592" t="str" s="2">
        <x:v>1/3</x:v>
      </x:c>
      <x:c r="D1592" t="str" s="2">
        <x:f>=""</x:f>
      </x:c>
      <x:c r="E1592" s="0"/>
      <x:c r="F1592" t="str" s="2">
        <x:v>Financing Form</x:v>
      </x:c>
      <x:c r="G1592" t="str" s="2">
        <x:v>Heritage Housing of Oklahoma City</x:v>
      </x:c>
      <x:c r="H1592" t="str" s="2">
        <x:v>Steve Castell</x:v>
      </x:c>
      <x:c r="I1592" s="0"/>
      <x:c r="J1592" t="str" s="2">
        <x:v>Steve Castell</x:v>
      </x:c>
      <x:c r="K1592" t="n" s="2">
        <x:v>5</x:v>
      </x:c>
      <x:c r="L1592" t="str" s="2">
        <x:v>1.1</x:v>
      </x:c>
      <x:c r="M1592" t="str" s="2">
        <x:v>Tentative</x:v>
      </x:c>
      <x:c r="N1592" t="str" s="2">
        <x:v>Deal Created</x:v>
      </x:c>
      <x:c r="O1592" s="0"/>
      <x:c r="P1592" s="6">
        <x:v>46285</x:v>
      </x:c>
      <x:c r="Q1592" s="6">
        <x:v>46285.982153275465</x:v>
      </x:c>
      <x:c r="R1592" s="0"/>
      <x:c r="S1592" s="0"/>
      <x:c r="T1592" s="0"/>
      <x:c r="U1592" s="0"/>
      <x:c r="V1592" s="0"/>
      <x:c r="W1592" s="0"/>
      <x:c r="X1592" t="str" s="2">
        <x:v>5722474218</x:v>
      </x:c>
      <x:c r="Y1592" t="str" s="2">
        <x:v>kristinadawnbell1989@gmail.com</x:v>
      </x:c>
      <x:c r="Z1592" s="6">
        <x:v>46294.96016971065</x:v>
      </x:c>
      <x:c r="AA1592" t="str" s="2">
        <x:v>Steve Castell</x:v>
      </x:c>
      <x:c r="AB1592" s="6">
        <x:v>46285.98215393518</x:v>
      </x:c>
      <x:c r="AC1592" t="n" s="2">
        <x:v>40217</x:v>
      </x:c>
      <x:c r="AD1592" s="0"/>
      <x:c r="AE1592" s="0"/>
      <x:c r="AF1592" s="0"/>
      <x:c r="AG1592" s="0"/>
      <x:c r="AH1592" s="0"/>
      <x:c r="AI1592" s="0"/>
      <x:c r="AJ1592" s="0"/>
      <x:c r="AK1592" s="0"/>
    </x:row>
    <x:row r="1593">
      <x:c r="A1593" t="str" s="2">
        <x:f>=HYPERLINK("https://rsms.futurehomex.com/lead/40218", "Kevonte Chandler")</x:f>
      </x:c>
      <x:c r="B1593" t="n" s="2">
        <x:v>23</x:v>
      </x:c>
      <x:c r="C1593" t="str" s="2">
        <x:v>1/3</x:v>
      </x:c>
      <x:c r="D1593" t="str" s="2">
        <x:f>=""</x:f>
      </x:c>
      <x:c r="E1593" s="0"/>
      <x:c r="F1593" t="str" s="2">
        <x:v>Landing_BPM</x:v>
      </x:c>
      <x:c r="G1593" t="str" s="2">
        <x:v>Heritage Housing of Oklahoma City</x:v>
      </x:c>
      <x:c r="H1593" t="str" s="2">
        <x:v>Steve Castell</x:v>
      </x:c>
      <x:c r="I1593" s="0"/>
      <x:c r="J1593" t="str" s="2">
        <x:v>Steve Castell</x:v>
      </x:c>
      <x:c r="K1593" t="n" s="2">
        <x:v>5</x:v>
      </x:c>
      <x:c r="L1593" t="str" s="2">
        <x:v>1.1</x:v>
      </x:c>
      <x:c r="M1593" t="str" s="2">
        <x:v>Tentative</x:v>
      </x:c>
      <x:c r="N1593" t="str" s="2">
        <x:v>Deal Created</x:v>
      </x:c>
      <x:c r="O1593" s="0"/>
      <x:c r="P1593" s="6">
        <x:v>46285</x:v>
      </x:c>
      <x:c r="Q1593" s="6">
        <x:v>46285.989924884256</x:v>
      </x:c>
      <x:c r="R1593" s="0"/>
      <x:c r="S1593" s="0"/>
      <x:c r="T1593" s="0"/>
      <x:c r="U1593" s="0"/>
      <x:c r="V1593" s="0"/>
      <x:c r="W1593" s="0"/>
      <x:c r="X1593" t="str" s="2">
        <x:v>4052208492</x:v>
      </x:c>
      <x:c r="Y1593" t="str" s="2">
        <x:v>kevonte.chandler@icloud.com</x:v>
      </x:c>
      <x:c r="Z1593" s="6">
        <x:v>46303.979170405095</x:v>
      </x:c>
      <x:c r="AA1593" t="str" s="2">
        <x:v>Steve Castell</x:v>
      </x:c>
      <x:c r="AB1593" s="6">
        <x:v>46285.98992546296</x:v>
      </x:c>
      <x:c r="AC1593" t="n" s="2">
        <x:v>40218</x:v>
      </x:c>
      <x:c r="AD1593" s="0"/>
      <x:c r="AE1593" s="0"/>
      <x:c r="AF1593" s="0"/>
      <x:c r="AG1593" s="0"/>
      <x:c r="AH1593" s="0"/>
      <x:c r="AI1593" s="0"/>
      <x:c r="AJ1593" s="0"/>
      <x:c r="AK1593" s="0"/>
    </x:row>
    <x:row r="1594">
      <x:c r="A1594" t="str" s="2">
        <x:f>=HYPERLINK("https://rsms.futurehomex.com/lead/40220", "Charles Carpenter")</x:f>
      </x:c>
      <x:c r="B1594" t="n" s="2">
        <x:v>22</x:v>
      </x:c>
      <x:c r="C1594" t="str" s="2">
        <x:v/>
      </x:c>
      <x:c r="D1594" t="str" s="2">
        <x:f>=""</x:f>
      </x:c>
      <x:c r="E1594" s="0"/>
      <x:c r="F1594" t="str" s="2">
        <x:v>Facebook Messenger</x:v>
      </x:c>
      <x:c r="G1594" t="str" s="2">
        <x:v>Heritage Housing of Athens</x:v>
      </x:c>
      <x:c r="H1594" t="str" s="2">
        <x:v>Nathan Bishop</x:v>
      </x:c>
      <x:c r="I1594" s="0"/>
      <x:c r="J1594" t="str" s="2">
        <x:v>Nathan Bishop</x:v>
      </x:c>
      <x:c r="K1594" t="n" s="2">
        <x:v>5</x:v>
      </x:c>
      <x:c r="L1594" t="str" s="2">
        <x:v>1.1</x:v>
      </x:c>
      <x:c r="M1594" t="str" s="2">
        <x:v>Tentative</x:v>
      </x:c>
      <x:c r="N1594" t="str" s="2">
        <x:v>Deal Created</x:v>
      </x:c>
      <x:c r="O1594" s="0"/>
      <x:c r="P1594" s="6">
        <x:v>46286</x:v>
      </x:c>
      <x:c r="Q1594" s="6">
        <x:v>46286.58740081018</x:v>
      </x:c>
      <x:c r="R1594" s="0"/>
      <x:c r="S1594" s="0"/>
      <x:c r="T1594" s="0"/>
      <x:c r="U1594" s="0"/>
      <x:c r="V1594" s="0"/>
      <x:c r="W1594" s="0"/>
      <x:c r="X1594" t="str" s="2">
        <x:v>7063181979</x:v>
      </x:c>
      <x:c r="Y1594" t="str" s="2">
        <x:v>7063181979</x:v>
      </x:c>
      <x:c r="Z1594" s="0"/>
      <x:c r="AA1594" s="0"/>
      <x:c r="AB1594" s="6">
        <x:v>46286.58740285879</x:v>
      </x:c>
      <x:c r="AC1594" t="n" s="2">
        <x:v>40220</x:v>
      </x:c>
      <x:c r="AD1594" s="0"/>
      <x:c r="AE1594" s="0"/>
      <x:c r="AF1594" s="0"/>
      <x:c r="AG1594" s="0"/>
      <x:c r="AH1594" s="0"/>
      <x:c r="AI1594" s="0"/>
      <x:c r="AJ1594" s="0"/>
      <x:c r="AK1594" s="0"/>
    </x:row>
    <x:row r="1595">
      <x:c r="A1595" t="str" s="2">
        <x:f>=HYPERLINK("https://rsms.futurehomex.com/lead/40221", "AdaLynn Marler")</x:f>
      </x:c>
      <x:c r="B1595" t="n" s="2">
        <x:v>22</x:v>
      </x:c>
      <x:c r="C1595" t="str" s="2">
        <x:v>0/2</x:v>
      </x:c>
      <x:c r="D1595" t="str" s="2">
        <x:f>=""</x:f>
      </x:c>
      <x:c r="E1595" s="0"/>
      <x:c r="F1595" t="str" s="2">
        <x:v>Landing_BPM</x:v>
      </x:c>
      <x:c r="G1595" t="str" s="2">
        <x:v>Heritage Housing of Oklahoma City</x:v>
      </x:c>
      <x:c r="H1595" t="str" s="2">
        <x:v>Trey Rixleben</x:v>
      </x:c>
      <x:c r="I1595" s="0"/>
      <x:c r="J1595" t="str" s="2">
        <x:v>Trey Rixleben</x:v>
      </x:c>
      <x:c r="K1595" t="n" s="2">
        <x:v>5</x:v>
      </x:c>
      <x:c r="L1595" t="str" s="2">
        <x:v>1.1</x:v>
      </x:c>
      <x:c r="M1595" t="str" s="2">
        <x:v>Dead</x:v>
      </x:c>
      <x:c r="N1595" t="str" s="2">
        <x:v>Deal Created</x:v>
      </x:c>
      <x:c r="O1595" s="0"/>
      <x:c r="P1595" s="6">
        <x:v>46286</x:v>
      </x:c>
      <x:c r="Q1595" s="6">
        <x:v>46286.60347592593</x:v>
      </x:c>
      <x:c r="R1595" s="0"/>
      <x:c r="S1595" s="0"/>
      <x:c r="T1595" s="0"/>
      <x:c r="U1595" s="0"/>
      <x:c r="V1595" s="0"/>
      <x:c r="W1595" s="0"/>
      <x:c r="X1595" t="str" s="2">
        <x:v>4052071342</x:v>
      </x:c>
      <x:c r="Y1595" t="str" s="2">
        <x:v>adalynnmarler@gmail.com</x:v>
      </x:c>
      <x:c r="Z1595" s="6">
        <x:v>46289.84574846065</x:v>
      </x:c>
      <x:c r="AA1595" t="str" s="2">
        <x:v>Richard Bell</x:v>
      </x:c>
      <x:c r="AB1595" s="6">
        <x:v>46286.603165625</x:v>
      </x:c>
      <x:c r="AC1595" t="n" s="2">
        <x:v>40221</x:v>
      </x:c>
      <x:c r="AD1595" s="0"/>
      <x:c r="AE1595" s="0"/>
      <x:c r="AF1595" s="0"/>
      <x:c r="AG1595" s="0"/>
      <x:c r="AH1595" s="0"/>
      <x:c r="AI1595" s="0"/>
      <x:c r="AJ1595" s="0"/>
      <x:c r="AK1595" s="0"/>
    </x:row>
    <x:row r="1596">
      <x:c r="A1596" t="str" s="2">
        <x:f>=HYPERLINK("https://rsms.futurehomex.com/lead/40222", "Dustin Moline")</x:f>
      </x:c>
      <x:c r="B1596" t="n" s="2">
        <x:v>22</x:v>
      </x:c>
      <x:c r="C1596" t="str" s="2">
        <x:v>0/2</x:v>
      </x:c>
      <x:c r="D1596" t="str" s="2">
        <x:f>="REPO"</x:f>
      </x:c>
      <x:c r="E1596" t="str" s="2">
        <x:v>CONNIE MOLINE</x:v>
      </x:c>
      <x:c r="F1596" t="str" s="2">
        <x:v>LandingPage</x:v>
      </x:c>
      <x:c r="G1596" t="str" s="2">
        <x:v>Heritage Housing of Canton</x:v>
      </x:c>
      <x:c r="H1596" t="str" s="2">
        <x:v>Jacob Hatten</x:v>
      </x:c>
      <x:c r="I1596" s="0"/>
      <x:c r="J1596" t="str" s="2">
        <x:v>Jacob Hatten</x:v>
      </x:c>
      <x:c r="K1596" t="n" s="2">
        <x:v>100</x:v>
      </x:c>
      <x:c r="L1596" t="str" s="2">
        <x:v>6.2</x:v>
      </x:c>
      <x:c r="M1596" t="str" s="2">
        <x:v>Closed</x:v>
      </x:c>
      <x:c r="N1596" t="str" s="2">
        <x:v>Delivered</x:v>
      </x:c>
      <x:c r="O1596" s="6">
        <x:v>46293</x:v>
      </x:c>
      <x:c r="P1596" s="6">
        <x:v>46286</x:v>
      </x:c>
      <x:c r="Q1596" s="6">
        <x:v>46295.959819097225</x:v>
      </x:c>
      <x:c r="R1596" s="0"/>
      <x:c r="S1596" s="0"/>
      <x:c r="T1596" s="6">
        <x:v>46286</x:v>
      </x:c>
      <x:c r="U1596" s="6">
        <x:v>46288</x:v>
      </x:c>
      <x:c r="V1596" s="6">
        <x:v>46288</x:v>
      </x:c>
      <x:c r="W1596" s="6">
        <x:v>46295</x:v>
      </x:c>
      <x:c r="X1596" t="str" s="2">
        <x:v>9035765557</x:v>
      </x:c>
      <x:c r="Y1596" t="str" s="2">
        <x:v>shorthood78@gmail.com</x:v>
      </x:c>
      <x:c r="Z1596" s="6">
        <x:v>46300.83120501157</x:v>
      </x:c>
      <x:c r="AA1596" t="str" s="2">
        <x:v>Meliza Banda</x:v>
      </x:c>
      <x:c r="AB1596" s="6">
        <x:v>46286.603743402775</x:v>
      </x:c>
      <x:c r="AC1596" t="n" s="2">
        <x:v>40222</x:v>
      </x:c>
      <x:c r="AD1596" t="str" s="2">
        <x:v>Singlewide</x:v>
      </x:c>
      <x:c r="AE1596" t="str" s="2">
        <x:v>Legacy Housing Corporation</x:v>
      </x:c>
      <x:c r="AF1596" s="7">
        <x:v>7400</x:v>
      </x:c>
      <x:c r="AG1596" s="7">
        <x:v>7400</x:v>
      </x:c>
      <x:c r="AH1596" s="7">
        <x:v>7400</x:v>
      </x:c>
      <x:c r="AI1596" s="0"/>
      <x:c r="AJ1596" s="0"/>
      <x:c r="AK1596" s="0"/>
    </x:row>
    <x:row r="1597">
      <x:c r="A1597" t="str" s="2">
        <x:f>=HYPERLINK("https://rsms.futurehomex.com/lead/40223", "Tabi Hollingsworth")</x:f>
      </x:c>
      <x:c r="B1597" t="n" s="2">
        <x:v>22</x:v>
      </x:c>
      <x:c r="C1597" t="str" s="2">
        <x:v>1/1</x:v>
      </x:c>
      <x:c r="D1597" t="str" s="2">
        <x:f>=""</x:f>
      </x:c>
      <x:c r="E1597" s="0"/>
      <x:c r="F1597" t="str" s="2">
        <x:v>Landing_BPM</x:v>
      </x:c>
      <x:c r="G1597" t="str" s="2">
        <x:v>Heritage Housing of Oklahoma City</x:v>
      </x:c>
      <x:c r="H1597" t="str" s="2">
        <x:v>Trey Rixleben</x:v>
      </x:c>
      <x:c r="I1597" s="0"/>
      <x:c r="J1597" t="str" s="2">
        <x:v>Trey Rixleben</x:v>
      </x:c>
      <x:c r="K1597" t="n" s="2">
        <x:v>5</x:v>
      </x:c>
      <x:c r="L1597" t="str" s="2">
        <x:v>1.1</x:v>
      </x:c>
      <x:c r="M1597" t="str" s="2">
        <x:v>Tentative</x:v>
      </x:c>
      <x:c r="N1597" t="str" s="2">
        <x:v>Deal Created</x:v>
      </x:c>
      <x:c r="O1597" s="0"/>
      <x:c r="P1597" s="6">
        <x:v>46286</x:v>
      </x:c>
      <x:c r="Q1597" s="6">
        <x:v>46296.892281134256</x:v>
      </x:c>
      <x:c r="R1597" s="0"/>
      <x:c r="S1597" s="0"/>
      <x:c r="T1597" s="0"/>
      <x:c r="U1597" s="0"/>
      <x:c r="V1597" s="0"/>
      <x:c r="W1597" s="0"/>
      <x:c r="X1597" t="str" s="2">
        <x:v>9184086508</x:v>
      </x:c>
      <x:c r="Y1597" t="str" s="2">
        <x:v>sunnythope4@gmail.com</x:v>
      </x:c>
      <x:c r="Z1597" s="6">
        <x:v>46296.893091122685</x:v>
      </x:c>
      <x:c r="AA1597" t="str" s="2">
        <x:v>Trey Rixleben</x:v>
      </x:c>
      <x:c r="AB1597" s="6">
        <x:v>46286.60560697917</x:v>
      </x:c>
      <x:c r="AC1597" t="n" s="2">
        <x:v>40223</x:v>
      </x:c>
      <x:c r="AD1597" s="0"/>
      <x:c r="AE1597" s="0"/>
      <x:c r="AF1597" s="0"/>
      <x:c r="AG1597" s="0"/>
      <x:c r="AH1597" s="0"/>
      <x:c r="AI1597" s="0"/>
      <x:c r="AJ1597" s="0"/>
      <x:c r="AK1597" s="0"/>
    </x:row>
    <x:row r="1598">
      <x:c r="A1598" t="str" s="2">
        <x:f>=HYPERLINK("https://rsms.futurehomex.com/lead/40224", "Serina Snook")</x:f>
      </x:c>
      <x:c r="B1598" t="n" s="2">
        <x:v>22</x:v>
      </x:c>
      <x:c r="C1598" t="str" s="2">
        <x:v>1/1</x:v>
      </x:c>
      <x:c r="D1598" t="str" s="2">
        <x:f>=""</x:f>
      </x:c>
      <x:c r="E1598" s="0"/>
      <x:c r="F1598" t="str" s="2">
        <x:v>Landing_BPM</x:v>
      </x:c>
      <x:c r="G1598" t="str" s="2">
        <x:v>Heritage Housing of Oklahoma City</x:v>
      </x:c>
      <x:c r="H1598" t="str" s="2">
        <x:v>Trey Rixleben</x:v>
      </x:c>
      <x:c r="I1598" s="0"/>
      <x:c r="J1598" t="str" s="2">
        <x:v>Trey Rixleben</x:v>
      </x:c>
      <x:c r="K1598" t="n" s="2">
        <x:v>5</x:v>
      </x:c>
      <x:c r="L1598" t="str" s="2">
        <x:v>1.1</x:v>
      </x:c>
      <x:c r="M1598" t="str" s="2">
        <x:v>Tentative</x:v>
      </x:c>
      <x:c r="N1598" t="str" s="2">
        <x:v>Deal Created</x:v>
      </x:c>
      <x:c r="O1598" s="0"/>
      <x:c r="P1598" s="6">
        <x:v>46286</x:v>
      </x:c>
      <x:c r="Q1598" s="6">
        <x:v>46296.6475821412</x:v>
      </x:c>
      <x:c r="R1598" s="0"/>
      <x:c r="S1598" s="0"/>
      <x:c r="T1598" s="0"/>
      <x:c r="U1598" s="0"/>
      <x:c r="V1598" s="0"/>
      <x:c r="W1598" s="0"/>
      <x:c r="X1598" t="str" s="2">
        <x:v>5802360249</x:v>
      </x:c>
      <x:c r="Y1598" t="str" s="2">
        <x:v>serina.snook1817@gmail.com</x:v>
      </x:c>
      <x:c r="Z1598" s="6">
        <x:v>46300.98558622685</x:v>
      </x:c>
      <x:c r="AA1598" t="str" s="2">
        <x:v>Trey Rixleben</x:v>
      </x:c>
      <x:c r="AB1598" s="6">
        <x:v>46286.607280902776</x:v>
      </x:c>
      <x:c r="AC1598" t="n" s="2">
        <x:v>40224</x:v>
      </x:c>
      <x:c r="AD1598" s="0"/>
      <x:c r="AE1598" s="0"/>
      <x:c r="AF1598" s="0"/>
      <x:c r="AG1598" s="0"/>
      <x:c r="AH1598" s="0"/>
      <x:c r="AI1598" s="0"/>
      <x:c r="AJ1598" s="0"/>
      <x:c r="AK1598" s="0"/>
    </x:row>
    <x:row r="1599">
      <x:c r="A1599" t="str" s="2">
        <x:f>=HYPERLINK("https://rsms.futurehomex.com/lead/40225", "Glenna Rowe")</x:f>
      </x:c>
      <x:c r="B1599" t="n" s="2">
        <x:v>22</x:v>
      </x:c>
      <x:c r="C1599" t="str" s="2">
        <x:v>1/1</x:v>
      </x:c>
      <x:c r="D1599" t="str" s="2">
        <x:f>=""</x:f>
      </x:c>
      <x:c r="E1599" s="0"/>
      <x:c r="F1599" t="str" s="2">
        <x:v>Youtube</x:v>
      </x:c>
      <x:c r="G1599" t="str" s="2">
        <x:v>Heritage Housing of Oklahoma City</x:v>
      </x:c>
      <x:c r="H1599" t="str" s="2">
        <x:v>Trey Rixleben</x:v>
      </x:c>
      <x:c r="I1599" s="0"/>
      <x:c r="J1599" t="str" s="2">
        <x:v>Trey Rixleben</x:v>
      </x:c>
      <x:c r="K1599" t="n" s="2">
        <x:v>5</x:v>
      </x:c>
      <x:c r="L1599" t="str" s="2">
        <x:v>1.1</x:v>
      </x:c>
      <x:c r="M1599" t="str" s="2">
        <x:v>Tentative</x:v>
      </x:c>
      <x:c r="N1599" t="str" s="2">
        <x:v>Deal Created</x:v>
      </x:c>
      <x:c r="O1599" s="0"/>
      <x:c r="P1599" s="6">
        <x:v>46286</x:v>
      </x:c>
      <x:c r="Q1599" s="6">
        <x:v>46295.95888318287</x:v>
      </x:c>
      <x:c r="R1599" s="0"/>
      <x:c r="S1599" s="0"/>
      <x:c r="T1599" s="0"/>
      <x:c r="U1599" s="0"/>
      <x:c r="V1599" s="0"/>
      <x:c r="W1599" s="0"/>
      <x:c r="X1599" t="str" s="2">
        <x:v>4053858346</x:v>
      </x:c>
      <x:c r="Y1599" t="str" s="2">
        <x:v>glennarowe4@gmail.com</x:v>
      </x:c>
      <x:c r="Z1599" s="6">
        <x:v>46295.9596665162</x:v>
      </x:c>
      <x:c r="AA1599" t="str" s="2">
        <x:v>Trey Rixleben</x:v>
      </x:c>
      <x:c r="AB1599" s="6">
        <x:v>46286.609552974536</x:v>
      </x:c>
      <x:c r="AC1599" t="n" s="2">
        <x:v>40225</x:v>
      </x:c>
      <x:c r="AD1599" s="0"/>
      <x:c r="AE1599" s="0"/>
      <x:c r="AF1599" s="0"/>
      <x:c r="AG1599" s="0"/>
      <x:c r="AH1599" s="0"/>
      <x:c r="AI1599" s="0"/>
      <x:c r="AJ1599" s="0"/>
      <x:c r="AK1599" s="0"/>
    </x:row>
    <x:row r="1600">
      <x:c r="A1600" t="str" s="2">
        <x:f>=HYPERLINK("https://rsms.futurehomex.com/lead/40226", "Frances Brown")</x:f>
      </x:c>
      <x:c r="B1600" t="n" s="2">
        <x:v>22</x:v>
      </x:c>
      <x:c r="C1600" t="str" s="2">
        <x:v/>
      </x:c>
      <x:c r="D1600" t="str" s="2">
        <x:f>=""</x:f>
      </x:c>
      <x:c r="E1600" s="0"/>
      <x:c r="F1600" t="str" s="2">
        <x:v>Walk-in</x:v>
      </x:c>
      <x:c r="G1600" t="str" s="2">
        <x:v>Heritage Housing of Athens</x:v>
      </x:c>
      <x:c r="H1600" t="str" s="2">
        <x:v>Nathan Bishop</x:v>
      </x:c>
      <x:c r="I1600" s="0"/>
      <x:c r="J1600" s="0"/>
      <x:c r="K1600" t="n" s="2">
        <x:v>5</x:v>
      </x:c>
      <x:c r="L1600" t="str" s="2">
        <x:v>1.1</x:v>
      </x:c>
      <x:c r="M1600" t="str" s="2">
        <x:v>Tentative</x:v>
      </x:c>
      <x:c r="N1600" t="str" s="2">
        <x:v>Prospect</x:v>
      </x:c>
      <x:c r="O1600" s="0"/>
      <x:c r="P1600" s="6">
        <x:v>46286</x:v>
      </x:c>
      <x:c r="Q1600" s="6">
        <x:v>46286.61514869213</x:v>
      </x:c>
      <x:c r="R1600" s="0"/>
      <x:c r="S1600" s="6">
        <x:v>46286</x:v>
      </x:c>
      <x:c r="T1600" s="0"/>
      <x:c r="U1600" s="0"/>
      <x:c r="V1600" s="0"/>
      <x:c r="W1600" s="0"/>
      <x:c r="X1600" t="str" s="2">
        <x:v>7062072888</x:v>
      </x:c>
      <x:c r="Y1600" t="str" s="2">
        <x:v>frances@yahoo.com</x:v>
      </x:c>
      <x:c r="Z1600" s="6">
        <x:v>46301.66599984954</x:v>
      </x:c>
      <x:c r="AA1600" t="str" s="2">
        <x:v>Nathan Bishop</x:v>
      </x:c>
      <x:c r="AB1600" s="6">
        <x:v>46286.615149108795</x:v>
      </x:c>
      <x:c r="AC1600" t="n" s="2">
        <x:v>40226</x:v>
      </x:c>
      <x:c r="AD1600" s="0"/>
      <x:c r="AE1600" s="0"/>
      <x:c r="AF1600" s="0"/>
      <x:c r="AG1600" s="0"/>
      <x:c r="AH1600" s="0"/>
      <x:c r="AI1600" s="0"/>
      <x:c r="AJ1600" s="0"/>
      <x:c r="AK1600" s="0"/>
    </x:row>
    <x:row r="1601">
      <x:c r="A1601" t="str" s="2">
        <x:f>=HYPERLINK("https://rsms.futurehomex.com/lead/40227", "Jazmyn Ruth")</x:f>
      </x:c>
      <x:c r="B1601" t="n" s="2">
        <x:v>22</x:v>
      </x:c>
      <x:c r="C1601" t="str" s="2">
        <x:v>0/2</x:v>
      </x:c>
      <x:c r="D1601" t="str" s="2">
        <x:f>=""</x:f>
      </x:c>
      <x:c r="E1601" s="0"/>
      <x:c r="F1601" t="str" s="2">
        <x:v>Landing_BPM</x:v>
      </x:c>
      <x:c r="G1601" t="str" s="2">
        <x:v>Heritage Housing of Oklahoma City</x:v>
      </x:c>
      <x:c r="H1601" t="str" s="2">
        <x:v>Trey Rixleben</x:v>
      </x:c>
      <x:c r="I1601" s="0"/>
      <x:c r="J1601" t="str" s="2">
        <x:v>Trey Rixleben</x:v>
      </x:c>
      <x:c r="K1601" t="n" s="2">
        <x:v>5</x:v>
      </x:c>
      <x:c r="L1601" t="str" s="2">
        <x:v>1.1</x:v>
      </x:c>
      <x:c r="M1601" t="str" s="2">
        <x:v>Tentative</x:v>
      </x:c>
      <x:c r="N1601" t="str" s="2">
        <x:v>Deal Created</x:v>
      </x:c>
      <x:c r="O1601" s="0"/>
      <x:c r="P1601" s="6">
        <x:v>46286</x:v>
      </x:c>
      <x:c r="Q1601" s="6">
        <x:v>46304.7799034375</x:v>
      </x:c>
      <x:c r="R1601" s="0"/>
      <x:c r="S1601" s="0"/>
      <x:c r="T1601" s="0"/>
      <x:c r="U1601" s="0"/>
      <x:c r="V1601" s="0"/>
      <x:c r="W1601" s="0"/>
      <x:c r="X1601" t="str" s="2">
        <x:v>5725227743</x:v>
      </x:c>
      <x:c r="Y1601" t="str" s="2">
        <x:v>ruthjazmyn74@gmail.com</x:v>
      </x:c>
      <x:c r="Z1601" s="6">
        <x:v>46304.789157673615</x:v>
      </x:c>
      <x:c r="AA1601" t="str" s="2">
        <x:v>Richard Bell</x:v>
      </x:c>
      <x:c r="AB1601" s="6">
        <x:v>46286.615434224535</x:v>
      </x:c>
      <x:c r="AC1601" t="n" s="2">
        <x:v>40227</x:v>
      </x:c>
      <x:c r="AD1601" s="0"/>
      <x:c r="AE1601" s="0"/>
      <x:c r="AF1601" s="0"/>
      <x:c r="AG1601" s="0"/>
      <x:c r="AH1601" s="0"/>
      <x:c r="AI1601" s="0"/>
      <x:c r="AJ1601" s="0"/>
      <x:c r="AK1601" s="0"/>
    </x:row>
    <x:row r="1602">
      <x:c r="A1602" t="str" s="2">
        <x:f>=HYPERLINK("https://rsms.futurehomex.com/lead/40228", "TAHSHA HANSARD")</x:f>
      </x:c>
      <x:c r="B1602" t="n" s="2">
        <x:v>22</x:v>
      </x:c>
      <x:c r="C1602" t="str" s="2">
        <x:v>1/1</x:v>
      </x:c>
      <x:c r="D1602" t="str" s="2">
        <x:f>=""</x:f>
      </x:c>
      <x:c r="E1602" s="0"/>
      <x:c r="F1602" t="str" s="2">
        <x:v>Youtube</x:v>
      </x:c>
      <x:c r="G1602" t="str" s="2">
        <x:v>Heritage Housing of Oklahoma City</x:v>
      </x:c>
      <x:c r="H1602" t="str" s="2">
        <x:v>Trey Rixleben</x:v>
      </x:c>
      <x:c r="I1602" s="0"/>
      <x:c r="J1602" t="str" s="2">
        <x:v>Trey Rixleben</x:v>
      </x:c>
      <x:c r="K1602" t="n" s="2">
        <x:v>5</x:v>
      </x:c>
      <x:c r="L1602" t="str" s="2">
        <x:v>1.1</x:v>
      </x:c>
      <x:c r="M1602" t="str" s="2">
        <x:v>Tentative</x:v>
      </x:c>
      <x:c r="N1602" t="str" s="2">
        <x:v>Deal Created</x:v>
      </x:c>
      <x:c r="O1602" s="0"/>
      <x:c r="P1602" s="6">
        <x:v>46286</x:v>
      </x:c>
      <x:c r="Q1602" s="6">
        <x:v>46296.66408202546</x:v>
      </x:c>
      <x:c r="R1602" s="0"/>
      <x:c r="S1602" s="0"/>
      <x:c r="T1602" s="0"/>
      <x:c r="U1602" s="0"/>
      <x:c r="V1602" s="0"/>
      <x:c r="W1602" s="0"/>
      <x:c r="X1602" t="str" s="2">
        <x:v>4055142742</x:v>
      </x:c>
      <x:c r="Y1602" t="str" s="2">
        <x:v>Tahshahansard@ymail.com</x:v>
      </x:c>
      <x:c r="Z1602" s="6">
        <x:v>46304.782446412035</x:v>
      </x:c>
      <x:c r="AA1602" t="str" s="2">
        <x:v>Trey Rixleben</x:v>
      </x:c>
      <x:c r="AB1602" s="6">
        <x:v>46286.618414502314</x:v>
      </x:c>
      <x:c r="AC1602" t="n" s="2">
        <x:v>40228</x:v>
      </x:c>
      <x:c r="AD1602" s="0"/>
      <x:c r="AE1602" s="0"/>
      <x:c r="AF1602" s="0"/>
      <x:c r="AG1602" s="0"/>
      <x:c r="AH1602" s="0"/>
      <x:c r="AI1602" s="0"/>
      <x:c r="AJ1602" s="0"/>
      <x:c r="AK1602" s="0"/>
    </x:row>
    <x:row r="1603">
      <x:c r="A1603" t="str" s="2">
        <x:f>=HYPERLINK("https://rsms.futurehomex.com/lead/40229", "Jorge Sigcho")</x:f>
      </x:c>
      <x:c r="B1603" t="n" s="2">
        <x:v>22</x:v>
      </x:c>
      <x:c r="C1603" t="str" s="2">
        <x:v>1/2</x:v>
      </x:c>
      <x:c r="D1603" t="str" s="2">
        <x:f>=""</x:f>
      </x:c>
      <x:c r="E1603" s="0"/>
      <x:c r="F1603" t="str" s="2">
        <x:v>Landing_BPM</x:v>
      </x:c>
      <x:c r="G1603" t="str" s="2">
        <x:v>Heritage Housing of Oklahoma City</x:v>
      </x:c>
      <x:c r="H1603" t="str" s="2">
        <x:v>Trey Rixleben</x:v>
      </x:c>
      <x:c r="I1603" s="0"/>
      <x:c r="J1603" s="0"/>
      <x:c r="K1603" t="n" s="2">
        <x:v>5</x:v>
      </x:c>
      <x:c r="L1603" t="str" s="2">
        <x:v>1.1</x:v>
      </x:c>
      <x:c r="M1603" t="str" s="2">
        <x:v>Tentative</x:v>
      </x:c>
      <x:c r="N1603" t="str" s="2">
        <x:v>Deal Created</x:v>
      </x:c>
      <x:c r="O1603" s="0"/>
      <x:c r="P1603" s="6">
        <x:v>46286</x:v>
      </x:c>
      <x:c r="Q1603" s="6">
        <x:v>46308.71420879629</x:v>
      </x:c>
      <x:c r="R1603" t="str" s="2">
        <x:v>Alejandra Calderon</x:v>
      </x:c>
      <x:c r="S1603" s="0"/>
      <x:c r="T1603" s="0"/>
      <x:c r="U1603" s="0"/>
      <x:c r="V1603" s="0"/>
      <x:c r="W1603" s="0"/>
      <x:c r="X1603" t="str" s="2">
        <x:v>4057386108</x:v>
      </x:c>
      <x:c r="Y1603" t="str" s="2">
        <x:v>sigchoj78@gmail.com</x:v>
      </x:c>
      <x:c r="Z1603" s="6">
        <x:v>46296.82560609953</x:v>
      </x:c>
      <x:c r="AA1603" t="str" s="2">
        <x:v>Trey Rixleben</x:v>
      </x:c>
      <x:c r="AB1603" s="6">
        <x:v>46286.622717164355</x:v>
      </x:c>
      <x:c r="AC1603" t="n" s="2">
        <x:v>40229</x:v>
      </x:c>
      <x:c r="AD1603" s="0"/>
      <x:c r="AE1603" s="0"/>
      <x:c r="AF1603" s="0"/>
      <x:c r="AG1603" s="0"/>
      <x:c r="AH1603" s="0"/>
      <x:c r="AI1603" s="0"/>
      <x:c r="AJ1603" s="0"/>
      <x:c r="AK1603" s="0"/>
    </x:row>
    <x:row r="1604">
      <x:c r="A1604" t="str" s="2">
        <x:f>=HYPERLINK("https://rsms.futurehomex.com/lead/40230", "Nicky Davis")</x:f>
      </x:c>
      <x:c r="B1604" t="n" s="2">
        <x:v>22</x:v>
      </x:c>
      <x:c r="C1604" t="str" s="2">
        <x:v>0/2</x:v>
      </x:c>
      <x:c r="D1604" t="str" s="2">
        <x:f>=""</x:f>
      </x:c>
      <x:c r="E1604" s="0"/>
      <x:c r="F1604" t="str" s="2">
        <x:v>Website</x:v>
      </x:c>
      <x:c r="G1604" t="str" s="2">
        <x:v>Heritage Housing of Oklahoma City</x:v>
      </x:c>
      <x:c r="H1604" t="str" s="2">
        <x:v>Steve Castell</x:v>
      </x:c>
      <x:c r="I1604" s="0"/>
      <x:c r="J1604" t="str" s="2">
        <x:v>Steve Castell</x:v>
      </x:c>
      <x:c r="K1604" t="n" s="2">
        <x:v>5</x:v>
      </x:c>
      <x:c r="L1604" t="str" s="2">
        <x:v>1.1</x:v>
      </x:c>
      <x:c r="M1604" t="str" s="2">
        <x:v>Inactive</x:v>
      </x:c>
      <x:c r="N1604" t="str" s="2">
        <x:v>Deal Created</x:v>
      </x:c>
      <x:c r="O1604" s="0"/>
      <x:c r="P1604" s="6">
        <x:v>46286</x:v>
      </x:c>
      <x:c r="Q1604" s="6">
        <x:v>46286.62418105324</x:v>
      </x:c>
      <x:c r="R1604" s="0"/>
      <x:c r="S1604" s="0"/>
      <x:c r="T1604" s="0"/>
      <x:c r="U1604" s="0"/>
      <x:c r="V1604" s="0"/>
      <x:c r="W1604" s="0"/>
      <x:c r="X1604" t="str" s="2">
        <x:v>9314269795</x:v>
      </x:c>
      <x:c r="Y1604" t="str" s="2">
        <x:v>nickydavis61984@gmail.com</x:v>
      </x:c>
      <x:c r="Z1604" s="6">
        <x:v>46296.95064181713</x:v>
      </x:c>
      <x:c r="AA1604" t="str" s="2">
        <x:v>Steve Castell</x:v>
      </x:c>
      <x:c r="AB1604" s="6">
        <x:v>46286.623966666666</x:v>
      </x:c>
      <x:c r="AC1604" t="n" s="2">
        <x:v>40230</x:v>
      </x:c>
      <x:c r="AD1604" s="0"/>
      <x:c r="AE1604" s="0"/>
      <x:c r="AF1604" s="0"/>
      <x:c r="AG1604" s="0"/>
      <x:c r="AH1604" s="0"/>
      <x:c r="AI1604" s="0"/>
      <x:c r="AJ1604" s="0"/>
      <x:c r="AK1604" s="0"/>
    </x:row>
    <x:row r="1605">
      <x:c r="A1605" t="str" s="2">
        <x:f>=HYPERLINK("https://rsms.futurehomex.com/lead/40231", "Teresa Lawrence")</x:f>
      </x:c>
      <x:c r="B1605" t="n" s="2">
        <x:v>22</x:v>
      </x:c>
      <x:c r="C1605" t="str" s="2">
        <x:v/>
      </x:c>
      <x:c r="D1605" t="str" s="2">
        <x:f>=""</x:f>
      </x:c>
      <x:c r="E1605" s="0"/>
      <x:c r="F1605" t="str" s="2">
        <x:v>Walk-in</x:v>
      </x:c>
      <x:c r="G1605" t="str" s="2">
        <x:v>Heritage Housing of Athens</x:v>
      </x:c>
      <x:c r="H1605" t="str" s="2">
        <x:v>Ethan Fossett</x:v>
      </x:c>
      <x:c r="I1605" s="0"/>
      <x:c r="J1605" s="0"/>
      <x:c r="K1605" t="n" s="2">
        <x:v>38</x:v>
      </x:c>
      <x:c r="L1605" t="str" s="2">
        <x:v>3.2</x:v>
      </x:c>
      <x:c r="M1605" t="str" s="2">
        <x:v>Active</x:v>
      </x:c>
      <x:c r="N1605" t="str" s="2">
        <x:v>Application</x:v>
      </x:c>
      <x:c r="O1605" s="0"/>
      <x:c r="P1605" s="6">
        <x:v>46286</x:v>
      </x:c>
      <x:c r="Q1605" s="6">
        <x:v>46304.67591489583</x:v>
      </x:c>
      <x:c r="R1605" s="0"/>
      <x:c r="S1605" s="6">
        <x:v>46286</x:v>
      </x:c>
      <x:c r="T1605" s="0"/>
      <x:c r="U1605" s="0"/>
      <x:c r="V1605" s="0"/>
      <x:c r="W1605" s="0"/>
      <x:c r="X1605" t="str" s="2">
        <x:v>7062485916</x:v>
      </x:c>
      <x:c r="Y1605" t="str" s="2">
        <x:v>tlawrence4311@yahoo.com</x:v>
      </x:c>
      <x:c r="Z1605" s="6">
        <x:v>46296.69366790509</x:v>
      </x:c>
      <x:c r="AA1605" t="str" s="2">
        <x:v>Ethan Fossett</x:v>
      </x:c>
      <x:c r="AB1605" s="6">
        <x:v>46286.66612045139</x:v>
      </x:c>
      <x:c r="AC1605" t="n" s="2">
        <x:v>40231</x:v>
      </x:c>
      <x:c r="AD1605" t="str" s="2">
        <x:v>Doublewide</x:v>
      </x:c>
      <x:c r="AE1605" t="str" s="2">
        <x:v>21st Mortgage Corporation</x:v>
      </x:c>
      <x:c r="AF1605" s="0"/>
      <x:c r="AG1605" s="7">
        <x:v>0</x:v>
      </x:c>
      <x:c r="AH1605" s="0"/>
      <x:c r="AI1605" t="str" s="2" xml:space="preserve">
        <x:v>629 </x:v>
      </x:c>
      <x:c r="AJ1605" s="0"/>
      <x:c r="AK1605" s="0"/>
    </x:row>
    <x:row r="1606">
      <x:c r="A1606" t="str" s="2">
        <x:f>=HYPERLINK("https://rsms.futurehomex.com/lead/40232", "Joseph Sazekaf")</x:f>
      </x:c>
      <x:c r="B1606" t="n" s="2">
        <x:v>22</x:v>
      </x:c>
      <x:c r="C1606" t="str" s="2">
        <x:v/>
      </x:c>
      <x:c r="D1606" t="str" s="2">
        <x:f>=""</x:f>
      </x:c>
      <x:c r="E1606" s="0"/>
      <x:c r="F1606" t="str" s="2">
        <x:v>Financing Form</x:v>
      </x:c>
      <x:c r="G1606" t="str" s="2">
        <x:v>Heritage Housing of Tulsa</x:v>
      </x:c>
      <x:c r="H1606" t="str" s="2">
        <x:v>Jenna Fransisco</x:v>
      </x:c>
      <x:c r="I1606" t="str" s="2">
        <x:v>Karol Romero</x:v>
      </x:c>
      <x:c r="J1606" s="0"/>
      <x:c r="K1606" t="n" s="2">
        <x:v>5</x:v>
      </x:c>
      <x:c r="L1606" t="str" s="2">
        <x:v>1.1</x:v>
      </x:c>
      <x:c r="M1606" t="str" s="2">
        <x:v>Tentative</x:v>
      </x:c>
      <x:c r="N1606" t="str" s="2">
        <x:v>Prospect</x:v>
      </x:c>
      <x:c r="O1606" s="0"/>
      <x:c r="P1606" s="6">
        <x:v>46286</x:v>
      </x:c>
      <x:c r="Q1606" s="6">
        <x:v>46286.79471091435</x:v>
      </x:c>
      <x:c r="R1606" s="0"/>
      <x:c r="S1606" s="0"/>
      <x:c r="T1606" s="0"/>
      <x:c r="U1606" s="0"/>
      <x:c r="V1606" s="0"/>
      <x:c r="W1606" s="0"/>
      <x:c r="X1606" t="str" s="2">
        <x:v>4054327775</x:v>
      </x:c>
      <x:c r="Y1606" t="str" s="2">
        <x:v>miranda.sanchez4evr@gmail.com</x:v>
      </x:c>
      <x:c r="Z1606" s="0"/>
      <x:c r="AA1606" s="0"/>
      <x:c r="AB1606" s="6">
        <x:v>46286.70685347222</x:v>
      </x:c>
      <x:c r="AC1606" t="n" s="2">
        <x:v>40232</x:v>
      </x:c>
      <x:c r="AD1606" s="0"/>
      <x:c r="AE1606" s="0"/>
      <x:c r="AF1606" s="0"/>
      <x:c r="AG1606" s="0"/>
      <x:c r="AH1606" s="0"/>
      <x:c r="AI1606" s="0"/>
      <x:c r="AJ1606" s="0"/>
      <x:c r="AK1606" s="0"/>
    </x:row>
    <x:row r="1607">
      <x:c r="A1607" t="str" s="2">
        <x:f>=HYPERLINK("https://rsms.futurehomex.com/lead/40233", "Frederick Brooks")</x:f>
      </x:c>
      <x:c r="B1607" t="n" s="2">
        <x:v>22</x:v>
      </x:c>
      <x:c r="C1607" t="str" s="2">
        <x:v>0/2</x:v>
      </x:c>
      <x:c r="D1607" t="str" s="2">
        <x:f>=""</x:f>
      </x:c>
      <x:c r="E1607" s="0"/>
      <x:c r="F1607" t="str" s="2">
        <x:v>Facebook Messenger</x:v>
      </x:c>
      <x:c r="G1607" t="str" s="2">
        <x:v>Heritage Housing of Oklahoma City</x:v>
      </x:c>
      <x:c r="H1607" t="str" s="2">
        <x:v>Trey Rixleben</x:v>
      </x:c>
      <x:c r="I1607" s="0"/>
      <x:c r="J1607" t="str" s="2">
        <x:v>Richard Bell</x:v>
      </x:c>
      <x:c r="K1607" t="n" s="2">
        <x:v>5</x:v>
      </x:c>
      <x:c r="L1607" t="str" s="2">
        <x:v>1.1</x:v>
      </x:c>
      <x:c r="M1607" t="str" s="2">
        <x:v>Tentative</x:v>
      </x:c>
      <x:c r="N1607" t="str" s="2">
        <x:v>Deal Created</x:v>
      </x:c>
      <x:c r="O1607" s="0"/>
      <x:c r="P1607" s="6">
        <x:v>46286</x:v>
      </x:c>
      <x:c r="Q1607" s="6">
        <x:v>46286.71580239583</x:v>
      </x:c>
      <x:c r="R1607" s="0"/>
      <x:c r="S1607" s="0"/>
      <x:c r="T1607" s="0"/>
      <x:c r="U1607" s="0"/>
      <x:c r="V1607" s="0"/>
      <x:c r="W1607" s="0"/>
      <x:c r="X1607" t="str" s="2">
        <x:v>6088440777</x:v>
      </x:c>
      <x:c r="Y1607" t="str" s="2">
        <x:v>brooksrvok@aol.com</x:v>
      </x:c>
      <x:c r="Z1607" s="6">
        <x:v>46296.883580787035</x:v>
      </x:c>
      <x:c r="AA1607" t="str" s="2">
        <x:v>Trey Rixleben</x:v>
      </x:c>
      <x:c r="AB1607" s="6">
        <x:v>46286.7158028125</x:v>
      </x:c>
      <x:c r="AC1607" t="n" s="2">
        <x:v>40233</x:v>
      </x:c>
      <x:c r="AD1607" s="0"/>
      <x:c r="AE1607" s="0"/>
      <x:c r="AF1607" s="0"/>
      <x:c r="AG1607" s="0"/>
      <x:c r="AH1607" s="0"/>
      <x:c r="AI1607" s="0"/>
      <x:c r="AJ1607" s="0"/>
      <x:c r="AK1607" s="0"/>
    </x:row>
    <x:row r="1608">
      <x:c r="A1608" t="str" s="2">
        <x:f>=HYPERLINK("https://rsms.futurehomex.com/lead/40234", "Lashay Little")</x:f>
      </x:c>
      <x:c r="B1608" t="n" s="2">
        <x:v>22</x:v>
      </x:c>
      <x:c r="C1608" t="str" s="2">
        <x:v>0/2</x:v>
      </x:c>
      <x:c r="D1608" t="str" s="2">
        <x:f>=""</x:f>
      </x:c>
      <x:c r="E1608" s="0"/>
      <x:c r="F1608" t="str" s="2">
        <x:v>Website</x:v>
      </x:c>
      <x:c r="G1608" t="str" s="2">
        <x:v>Heritage Housing of Oklahoma City</x:v>
      </x:c>
      <x:c r="H1608" t="str" s="2">
        <x:v>Alejandra Calderon</x:v>
      </x:c>
      <x:c r="I1608" s="0"/>
      <x:c r="J1608" t="str" s="2">
        <x:v>Richard Bell</x:v>
      </x:c>
      <x:c r="K1608" t="n" s="2">
        <x:v>5</x:v>
      </x:c>
      <x:c r="L1608" t="str" s="2">
        <x:v>1.1</x:v>
      </x:c>
      <x:c r="M1608" t="str" s="2">
        <x:v>Inactive</x:v>
      </x:c>
      <x:c r="N1608" t="str" s="2">
        <x:v>Deal Created</x:v>
      </x:c>
      <x:c r="O1608" s="0"/>
      <x:c r="P1608" s="6">
        <x:v>46286</x:v>
      </x:c>
      <x:c r="Q1608" s="6">
        <x:v>46290.94678255787</x:v>
      </x:c>
      <x:c r="R1608" s="0"/>
      <x:c r="S1608" s="0"/>
      <x:c r="T1608" s="0"/>
      <x:c r="U1608" s="0"/>
      <x:c r="V1608" s="0"/>
      <x:c r="W1608" s="0"/>
      <x:c r="X1608" t="str" s="2">
        <x:v>4585884279</x:v>
      </x:c>
      <x:c r="Y1608" t="str" s="2">
        <x:v>loteria288888@gmail.com</x:v>
      </x:c>
      <x:c r="Z1608" s="6">
        <x:v>46303.959569907405</x:v>
      </x:c>
      <x:c r="AA1608" t="str" s="2">
        <x:v>Alejandra Calderon</x:v>
      </x:c>
      <x:c r="AB1608" s="6">
        <x:v>46286.71844440972</x:v>
      </x:c>
      <x:c r="AC1608" t="n" s="2">
        <x:v>40234</x:v>
      </x:c>
      <x:c r="AD1608" s="0"/>
      <x:c r="AE1608" s="0"/>
      <x:c r="AF1608" s="0"/>
      <x:c r="AG1608" s="0"/>
      <x:c r="AH1608" s="0"/>
      <x:c r="AI1608" s="0"/>
      <x:c r="AJ1608" s="0"/>
      <x:c r="AK1608" s="0"/>
    </x:row>
    <x:row r="1609">
      <x:c r="A1609" t="str" s="2">
        <x:f>=HYPERLINK("https://rsms.futurehomex.com/lead/40235", "Betty Perez")</x:f>
      </x:c>
      <x:c r="B1609" t="n" s="2">
        <x:v>22</x:v>
      </x:c>
      <x:c r="C1609" t="str" s="2">
        <x:v/>
      </x:c>
      <x:c r="D1609" t="str" s="2">
        <x:f>=""</x:f>
      </x:c>
      <x:c r="E1609" s="0"/>
      <x:c r="F1609" t="str" s="2">
        <x:v>Facebook Messenger</x:v>
      </x:c>
      <x:c r="G1609" t="str" s="2">
        <x:v>Heritage Housing of Oklahoma City</x:v>
      </x:c>
      <x:c r="H1609" t="str" s="2">
        <x:v>Trey Rixleben</x:v>
      </x:c>
      <x:c r="I1609" s="0"/>
      <x:c r="J1609" t="str" s="2">
        <x:v>Richard Bell</x:v>
      </x:c>
      <x:c r="K1609" t="n" s="2">
        <x:v>5</x:v>
      </x:c>
      <x:c r="L1609" t="str" s="2">
        <x:v>1.1</x:v>
      </x:c>
      <x:c r="M1609" t="str" s="2">
        <x:v>Dead</x:v>
      </x:c>
      <x:c r="N1609" t="str" s="2">
        <x:v>Deal Created</x:v>
      </x:c>
      <x:c r="O1609" s="0"/>
      <x:c r="P1609" s="6">
        <x:v>46286</x:v>
      </x:c>
      <x:c r="Q1609" s="6">
        <x:v>46286.719154976854</x:v>
      </x:c>
      <x:c r="R1609" s="0"/>
      <x:c r="S1609" s="0"/>
      <x:c r="T1609" s="0"/>
      <x:c r="U1609" s="0"/>
      <x:c r="V1609" s="0"/>
      <x:c r="W1609" s="0"/>
      <x:c r="X1609" t="str" s="2">
        <x:v>8703029954</x:v>
      </x:c>
      <x:c r="Y1609" t="str" s="2">
        <x:v>8703029954</x:v>
      </x:c>
      <x:c r="Z1609" s="6">
        <x:v>46286.71932253472</x:v>
      </x:c>
      <x:c r="AA1609" t="str" s="2">
        <x:v>Richard Bell</x:v>
      </x:c>
      <x:c r="AB1609" s="6">
        <x:v>46286.71915547454</x:v>
      </x:c>
      <x:c r="AC1609" t="n" s="2">
        <x:v>40235</x:v>
      </x:c>
      <x:c r="AD1609" s="0"/>
      <x:c r="AE1609" s="0"/>
      <x:c r="AF1609" s="0"/>
      <x:c r="AG1609" s="0"/>
      <x:c r="AH1609" s="0"/>
      <x:c r="AI1609" s="0"/>
      <x:c r="AJ1609" s="0"/>
      <x:c r="AK1609" s="0"/>
    </x:row>
    <x:row r="1610">
      <x:c r="A1610" t="str" s="2">
        <x:f>=HYPERLINK("https://rsms.futurehomex.com/lead/40236", "Tonoa Adams")</x:f>
      </x:c>
      <x:c r="B1610" t="n" s="2">
        <x:v>22</x:v>
      </x:c>
      <x:c r="C1610" t="str" s="2">
        <x:v/>
      </x:c>
      <x:c r="D1610" t="str" s="2">
        <x:f>=""</x:f>
      </x:c>
      <x:c r="E1610" s="0"/>
      <x:c r="F1610" t="str" s="2">
        <x:v>Referrals</x:v>
      </x:c>
      <x:c r="G1610" t="str" s="2">
        <x:v>Heritage Housing of Asheboro</x:v>
      </x:c>
      <x:c r="H1610" t="str" s="2">
        <x:v>Maria Lopez</x:v>
      </x:c>
      <x:c r="I1610" t="str" s="2">
        <x:v>Karol Romero</x:v>
      </x:c>
      <x:c r="J1610" t="str" s="2">
        <x:v>Maria Lopez</x:v>
      </x:c>
      <x:c r="K1610" t="n" s="2">
        <x:v>21</x:v>
      </x:c>
      <x:c r="L1610" t="str" s="2">
        <x:v>2.1</x:v>
      </x:c>
      <x:c r="M1610" t="str" s="2">
        <x:v>Tentative</x:v>
      </x:c>
      <x:c r="N1610" t="str" s="2">
        <x:v>Qualified</x:v>
      </x:c>
      <x:c r="O1610" s="0"/>
      <x:c r="P1610" s="6">
        <x:v>46286</x:v>
      </x:c>
      <x:c r="Q1610" s="6">
        <x:v>46286.742733796294</x:v>
      </x:c>
      <x:c r="R1610" s="0"/>
      <x:c r="S1610" s="0"/>
      <x:c r="T1610" s="0"/>
      <x:c r="U1610" s="0"/>
      <x:c r="V1610" s="0"/>
      <x:c r="W1610" s="0"/>
      <x:c r="X1610" t="str" s="2">
        <x:v>2767346529</x:v>
      </x:c>
      <x:c r="Y1610" t="str" s="2">
        <x:v>2767346529</x:v>
      </x:c>
      <x:c r="Z1610" s="6">
        <x:v>46293.58954872685</x:v>
      </x:c>
      <x:c r="AA1610" t="str" s="2">
        <x:v>Jeremy Jacques</x:v>
      </x:c>
      <x:c r="AB1610" s="6">
        <x:v>46286.74273518519</x:v>
      </x:c>
      <x:c r="AC1610" t="n" s="2">
        <x:v>40236</x:v>
      </x:c>
      <x:c r="AD1610" s="0"/>
      <x:c r="AE1610" s="0"/>
      <x:c r="AF1610" s="0"/>
      <x:c r="AG1610" s="0"/>
      <x:c r="AH1610" s="0"/>
      <x:c r="AI1610" s="0"/>
      <x:c r="AJ1610" s="0"/>
      <x:c r="AK1610" s="0"/>
    </x:row>
    <x:row r="1611">
      <x:c r="A1611" t="str" s="2">
        <x:f>=HYPERLINK("https://rsms.futurehomex.com/lead/40237", "Avery Noffsinger")</x:f>
      </x:c>
      <x:c r="B1611" t="n" s="2">
        <x:v>22</x:v>
      </x:c>
      <x:c r="C1611" t="str" s="2">
        <x:v/>
      </x:c>
      <x:c r="D1611" t="str" s="2">
        <x:f>=""</x:f>
      </x:c>
      <x:c r="E1611" s="0"/>
      <x:c r="F1611" t="str" s="2">
        <x:v>Financing Form</x:v>
      </x:c>
      <x:c r="G1611" t="str" s="2">
        <x:v>Heritage Housing of Athens</x:v>
      </x:c>
      <x:c r="H1611" t="str" s="2">
        <x:v>Nathan Bishop</x:v>
      </x:c>
      <x:c r="I1611" s="0"/>
      <x:c r="J1611" s="0"/>
      <x:c r="K1611" t="n" s="2">
        <x:v>5</x:v>
      </x:c>
      <x:c r="L1611" t="str" s="2">
        <x:v>1.1</x:v>
      </x:c>
      <x:c r="M1611" t="str" s="2">
        <x:v>Tentative</x:v>
      </x:c>
      <x:c r="N1611" t="str" s="2">
        <x:v>Prospect</x:v>
      </x:c>
      <x:c r="O1611" s="0"/>
      <x:c r="P1611" s="6">
        <x:v>46286</x:v>
      </x:c>
      <x:c r="Q1611" s="6">
        <x:v>46286.75027815972</x:v>
      </x:c>
      <x:c r="R1611" s="0"/>
      <x:c r="S1611" s="0"/>
      <x:c r="T1611" s="0"/>
      <x:c r="U1611" s="0"/>
      <x:c r="V1611" s="0"/>
      <x:c r="W1611" s="0"/>
      <x:c r="X1611" t="str" s="2">
        <x:v>4046063361</x:v>
      </x:c>
      <x:c r="Y1611" t="str" s="2">
        <x:v>averyn1105@gmail.com</x:v>
      </x:c>
      <x:c r="Z1611" s="6">
        <x:v>46286.753220335646</x:v>
      </x:c>
      <x:c r="AA1611" t="str" s="2">
        <x:v>Nathan Bishop</x:v>
      </x:c>
      <x:c r="AB1611" s="6">
        <x:v>46286.75027916667</x:v>
      </x:c>
      <x:c r="AC1611" t="n" s="2">
        <x:v>40237</x:v>
      </x:c>
      <x:c r="AD1611" s="0"/>
      <x:c r="AE1611" s="0"/>
      <x:c r="AF1611" s="0"/>
      <x:c r="AG1611" s="0"/>
      <x:c r="AH1611" s="0"/>
      <x:c r="AI1611" s="0"/>
      <x:c r="AJ1611" s="0"/>
      <x:c r="AK1611" s="0"/>
    </x:row>
    <x:row r="1612">
      <x:c r="A1612" t="str" s="2">
        <x:f>=HYPERLINK("https://rsms.futurehomex.com/lead/40238", "Ginger Day")</x:f>
      </x:c>
      <x:c r="B1612" t="n" s="2">
        <x:v>22</x:v>
      </x:c>
      <x:c r="C1612" t="str" s="2">
        <x:v>1/2</x:v>
      </x:c>
      <x:c r="D1612" t="str" s="2">
        <x:f>=""</x:f>
      </x:c>
      <x:c r="E1612" s="0"/>
      <x:c r="F1612" t="str" s="2">
        <x:v>Walk-in</x:v>
      </x:c>
      <x:c r="G1612" t="str" s="2">
        <x:v>Heritage Housing of Albany</x:v>
      </x:c>
      <x:c r="H1612" t="str" s="2">
        <x:v>Alexander Bryant</x:v>
      </x:c>
      <x:c r="I1612" s="0"/>
      <x:c r="J1612" s="0"/>
      <x:c r="K1612" t="n" s="2">
        <x:v>5</x:v>
      </x:c>
      <x:c r="L1612" t="str" s="2">
        <x:v>1.1</x:v>
      </x:c>
      <x:c r="M1612" t="str" s="2">
        <x:v>Tentative</x:v>
      </x:c>
      <x:c r="N1612" t="str" s="2">
        <x:v>Prospect</x:v>
      </x:c>
      <x:c r="O1612" s="0"/>
      <x:c r="P1612" s="6">
        <x:v>46286</x:v>
      </x:c>
      <x:c r="Q1612" s="6">
        <x:v>46286.77022225694</x:v>
      </x:c>
      <x:c r="R1612" s="0"/>
      <x:c r="S1612" s="0"/>
      <x:c r="T1612" s="0"/>
      <x:c r="U1612" s="0"/>
      <x:c r="V1612" s="0"/>
      <x:c r="W1612" s="0"/>
      <x:c r="X1612" t="str" s="2">
        <x:v>3343191860</x:v>
      </x:c>
      <x:c r="Y1612" t="str" s="2">
        <x:v>gingerirvinday@gmail.com</x:v>
      </x:c>
      <x:c r="Z1612" s="6">
        <x:v>46302.56922484954</x:v>
      </x:c>
      <x:c r="AA1612" t="str" s="2">
        <x:v>Justin Johnson</x:v>
      </x:c>
      <x:c r="AB1612" s="6">
        <x:v>46286.770222719904</x:v>
      </x:c>
      <x:c r="AC1612" t="n" s="2">
        <x:v>40238</x:v>
      </x:c>
      <x:c r="AD1612" s="0"/>
      <x:c r="AE1612" s="0"/>
      <x:c r="AF1612" s="0"/>
      <x:c r="AG1612" s="0"/>
      <x:c r="AH1612" s="0"/>
      <x:c r="AI1612" s="0"/>
      <x:c r="AJ1612" s="0"/>
      <x:c r="AK1612" s="0"/>
    </x:row>
    <x:row r="1613">
      <x:c r="A1613" t="str" s="2">
        <x:f>=HYPERLINK("https://rsms.futurehomex.com/lead/40239", "June Powell")</x:f>
      </x:c>
      <x:c r="B1613" t="n" s="2">
        <x:v>22</x:v>
      </x:c>
      <x:c r="C1613" t="str" s="2">
        <x:v/>
      </x:c>
      <x:c r="D1613" t="str" s="2">
        <x:f>=""</x:f>
      </x:c>
      <x:c r="E1613" s="0"/>
      <x:c r="F1613" t="str" s="2">
        <x:v>Walk-in</x:v>
      </x:c>
      <x:c r="G1613" t="str" s="2">
        <x:v>Heritage Housing of Augusta</x:v>
      </x:c>
      <x:c r="H1613" t="str" s="2">
        <x:v>Faye Lively</x:v>
      </x:c>
      <x:c r="I1613" s="0"/>
      <x:c r="J1613" s="0"/>
      <x:c r="K1613" t="n" s="2">
        <x:v>21</x:v>
      </x:c>
      <x:c r="L1613" t="str" s="2">
        <x:v>2.1</x:v>
      </x:c>
      <x:c r="M1613" t="str" s="2">
        <x:v>Dead</x:v>
      </x:c>
      <x:c r="N1613" t="str" s="2">
        <x:v>Qualified</x:v>
      </x:c>
      <x:c r="O1613" s="0"/>
      <x:c r="P1613" s="6">
        <x:v>46286</x:v>
      </x:c>
      <x:c r="Q1613" s="6">
        <x:v>46289.89624444445</x:v>
      </x:c>
      <x:c r="R1613" s="0"/>
      <x:c r="S1613" s="6">
        <x:v>46284</x:v>
      </x:c>
      <x:c r="T1613" s="6">
        <x:v>46284</x:v>
      </x:c>
      <x:c r="U1613" s="0"/>
      <x:c r="V1613" s="0"/>
      <x:c r="W1613" s="0"/>
      <x:c r="X1613" t="str" s="2">
        <x:v>7622158703</x:v>
      </x:c>
      <x:c r="Y1613" t="str" s="2">
        <x:v>virtues12002@gmail.com</x:v>
      </x:c>
      <x:c r="Z1613" s="6">
        <x:v>46289.89623229166</x:v>
      </x:c>
      <x:c r="AA1613" t="str" s="2">
        <x:v>Brian Amato</x:v>
      </x:c>
      <x:c r="AB1613" s="6">
        <x:v>46286.81854270833</x:v>
      </x:c>
      <x:c r="AC1613" t="n" s="2">
        <x:v>40239</x:v>
      </x:c>
      <x:c r="AD1613" s="0"/>
      <x:c r="AE1613" s="0"/>
      <x:c r="AF1613" s="0"/>
      <x:c r="AG1613" s="7">
        <x:v>10000</x:v>
      </x:c>
      <x:c r="AH1613" s="0"/>
      <x:c r="AI1613" t="str" s="2">
        <x:v>670</x:v>
      </x:c>
      <x:c r="AJ1613" s="0"/>
      <x:c r="AK1613" s="0"/>
    </x:row>
    <x:row r="1614">
      <x:c r="A1614" t="str" s="2">
        <x:f>=HYPERLINK("https://rsms.futurehomex.com/lead/40240", "Lindbergh Simmons")</x:f>
      </x:c>
      <x:c r="B1614" t="n" s="2">
        <x:v>22</x:v>
      </x:c>
      <x:c r="C1614" t="str" s="2">
        <x:v/>
      </x:c>
      <x:c r="D1614" t="str" s="2">
        <x:f>=""</x:f>
      </x:c>
      <x:c r="E1614" s="0"/>
      <x:c r="F1614" t="str" s="2">
        <x:v>Walk-in</x:v>
      </x:c>
      <x:c r="G1614" t="str" s="2">
        <x:v>Heritage Housing of Athens</x:v>
      </x:c>
      <x:c r="H1614" t="str" s="2">
        <x:v>Nathan Bishop</x:v>
      </x:c>
      <x:c r="I1614" s="0"/>
      <x:c r="J1614" s="0"/>
      <x:c r="K1614" t="n" s="2">
        <x:v>5</x:v>
      </x:c>
      <x:c r="L1614" t="str" s="2">
        <x:v>1.1</x:v>
      </x:c>
      <x:c r="M1614" t="str" s="2">
        <x:v>Tentative</x:v>
      </x:c>
      <x:c r="N1614" t="str" s="2">
        <x:v>Prospect</x:v>
      </x:c>
      <x:c r="O1614" s="0"/>
      <x:c r="P1614" s="6">
        <x:v>46286</x:v>
      </x:c>
      <x:c r="Q1614" s="6">
        <x:v>46288.808241631945</x:v>
      </x:c>
      <x:c r="R1614" s="0"/>
      <x:c r="S1614" s="6">
        <x:v>46286</x:v>
      </x:c>
      <x:c r="T1614" s="0"/>
      <x:c r="U1614" s="0"/>
      <x:c r="V1614" s="0"/>
      <x:c r="W1614" s="0"/>
      <x:c r="X1614" t="str" s="2">
        <x:v>7062248344</x:v>
      </x:c>
      <x:c r="Y1614" t="str" s="2">
        <x:v>lsimmons1300@gmail.com</x:v>
      </x:c>
      <x:c r="Z1614" s="0"/>
      <x:c r="AA1614" s="0"/>
      <x:c r="AB1614" s="6">
        <x:v>46286.83017364583</x:v>
      </x:c>
      <x:c r="AC1614" t="n" s="2">
        <x:v>40240</x:v>
      </x:c>
      <x:c r="AD1614" s="0"/>
      <x:c r="AE1614" s="0"/>
      <x:c r="AF1614" s="0"/>
      <x:c r="AG1614" s="0"/>
      <x:c r="AH1614" s="0"/>
      <x:c r="AI1614" s="0"/>
      <x:c r="AJ1614" s="0"/>
      <x:c r="AK1614" s="0"/>
    </x:row>
    <x:row r="1615">
      <x:c r="A1615" t="str" s="2">
        <x:f>=HYPERLINK("https://rsms.futurehomex.com/lead/40241", "JOHN JACKSON")</x:f>
      </x:c>
      <x:c r="B1615" t="n" s="2">
        <x:v>22</x:v>
      </x:c>
      <x:c r="C1615" t="str" s="2">
        <x:v/>
      </x:c>
      <x:c r="D1615" t="str" s="2">
        <x:f>=""</x:f>
      </x:c>
      <x:c r="E1615" s="0"/>
      <x:c r="F1615" t="str" s="2">
        <x:v>Walk-in</x:v>
      </x:c>
      <x:c r="G1615" t="str" s="2">
        <x:v>Heritage Housing of Augusta</x:v>
      </x:c>
      <x:c r="H1615" t="str" s="2">
        <x:v>Faye Lively</x:v>
      </x:c>
      <x:c r="I1615" t="str" s="2">
        <x:v>Karol Romero</x:v>
      </x:c>
      <x:c r="J1615" t="str" s="2">
        <x:v>Jose Chavez</x:v>
      </x:c>
      <x:c r="K1615" t="n" s="2">
        <x:v>5</x:v>
      </x:c>
      <x:c r="L1615" t="str" s="2">
        <x:v>1.1</x:v>
      </x:c>
      <x:c r="M1615" t="str" s="2">
        <x:v>Tentative</x:v>
      </x:c>
      <x:c r="N1615" t="str" s="2">
        <x:v>Deal Created</x:v>
      </x:c>
      <x:c r="O1615" s="0"/>
      <x:c r="P1615" s="6">
        <x:v>46286</x:v>
      </x:c>
      <x:c r="Q1615" s="6">
        <x:v>46286.854617557874</x:v>
      </x:c>
      <x:c r="R1615" s="0"/>
      <x:c r="S1615" s="0"/>
      <x:c r="T1615" s="0"/>
      <x:c r="U1615" s="0"/>
      <x:c r="V1615" s="0"/>
      <x:c r="W1615" s="0"/>
      <x:c r="X1615" t="str" s="2">
        <x:v>8646718406</x:v>
      </x:c>
      <x:c r="Y1615" t="str" s="2">
        <x:v>artemasjackson@gmail.com</x:v>
      </x:c>
      <x:c r="Z1615" s="0"/>
      <x:c r="AA1615" s="0"/>
      <x:c r="AB1615" s="6">
        <x:v>46286.84214641204</x:v>
      </x:c>
      <x:c r="AC1615" t="n" s="2">
        <x:v>40241</x:v>
      </x:c>
      <x:c r="AD1615" s="0"/>
      <x:c r="AE1615" s="0"/>
      <x:c r="AF1615" s="0"/>
      <x:c r="AG1615" s="7">
        <x:v>7000</x:v>
      </x:c>
      <x:c r="AH1615" s="0"/>
      <x:c r="AI1615" t="str" s="2">
        <x:v>617</x:v>
      </x:c>
      <x:c r="AJ1615" s="0"/>
      <x:c r="AK1615" s="0"/>
    </x:row>
    <x:row r="1616">
      <x:c r="A1616" t="str" s="2">
        <x:f>=HYPERLINK("https://rsms.futurehomex.com/lead/40243", "Julie Gilbert Shah")</x:f>
      </x:c>
      <x:c r="B1616" t="n" s="2">
        <x:v>22</x:v>
      </x:c>
      <x:c r="C1616" t="str" s="2">
        <x:v/>
      </x:c>
      <x:c r="D1616" t="str" s="2">
        <x:f>=""</x:f>
      </x:c>
      <x:c r="E1616" s="0"/>
      <x:c r="F1616" t="str" s="2">
        <x:v>Website</x:v>
      </x:c>
      <x:c r="G1616" t="str" s="2">
        <x:v>Heritage Housing of Jennings</x:v>
      </x:c>
      <x:c r="H1616" t="str" s="2">
        <x:v>Clint O'Neal</x:v>
      </x:c>
      <x:c r="I1616" s="0"/>
      <x:c r="J1616" s="0"/>
      <x:c r="K1616" t="n" s="2">
        <x:v>5</x:v>
      </x:c>
      <x:c r="L1616" t="str" s="2">
        <x:v>1.1</x:v>
      </x:c>
      <x:c r="M1616" t="str" s="2">
        <x:v>Inactive</x:v>
      </x:c>
      <x:c r="N1616" t="str" s="2">
        <x:v>Deal Created</x:v>
      </x:c>
      <x:c r="O1616" s="0"/>
      <x:c r="P1616" s="6">
        <x:v>46286</x:v>
      </x:c>
      <x:c r="Q1616" s="6">
        <x:v>46286.84423278935</x:v>
      </x:c>
      <x:c r="R1616" s="0"/>
      <x:c r="S1616" s="0"/>
      <x:c r="T1616" s="0"/>
      <x:c r="U1616" s="0"/>
      <x:c r="V1616" s="0"/>
      <x:c r="W1616" s="0"/>
      <x:c r="X1616" t="str" s="2">
        <x:v>3375704260</x:v>
      </x:c>
      <x:c r="Y1616" t="str" s="2">
        <x:v>juliegilbert1970@yahoo.com</x:v>
      </x:c>
      <x:c r="Z1616" s="6">
        <x:v>46290.54685358796</x:v>
      </x:c>
      <x:c r="AA1616" t="str" s="2">
        <x:v>Clint O'Neal</x:v>
      </x:c>
      <x:c r="AB1616" s="6">
        <x:v>46286.84423336806</x:v>
      </x:c>
      <x:c r="AC1616" t="n" s="2">
        <x:v>40243</x:v>
      </x:c>
      <x:c r="AD1616" s="0"/>
      <x:c r="AE1616" s="0"/>
      <x:c r="AF1616" s="0"/>
      <x:c r="AG1616" s="0"/>
      <x:c r="AH1616" s="0"/>
      <x:c r="AI1616" s="0"/>
      <x:c r="AJ1616" s="0"/>
      <x:c r="AK1616" s="0"/>
    </x:row>
    <x:row r="1617">
      <x:c r="A1617" t="str" s="2">
        <x:f>=HYPERLINK("https://rsms.futurehomex.com/lead/40244", "Robert E Wright")</x:f>
      </x:c>
      <x:c r="B1617" t="n" s="2">
        <x:v>22</x:v>
      </x:c>
      <x:c r="C1617" t="str" s="2">
        <x:v>1/1</x:v>
      </x:c>
      <x:c r="D1617" t="str" s="2">
        <x:f>=""</x:f>
      </x:c>
      <x:c r="E1617" s="0"/>
      <x:c r="F1617" t="str" s="2">
        <x:v>Website</x:v>
      </x:c>
      <x:c r="G1617" t="str" s="2">
        <x:v>Heritage Housing of Jennings</x:v>
      </x:c>
      <x:c r="H1617" t="str" s="2">
        <x:v>Clint O'Neal</x:v>
      </x:c>
      <x:c r="I1617" s="0"/>
      <x:c r="J1617" t="str" s="2">
        <x:v>Clint O'Neal</x:v>
      </x:c>
      <x:c r="K1617" t="n" s="2">
        <x:v>5</x:v>
      </x:c>
      <x:c r="L1617" t="str" s="2">
        <x:v>1.1</x:v>
      </x:c>
      <x:c r="M1617" t="str" s="2">
        <x:v>Active</x:v>
      </x:c>
      <x:c r="N1617" t="str" s="2">
        <x:v>Deal Created</x:v>
      </x:c>
      <x:c r="O1617" s="0"/>
      <x:c r="P1617" s="6">
        <x:v>46286</x:v>
      </x:c>
      <x:c r="Q1617" s="6">
        <x:v>46286.87466435185</x:v>
      </x:c>
      <x:c r="R1617" s="0"/>
      <x:c r="S1617" s="0"/>
      <x:c r="T1617" s="0"/>
      <x:c r="U1617" s="0"/>
      <x:c r="V1617" s="0"/>
      <x:c r="W1617" s="0"/>
      <x:c r="X1617" t="str" s="2">
        <x:v>3187749231</x:v>
      </x:c>
      <x:c r="Y1617" t="str" s="2">
        <x:v>Robertearlwrightjr@gmail.com</x:v>
      </x:c>
      <x:c r="Z1617" s="6">
        <x:v>46286.943850034724</x:v>
      </x:c>
      <x:c r="AA1617" t="str" s="2">
        <x:v>Clint O'Neal</x:v>
      </x:c>
      <x:c r="AB1617" s="6">
        <x:v>46286.845237152775</x:v>
      </x:c>
      <x:c r="AC1617" t="n" s="2">
        <x:v>40244</x:v>
      </x:c>
      <x:c r="AD1617" s="0"/>
      <x:c r="AE1617" s="0"/>
      <x:c r="AF1617" s="0"/>
      <x:c r="AG1617" s="0"/>
      <x:c r="AH1617" s="0"/>
      <x:c r="AI1617" t="str" s="2">
        <x:v>596</x:v>
      </x:c>
      <x:c r="AJ1617" s="0"/>
      <x:c r="AK1617" s="0"/>
    </x:row>
    <x:row r="1618">
      <x:c r="A1618" t="str" s="2">
        <x:f>=HYPERLINK("https://rsms.futurehomex.com/lead/40245", "Terrence Gwyn")</x:f>
      </x:c>
      <x:c r="B1618" t="n" s="2">
        <x:v>22</x:v>
      </x:c>
      <x:c r="C1618" t="str" s="2">
        <x:v>0/2</x:v>
      </x:c>
      <x:c r="D1618" t="str" s="2">
        <x:f>=""</x:f>
      </x:c>
      <x:c r="E1618" s="0"/>
      <x:c r="F1618" t="str" s="2">
        <x:v>Landing_BPM</x:v>
      </x:c>
      <x:c r="G1618" t="str" s="2">
        <x:v>Heritage Housing of Oklahoma City</x:v>
      </x:c>
      <x:c r="H1618" t="str" s="2">
        <x:v>Trey Rixleben</x:v>
      </x:c>
      <x:c r="I1618" s="0"/>
      <x:c r="J1618" t="str" s="2">
        <x:v>Trey Rixleben</x:v>
      </x:c>
      <x:c r="K1618" t="n" s="2">
        <x:v>5</x:v>
      </x:c>
      <x:c r="L1618" t="str" s="2">
        <x:v>1.1</x:v>
      </x:c>
      <x:c r="M1618" t="str" s="2">
        <x:v>Dead</x:v>
      </x:c>
      <x:c r="N1618" t="str" s="2">
        <x:v>Deal Created</x:v>
      </x:c>
      <x:c r="O1618" s="0"/>
      <x:c r="P1618" s="6">
        <x:v>46286</x:v>
      </x:c>
      <x:c r="Q1618" s="6">
        <x:v>46296.86298935185</x:v>
      </x:c>
      <x:c r="R1618" s="0"/>
      <x:c r="S1618" s="0"/>
      <x:c r="T1618" s="0"/>
      <x:c r="U1618" s="0"/>
      <x:c r="V1618" s="0"/>
      <x:c r="W1618" s="0"/>
      <x:c r="X1618" t="str" s="2">
        <x:v>3365941983</x:v>
      </x:c>
      <x:c r="Y1618" t="str" s="2">
        <x:v>jazzykayg@gmail.com</x:v>
      </x:c>
      <x:c r="Z1618" s="6">
        <x:v>46296.96251747685</x:v>
      </x:c>
      <x:c r="AA1618" t="str" s="2">
        <x:v>Richard Bell</x:v>
      </x:c>
      <x:c r="AB1618" s="6">
        <x:v>46286.84868217593</x:v>
      </x:c>
      <x:c r="AC1618" t="n" s="2">
        <x:v>40245</x:v>
      </x:c>
      <x:c r="AD1618" s="0"/>
      <x:c r="AE1618" s="0"/>
      <x:c r="AF1618" s="0"/>
      <x:c r="AG1618" s="0"/>
      <x:c r="AH1618" s="0"/>
      <x:c r="AI1618" s="0"/>
      <x:c r="AJ1618" s="0"/>
      <x:c r="AK1618" s="0"/>
    </x:row>
    <x:row r="1619">
      <x:c r="A1619" t="str" s="2">
        <x:f>=HYPERLINK("https://rsms.futurehomex.com/lead/40246", "Valerie Garner")</x:f>
      </x:c>
      <x:c r="B1619" t="n" s="2">
        <x:v>22</x:v>
      </x:c>
      <x:c r="C1619" t="str" s="2">
        <x:v>0/2</x:v>
      </x:c>
      <x:c r="D1619" t="str" s="2">
        <x:f>=""</x:f>
      </x:c>
      <x:c r="E1619" s="0"/>
      <x:c r="F1619" t="str" s="2">
        <x:v>Walk-in</x:v>
      </x:c>
      <x:c r="G1619" t="str" s="2">
        <x:v>Heritage Housing of Athens</x:v>
      </x:c>
      <x:c r="H1619" t="str" s="2">
        <x:v>Ethan Fossett</x:v>
      </x:c>
      <x:c r="I1619" s="0"/>
      <x:c r="J1619" t="str" s="2">
        <x:v>Ethan Fossett</x:v>
      </x:c>
      <x:c r="K1619" t="n" s="2">
        <x:v>40</x:v>
      </x:c>
      <x:c r="L1619" t="str" s="2">
        <x:v>3.3</x:v>
      </x:c>
      <x:c r="M1619" t="str" s="2">
        <x:v>Active</x:v>
      </x:c>
      <x:c r="N1619" t="str" s="2">
        <x:v>Application</x:v>
      </x:c>
      <x:c r="O1619" s="0"/>
      <x:c r="P1619" s="6">
        <x:v>46286</x:v>
      </x:c>
      <x:c r="Q1619" s="6">
        <x:v>46307.87904699074</x:v>
      </x:c>
      <x:c r="R1619" s="0"/>
      <x:c r="S1619" s="6">
        <x:v>46283</x:v>
      </x:c>
      <x:c r="T1619" s="0"/>
      <x:c r="U1619" s="0"/>
      <x:c r="V1619" s="0"/>
      <x:c r="W1619" s="0"/>
      <x:c r="X1619" t="str" s="2">
        <x:v>6785774007</x:v>
      </x:c>
      <x:c r="Y1619" t="str" s="2">
        <x:v>valerie.jonesgarner@yahoo.com</x:v>
      </x:c>
      <x:c r="Z1619" s="6">
        <x:v>46303.639725891204</x:v>
      </x:c>
      <x:c r="AA1619" t="str" s="2">
        <x:v>Meliza Banda</x:v>
      </x:c>
      <x:c r="AB1619" s="6">
        <x:v>46286.85524849537</x:v>
      </x:c>
      <x:c r="AC1619" t="n" s="2">
        <x:v>40246</x:v>
      </x:c>
      <x:c r="AD1619" t="str" s="2">
        <x:v>Doublewide</x:v>
      </x:c>
      <x:c r="AE1619" t="str" s="2">
        <x:v>21st Mortgage Corporation</x:v>
      </x:c>
      <x:c r="AF1619" s="7">
        <x:v>5000</x:v>
      </x:c>
      <x:c r="AG1619" s="7">
        <x:v>5000</x:v>
      </x:c>
      <x:c r="AH1619" s="0"/>
      <x:c r="AI1619" t="str" s="2">
        <x:v>616</x:v>
      </x:c>
      <x:c r="AJ1619" s="0"/>
      <x:c r="AK1619" s="0"/>
    </x:row>
    <x:row r="1620">
      <x:c r="A1620" t="str" s="2">
        <x:f>=HYPERLINK("https://rsms.futurehomex.com/lead/40247", "Garrett Jones")</x:f>
      </x:c>
      <x:c r="B1620" t="n" s="2">
        <x:v>22</x:v>
      </x:c>
      <x:c r="C1620" t="str" s="2">
        <x:v/>
      </x:c>
      <x:c r="D1620" t="str" s="2">
        <x:f>=""</x:f>
      </x:c>
      <x:c r="E1620" s="0"/>
      <x:c r="F1620" t="str" s="2">
        <x:v>Walk-in</x:v>
      </x:c>
      <x:c r="G1620" t="str" s="2">
        <x:v>Heritage Housing of Athens</x:v>
      </x:c>
      <x:c r="H1620" t="str" s="2">
        <x:v>Ethan Fossett</x:v>
      </x:c>
      <x:c r="I1620" s="0"/>
      <x:c r="J1620" s="0"/>
      <x:c r="K1620" t="n" s="2">
        <x:v>5</x:v>
      </x:c>
      <x:c r="L1620" t="str" s="2">
        <x:v>1.1</x:v>
      </x:c>
      <x:c r="M1620" t="str" s="2">
        <x:v>Dead</x:v>
      </x:c>
      <x:c r="N1620" t="str" s="2">
        <x:v>Prospect</x:v>
      </x:c>
      <x:c r="O1620" s="0"/>
      <x:c r="P1620" s="6">
        <x:v>46286</x:v>
      </x:c>
      <x:c r="Q1620" s="6">
        <x:v>46286.863367708334</x:v>
      </x:c>
      <x:c r="R1620" s="0"/>
      <x:c r="S1620" s="0"/>
      <x:c r="T1620" s="0"/>
      <x:c r="U1620" s="0"/>
      <x:c r="V1620" s="0"/>
      <x:c r="W1620" s="0"/>
      <x:c r="X1620" t="str" s="2">
        <x:v>6783259693</x:v>
      </x:c>
      <x:c r="Y1620" t="str" s="2">
        <x:v>garrettrayjones04@gmail.com</x:v>
      </x:c>
      <x:c r="Z1620" s="6">
        <x:v>46286.866203275466</x:v>
      </x:c>
      <x:c r="AA1620" t="str" s="2">
        <x:v>Ethan Fossett</x:v>
      </x:c>
      <x:c r="AB1620" s="6">
        <x:v>46286.863368171296</x:v>
      </x:c>
      <x:c r="AC1620" t="n" s="2">
        <x:v>40247</x:v>
      </x:c>
      <x:c r="AD1620" s="0"/>
      <x:c r="AE1620" s="0"/>
      <x:c r="AF1620" s="0"/>
      <x:c r="AG1620" s="0"/>
      <x:c r="AH1620" s="0"/>
      <x:c r="AI1620" s="0"/>
      <x:c r="AJ1620" s="0"/>
      <x:c r="AK1620" s="0"/>
    </x:row>
    <x:row r="1621">
      <x:c r="A1621" t="str" s="2">
        <x:f>=HYPERLINK("https://rsms.futurehomex.com/lead/40248", "Wendy Castillo")</x:f>
      </x:c>
      <x:c r="B1621" t="n" s="2">
        <x:v>22</x:v>
      </x:c>
      <x:c r="C1621" t="str" s="2">
        <x:v/>
      </x:c>
      <x:c r="D1621" t="str" s="2">
        <x:f>=""</x:f>
      </x:c>
      <x:c r="E1621" s="0"/>
      <x:c r="F1621" t="str" s="2">
        <x:v>Other</x:v>
      </x:c>
      <x:c r="G1621" t="str" s="2">
        <x:v>Legacy Housing Corp. DBA Americasa</x:v>
      </x:c>
      <x:c r="H1621" t="str" s="2">
        <x:v>Joey Marquez</x:v>
      </x:c>
      <x:c r="I1621" s="0"/>
      <x:c r="J1621" t="str" s="2">
        <x:v>Joey Marquez</x:v>
      </x:c>
      <x:c r="K1621" t="n" s="2">
        <x:v>5</x:v>
      </x:c>
      <x:c r="L1621" t="str" s="2">
        <x:v>1.1</x:v>
      </x:c>
      <x:c r="M1621" t="str" s="2">
        <x:v>Tentative</x:v>
      </x:c>
      <x:c r="N1621" t="str" s="2">
        <x:v>Deal Created</x:v>
      </x:c>
      <x:c r="O1621" s="0"/>
      <x:c r="P1621" s="6">
        <x:v>46286</x:v>
      </x:c>
      <x:c r="Q1621" s="6">
        <x:v>46286.8747130787</x:v>
      </x:c>
      <x:c r="R1621" s="0"/>
      <x:c r="S1621" s="0"/>
      <x:c r="T1621" s="0"/>
      <x:c r="U1621" s="0"/>
      <x:c r="V1621" s="0"/>
      <x:c r="W1621" s="0"/>
      <x:c r="X1621" t="str" s="2">
        <x:v>7133852883</x:v>
      </x:c>
      <x:c r="Y1621" t="str" s="2">
        <x:v>7133852883</x:v>
      </x:c>
      <x:c r="Z1621" s="0"/>
      <x:c r="AA1621" s="0"/>
      <x:c r="AB1621" s="6">
        <x:v>46286.87471438658</x:v>
      </x:c>
      <x:c r="AC1621" t="n" s="2">
        <x:v>40248</x:v>
      </x:c>
      <x:c r="AD1621" s="0"/>
      <x:c r="AE1621" s="0"/>
      <x:c r="AF1621" s="0"/>
      <x:c r="AG1621" s="0"/>
      <x:c r="AH1621" s="0"/>
      <x:c r="AI1621" s="0"/>
      <x:c r="AJ1621" s="0"/>
      <x:c r="AK1621" s="0"/>
    </x:row>
    <x:row r="1622">
      <x:c r="A1622" t="str" s="2">
        <x:f>=HYPERLINK("https://rsms.futurehomex.com/lead/40249", "Cristy Williams")</x:f>
      </x:c>
      <x:c r="B1622" t="n" s="2">
        <x:v>22</x:v>
      </x:c>
      <x:c r="C1622" t="str" s="2">
        <x:v/>
      </x:c>
      <x:c r="D1622" t="str" s="2">
        <x:f>=""</x:f>
      </x:c>
      <x:c r="E1622" s="0"/>
      <x:c r="F1622" t="str" s="2">
        <x:v>Walk-in</x:v>
      </x:c>
      <x:c r="G1622" t="str" s="2">
        <x:v>Heritage Housing of Asheboro</x:v>
      </x:c>
      <x:c r="H1622" t="str" s="2">
        <x:v>Kate Gutierrez</x:v>
      </x:c>
      <x:c r="I1622" s="0"/>
      <x:c r="J1622" s="0"/>
      <x:c r="K1622" t="n" s="2">
        <x:v>21</x:v>
      </x:c>
      <x:c r="L1622" t="str" s="2">
        <x:v>2.1</x:v>
      </x:c>
      <x:c r="M1622" t="str" s="2">
        <x:v>Tentative</x:v>
      </x:c>
      <x:c r="N1622" t="str" s="2">
        <x:v>Qualified</x:v>
      </x:c>
      <x:c r="O1622" s="0"/>
      <x:c r="P1622" s="6">
        <x:v>46286</x:v>
      </x:c>
      <x:c r="Q1622" s="6">
        <x:v>46303.55969371528</x:v>
      </x:c>
      <x:c r="R1622" s="0"/>
      <x:c r="S1622" s="0"/>
      <x:c r="T1622" s="0"/>
      <x:c r="U1622" s="0"/>
      <x:c r="V1622" s="0"/>
      <x:c r="W1622" s="0"/>
      <x:c r="X1622" t="str" s="2">
        <x:v>9109869839</x:v>
      </x:c>
      <x:c r="Y1622" t="str" s="2">
        <x:v>cwilliams2001@icloud.com</x:v>
      </x:c>
      <x:c r="Z1622" s="6">
        <x:v>46303.5596803588</x:v>
      </x:c>
      <x:c r="AA1622" t="str" s="2">
        <x:v>Jeremy Jacques</x:v>
      </x:c>
      <x:c r="AB1622" s="6">
        <x:v>46286.89520023148</x:v>
      </x:c>
      <x:c r="AC1622" t="n" s="2">
        <x:v>40249</x:v>
      </x:c>
      <x:c r="AD1622" s="0"/>
      <x:c r="AE1622" s="0"/>
      <x:c r="AF1622" s="0"/>
      <x:c r="AG1622" s="0"/>
      <x:c r="AH1622" s="0"/>
      <x:c r="AI1622" s="0"/>
      <x:c r="AJ1622" s="0"/>
      <x:c r="AK1622" s="0"/>
    </x:row>
    <x:row r="1623">
      <x:c r="A1623" t="str" s="2">
        <x:f>=HYPERLINK("https://rsms.futurehomex.com/lead/40250", "JR Griffin")</x:f>
      </x:c>
      <x:c r="B1623" t="n" s="2">
        <x:v>22</x:v>
      </x:c>
      <x:c r="C1623" t="str" s="2">
        <x:v>0/2</x:v>
      </x:c>
      <x:c r="D1623" t="str" s="2">
        <x:f>=""</x:f>
      </x:c>
      <x:c r="E1623" s="0"/>
      <x:c r="F1623" t="str" s="2">
        <x:v>Facebook Messenger</x:v>
      </x:c>
      <x:c r="G1623" t="str" s="2">
        <x:v>Heritage Housing of Oklahoma City</x:v>
      </x:c>
      <x:c r="H1623" t="str" s="2">
        <x:v>Steve Castell</x:v>
      </x:c>
      <x:c r="I1623" s="0"/>
      <x:c r="J1623" t="str" s="2">
        <x:v>Steve Castell</x:v>
      </x:c>
      <x:c r="K1623" t="n" s="2">
        <x:v>5</x:v>
      </x:c>
      <x:c r="L1623" t="str" s="2">
        <x:v>1.1</x:v>
      </x:c>
      <x:c r="M1623" t="str" s="2">
        <x:v>Inactive</x:v>
      </x:c>
      <x:c r="N1623" t="str" s="2">
        <x:v>Deal Created</x:v>
      </x:c>
      <x:c r="O1623" s="0"/>
      <x:c r="P1623" s="6">
        <x:v>46286</x:v>
      </x:c>
      <x:c r="Q1623" s="6">
        <x:v>46286.93935065972</x:v>
      </x:c>
      <x:c r="R1623" s="0"/>
      <x:c r="S1623" s="0"/>
      <x:c r="T1623" s="0"/>
      <x:c r="U1623" s="0"/>
      <x:c r="V1623" s="0"/>
      <x:c r="W1623" s="0"/>
      <x:c r="X1623" t="str" s="2">
        <x:v>6202131926</x:v>
      </x:c>
      <x:c r="Y1623" t="str" s="2">
        <x:v>6202131926</x:v>
      </x:c>
      <x:c r="Z1623" s="6">
        <x:v>46291.81007395833</x:v>
      </x:c>
      <x:c r="AA1623" t="str" s="2">
        <x:v>Steve Castell</x:v>
      </x:c>
      <x:c r="AB1623" s="6">
        <x:v>46286.93935274306</x:v>
      </x:c>
      <x:c r="AC1623" t="n" s="2">
        <x:v>40250</x:v>
      </x:c>
      <x:c r="AD1623" s="0"/>
      <x:c r="AE1623" s="0"/>
      <x:c r="AF1623" s="0"/>
      <x:c r="AG1623" s="0"/>
      <x:c r="AH1623" s="0"/>
      <x:c r="AI1623" s="0"/>
      <x:c r="AJ1623" s="0"/>
      <x:c r="AK1623" s="0"/>
    </x:row>
    <x:row r="1624">
      <x:c r="A1624" t="str" s="2">
        <x:f>=HYPERLINK("https://rsms.futurehomex.com/lead/40252", "Virgil Adamson")</x:f>
      </x:c>
      <x:c r="B1624" t="n" s="2">
        <x:v>22</x:v>
      </x:c>
      <x:c r="C1624" t="str" s="2">
        <x:v>1/2</x:v>
      </x:c>
      <x:c r="D1624" t="str" s="2">
        <x:f>=""</x:f>
      </x:c>
      <x:c r="E1624" s="0"/>
      <x:c r="F1624" t="str" s="2">
        <x:v>Walk-in</x:v>
      </x:c>
      <x:c r="G1624" t="str" s="2">
        <x:v>Heritage Housing of Oklahoma City</x:v>
      </x:c>
      <x:c r="H1624" t="str" s="2">
        <x:v>Trey Rixleben</x:v>
      </x:c>
      <x:c r="I1624" s="0"/>
      <x:c r="J1624" s="0"/>
      <x:c r="K1624" t="n" s="2">
        <x:v>5</x:v>
      </x:c>
      <x:c r="L1624" t="str" s="2">
        <x:v>1.1</x:v>
      </x:c>
      <x:c r="M1624" t="str" s="2">
        <x:v>Tentative</x:v>
      </x:c>
      <x:c r="N1624" t="str" s="2">
        <x:v>Deal Created</x:v>
      </x:c>
      <x:c r="O1624" s="0"/>
      <x:c r="P1624" s="6">
        <x:v>46286</x:v>
      </x:c>
      <x:c r="Q1624" s="6">
        <x:v>46297.92550208333</x:v>
      </x:c>
      <x:c r="R1624" s="0"/>
      <x:c r="S1624" s="6">
        <x:v>46286</x:v>
      </x:c>
      <x:c r="T1624" s="0"/>
      <x:c r="U1624" s="0"/>
      <x:c r="V1624" s="0"/>
      <x:c r="W1624" s="0"/>
      <x:c r="X1624" t="str" s="2">
        <x:v>5802510938</x:v>
      </x:c>
      <x:c r="Y1624" t="str" s="2">
        <x:v>Virgil.Adamson1998@gmail.com</x:v>
      </x:c>
      <x:c r="Z1624" s="6">
        <x:v>46297.92602627315</x:v>
      </x:c>
      <x:c r="AA1624" t="str" s="2">
        <x:v>Trey Rixleben</x:v>
      </x:c>
      <x:c r="AB1624" s="6">
        <x:v>46286.94322971065</x:v>
      </x:c>
      <x:c r="AC1624" t="n" s="2">
        <x:v>40252</x:v>
      </x:c>
      <x:c r="AD1624" s="0"/>
      <x:c r="AE1624" s="0"/>
      <x:c r="AF1624" s="0"/>
      <x:c r="AG1624" s="7">
        <x:v>10000</x:v>
      </x:c>
      <x:c r="AH1624" s="0"/>
      <x:c r="AI1624" s="0"/>
      <x:c r="AJ1624" s="0"/>
      <x:c r="AK1624" s="0"/>
    </x:row>
    <x:row r="1625">
      <x:c r="A1625" t="str" s="2">
        <x:f>=HYPERLINK("https://rsms.futurehomex.com/lead/40253", "Taz Gerard")</x:f>
      </x:c>
      <x:c r="B1625" t="n" s="2">
        <x:v>22</x:v>
      </x:c>
      <x:c r="C1625" t="str" s="2">
        <x:v/>
      </x:c>
      <x:c r="D1625" t="str" s="2">
        <x:f>=""</x:f>
      </x:c>
      <x:c r="E1625" s="0"/>
      <x:c r="F1625" t="str" s="2">
        <x:v>Walk-in</x:v>
      </x:c>
      <x:c r="G1625" t="str" s="2">
        <x:v>Heritage Housing of Tulsa</x:v>
      </x:c>
      <x:c r="H1625" t="str" s="2">
        <x:v>Jenna Fransisco</x:v>
      </x:c>
      <x:c r="I1625" s="0"/>
      <x:c r="J1625" s="0"/>
      <x:c r="K1625" t="n" s="2">
        <x:v>5</x:v>
      </x:c>
      <x:c r="L1625" t="str" s="2">
        <x:v>1.1</x:v>
      </x:c>
      <x:c r="M1625" t="str" s="2">
        <x:v>Tentative</x:v>
      </x:c>
      <x:c r="N1625" t="str" s="2">
        <x:v>Prospect</x:v>
      </x:c>
      <x:c r="O1625" s="0"/>
      <x:c r="P1625" s="6">
        <x:v>46286</x:v>
      </x:c>
      <x:c r="Q1625" s="6">
        <x:v>46286.964452974535</x:v>
      </x:c>
      <x:c r="R1625" s="0"/>
      <x:c r="S1625" s="0"/>
      <x:c r="T1625" s="0"/>
      <x:c r="U1625" s="0"/>
      <x:c r="V1625" s="0"/>
      <x:c r="W1625" s="0"/>
      <x:c r="X1625" t="str" s="2">
        <x:v>9189023363</x:v>
      </x:c>
      <x:c r="Y1625" t="str" s="2">
        <x:v>tazproperties@outlook.com</x:v>
      </x:c>
      <x:c r="Z1625" s="0"/>
      <x:c r="AA1625" s="0"/>
      <x:c r="AB1625" s="6">
        <x:v>46286.964453472225</x:v>
      </x:c>
      <x:c r="AC1625" t="n" s="2">
        <x:v>40253</x:v>
      </x:c>
      <x:c r="AD1625" s="0"/>
      <x:c r="AE1625" s="0"/>
      <x:c r="AF1625" s="0"/>
      <x:c r="AG1625" s="0"/>
      <x:c r="AH1625" s="0"/>
      <x:c r="AI1625" s="0"/>
      <x:c r="AJ1625" s="0"/>
      <x:c r="AK1625" s="0"/>
    </x:row>
    <x:row r="1626">
      <x:c r="A1626" t="str" s="2">
        <x:f>=HYPERLINK("https://rsms.futurehomex.com/lead/40254", "John Taylor")</x:f>
      </x:c>
      <x:c r="B1626" t="n" s="2">
        <x:v>21</x:v>
      </x:c>
      <x:c r="C1626" t="str" s="2">
        <x:v>0/1</x:v>
      </x:c>
      <x:c r="D1626" t="str" s="2">
        <x:f>=""</x:f>
      </x:c>
      <x:c r="E1626" s="0"/>
      <x:c r="F1626" t="str" s="2">
        <x:v>Financing Form</x:v>
      </x:c>
      <x:c r="G1626" t="str" s="2">
        <x:v>Heritage Housing of Oklahoma City</x:v>
      </x:c>
      <x:c r="H1626" t="str" s="2">
        <x:v>Alejandra Calderon</x:v>
      </x:c>
      <x:c r="I1626" s="0"/>
      <x:c r="J1626" s="0"/>
      <x:c r="K1626" t="n" s="2">
        <x:v>5</x:v>
      </x:c>
      <x:c r="L1626" t="str" s="2">
        <x:v>1.1</x:v>
      </x:c>
      <x:c r="M1626" t="str" s="2">
        <x:v>Dead</x:v>
      </x:c>
      <x:c r="N1626" t="str" s="2">
        <x:v>Deal Created</x:v>
      </x:c>
      <x:c r="O1626" s="0"/>
      <x:c r="P1626" s="6">
        <x:v>46287</x:v>
      </x:c>
      <x:c r="Q1626" s="6">
        <x:v>46288.95422184028</x:v>
      </x:c>
      <x:c r="R1626" s="0"/>
      <x:c r="S1626" s="0"/>
      <x:c r="T1626" s="0"/>
      <x:c r="U1626" s="0"/>
      <x:c r="V1626" s="0"/>
      <x:c r="W1626" s="0"/>
      <x:c r="X1626" t="str" s="2">
        <x:v>4057798112</x:v>
      </x:c>
      <x:c r="Y1626" t="str" s="2">
        <x:v>Mumbles.jt09@gmail.com</x:v>
      </x:c>
      <x:c r="Z1626" s="6">
        <x:v>46288.95512855324</x:v>
      </x:c>
      <x:c r="AA1626" t="str" s="2">
        <x:v>Alejandra Calderon</x:v>
      </x:c>
      <x:c r="AB1626" s="6">
        <x:v>46287.05879517361</x:v>
      </x:c>
      <x:c r="AC1626" t="n" s="2">
        <x:v>40254</x:v>
      </x:c>
      <x:c r="AD1626" s="0"/>
      <x:c r="AE1626" s="0"/>
      <x:c r="AF1626" s="0"/>
      <x:c r="AG1626" s="0"/>
      <x:c r="AH1626" s="0"/>
      <x:c r="AI1626" s="0"/>
      <x:c r="AJ1626" s="0"/>
      <x:c r="AK1626" s="0"/>
    </x:row>
    <x:row r="1627">
      <x:c r="A1627" t="str" s="2">
        <x:f>=HYPERLINK("https://rsms.futurehomex.com/lead/40256", "Jessica Neal")</x:f>
      </x:c>
      <x:c r="B1627" t="n" s="2">
        <x:v>21</x:v>
      </x:c>
      <x:c r="C1627" t="str" s="2">
        <x:v>1/1</x:v>
      </x:c>
      <x:c r="D1627" t="str" s="2">
        <x:f>=""</x:f>
      </x:c>
      <x:c r="E1627" s="0"/>
      <x:c r="F1627" t="str" s="2">
        <x:v>Landing_BPM</x:v>
      </x:c>
      <x:c r="G1627" t="str" s="2">
        <x:v>Heritage Housing of Oklahoma City</x:v>
      </x:c>
      <x:c r="H1627" t="str" s="2">
        <x:v>Steve Castell</x:v>
      </x:c>
      <x:c r="I1627" s="0"/>
      <x:c r="J1627" t="str" s="2">
        <x:v>Steve Castell</x:v>
      </x:c>
      <x:c r="K1627" t="n" s="2">
        <x:v>5</x:v>
      </x:c>
      <x:c r="L1627" t="str" s="2">
        <x:v>1.1</x:v>
      </x:c>
      <x:c r="M1627" t="str" s="2">
        <x:v>Tentative</x:v>
      </x:c>
      <x:c r="N1627" t="str" s="2">
        <x:v>Deal Created</x:v>
      </x:c>
      <x:c r="O1627" s="0"/>
      <x:c r="P1627" s="6">
        <x:v>46287</x:v>
      </x:c>
      <x:c r="Q1627" s="6">
        <x:v>46287.59580193287</x:v>
      </x:c>
      <x:c r="R1627" s="0"/>
      <x:c r="S1627" s="0"/>
      <x:c r="T1627" s="0"/>
      <x:c r="U1627" s="0"/>
      <x:c r="V1627" s="0"/>
      <x:c r="W1627" s="0"/>
      <x:c r="X1627" t="str" s="2">
        <x:v>4698290743</x:v>
      </x:c>
      <x:c r="Y1627" t="str" s="2">
        <x:v>bakerjesse088@gmail.com</x:v>
      </x:c>
      <x:c r="Z1627" s="6">
        <x:v>46287.599565625</x:v>
      </x:c>
      <x:c r="AA1627" t="str" s="2">
        <x:v>Steve Castell</x:v>
      </x:c>
      <x:c r="AB1627" s="6">
        <x:v>46287.59580246528</x:v>
      </x:c>
      <x:c r="AC1627" t="n" s="2">
        <x:v>40256</x:v>
      </x:c>
      <x:c r="AD1627" s="0"/>
      <x:c r="AE1627" s="0"/>
      <x:c r="AF1627" s="0"/>
      <x:c r="AG1627" s="0"/>
      <x:c r="AH1627" s="0"/>
      <x:c r="AI1627" s="0"/>
      <x:c r="AJ1627" s="0"/>
      <x:c r="AK1627" s="0"/>
    </x:row>
    <x:row r="1628">
      <x:c r="A1628" t="str" s="2">
        <x:f>=HYPERLINK("https://rsms.futurehomex.com/lead/40257", "James Patrick")</x:f>
      </x:c>
      <x:c r="B1628" t="n" s="2">
        <x:v>21</x:v>
      </x:c>
      <x:c r="C1628" t="str" s="2">
        <x:v>0/1</x:v>
      </x:c>
      <x:c r="D1628" t="str" s="2">
        <x:f>=""</x:f>
      </x:c>
      <x:c r="E1628" s="0"/>
      <x:c r="F1628" t="str" s="2">
        <x:v>Facebook Messenger</x:v>
      </x:c>
      <x:c r="G1628" t="str" s="2">
        <x:v>Heritage Housing of Oklahoma City</x:v>
      </x:c>
      <x:c r="H1628" t="str" s="2">
        <x:v>Devon McCoy</x:v>
      </x:c>
      <x:c r="I1628" s="0"/>
      <x:c r="J1628" s="0"/>
      <x:c r="K1628" t="n" s="2">
        <x:v>5</x:v>
      </x:c>
      <x:c r="L1628" t="str" s="2">
        <x:v>1.1</x:v>
      </x:c>
      <x:c r="M1628" t="str" s="2">
        <x:v>Dead</x:v>
      </x:c>
      <x:c r="N1628" t="str" s="2">
        <x:v>Prospect</x:v>
      </x:c>
      <x:c r="O1628" s="0"/>
      <x:c r="P1628" s="6">
        <x:v>46287</x:v>
      </x:c>
      <x:c r="Q1628" s="6">
        <x:v>46287.64237627315</x:v>
      </x:c>
      <x:c r="R1628" s="0"/>
      <x:c r="S1628" s="6">
        <x:v>46286</x:v>
      </x:c>
      <x:c r="T1628" s="0"/>
      <x:c r="U1628" s="0"/>
      <x:c r="V1628" s="0"/>
      <x:c r="W1628" s="0"/>
      <x:c r="X1628" t="str" s="2">
        <x:v>7074506260</x:v>
      </x:c>
      <x:c r="Y1628" t="str" s="2">
        <x:v>jaunitahpatrick75@gmail.com</x:v>
      </x:c>
      <x:c r="Z1628" s="6">
        <x:v>46288.76347013889</x:v>
      </x:c>
      <x:c r="AA1628" t="str" s="2">
        <x:v>Richard Bell</x:v>
      </x:c>
      <x:c r="AB1628" s="6">
        <x:v>46287.64238012731</x:v>
      </x:c>
      <x:c r="AC1628" t="n" s="2">
        <x:v>40257</x:v>
      </x:c>
      <x:c r="AD1628" s="0"/>
      <x:c r="AE1628" s="0"/>
      <x:c r="AF1628" s="0"/>
      <x:c r="AG1628" s="0"/>
      <x:c r="AH1628" s="0"/>
      <x:c r="AI1628" s="0"/>
      <x:c r="AJ1628" s="0"/>
      <x:c r="AK1628" s="0"/>
    </x:row>
    <x:row r="1629">
      <x:c r="A1629" t="str" s="2">
        <x:f>=HYPERLINK("https://rsms.futurehomex.com/lead/40259", "Christopher Stephens")</x:f>
      </x:c>
      <x:c r="B1629" t="n" s="2">
        <x:v>21</x:v>
      </x:c>
      <x:c r="C1629" t="str" s="2">
        <x:v>1/1</x:v>
      </x:c>
      <x:c r="D1629" t="str" s="2">
        <x:f>=""</x:f>
      </x:c>
      <x:c r="E1629" s="0"/>
      <x:c r="F1629" t="str" s="2">
        <x:v>Youtube</x:v>
      </x:c>
      <x:c r="G1629" t="str" s="2">
        <x:v>Heritage Housing of Athens</x:v>
      </x:c>
      <x:c r="H1629" t="str" s="2">
        <x:v>Nathan Bishop</x:v>
      </x:c>
      <x:c r="I1629" s="0"/>
      <x:c r="J1629" s="0"/>
      <x:c r="K1629" t="n" s="2">
        <x:v>5</x:v>
      </x:c>
      <x:c r="L1629" t="str" s="2">
        <x:v>1.1</x:v>
      </x:c>
      <x:c r="M1629" t="str" s="2">
        <x:v>Tentative</x:v>
      </x:c>
      <x:c r="N1629" t="str" s="2">
        <x:v>Prospect</x:v>
      </x:c>
      <x:c r="O1629" s="0"/>
      <x:c r="P1629" s="6">
        <x:v>46287</x:v>
      </x:c>
      <x:c r="Q1629" s="6">
        <x:v>46287.6713584838</x:v>
      </x:c>
      <x:c r="R1629" s="0"/>
      <x:c r="S1629" s="0"/>
      <x:c r="T1629" s="0"/>
      <x:c r="U1629" s="0"/>
      <x:c r="V1629" s="0"/>
      <x:c r="W1629" s="0"/>
      <x:c r="X1629" t="str" s="2">
        <x:v>4046712401</x:v>
      </x:c>
      <x:c r="Y1629" t="str" s="2">
        <x:v>redhotboy1986@gmail.com</x:v>
      </x:c>
      <x:c r="Z1629" s="6">
        <x:v>46287.67211478009</x:v>
      </x:c>
      <x:c r="AA1629" t="str" s="2">
        <x:v>Nathan Bishop</x:v>
      </x:c>
      <x:c r="AB1629" s="6">
        <x:v>46287.67135975695</x:v>
      </x:c>
      <x:c r="AC1629" t="n" s="2">
        <x:v>40259</x:v>
      </x:c>
      <x:c r="AD1629" s="0"/>
      <x:c r="AE1629" s="0"/>
      <x:c r="AF1629" s="0"/>
      <x:c r="AG1629" s="0"/>
      <x:c r="AH1629" s="0"/>
      <x:c r="AI1629" s="0"/>
      <x:c r="AJ1629" s="0"/>
      <x:c r="AK1629" s="0"/>
    </x:row>
    <x:row r="1630">
      <x:c r="A1630" t="str" s="2">
        <x:f>=HYPERLINK("https://rsms.futurehomex.com/lead/40260", "Kenneth Mcnac")</x:f>
      </x:c>
      <x:c r="B1630" t="n" s="2">
        <x:v>21</x:v>
      </x:c>
      <x:c r="C1630" t="str" s="2">
        <x:v/>
      </x:c>
      <x:c r="D1630" t="str" s="2">
        <x:f>=""</x:f>
      </x:c>
      <x:c r="E1630" s="0"/>
      <x:c r="F1630" t="str" s="2">
        <x:v>Landing_BPM</x:v>
      </x:c>
      <x:c r="G1630" t="str" s="2">
        <x:v>Heritage Housing Mt Pleasant</x:v>
      </x:c>
      <x:c r="H1630" t="str" s="2">
        <x:v>Yarelis Torres</x:v>
      </x:c>
      <x:c r="I1630" s="0"/>
      <x:c r="J1630" s="0"/>
      <x:c r="K1630" t="n" s="2">
        <x:v>5</x:v>
      </x:c>
      <x:c r="L1630" t="str" s="2">
        <x:v>1.1</x:v>
      </x:c>
      <x:c r="M1630" t="str" s="2">
        <x:v>Tentative</x:v>
      </x:c>
      <x:c r="N1630" t="str" s="2">
        <x:v>Prospect</x:v>
      </x:c>
      <x:c r="O1630" s="0"/>
      <x:c r="P1630" s="6">
        <x:v>46287</x:v>
      </x:c>
      <x:c r="Q1630" s="6">
        <x:v>46287.676976006944</x:v>
      </x:c>
      <x:c r="R1630" s="0"/>
      <x:c r="S1630" s="0"/>
      <x:c r="T1630" s="0"/>
      <x:c r="U1630" s="0"/>
      <x:c r="V1630" s="0"/>
      <x:c r="W1630" s="0"/>
      <x:c r="X1630" t="str" s="2">
        <x:v>9188403329</x:v>
      </x:c>
      <x:c r="Y1630" t="str" s="2">
        <x:v>kamcnac10@gmail.com</x:v>
      </x:c>
      <x:c r="Z1630" s="0"/>
      <x:c r="AA1630" s="0"/>
      <x:c r="AB1630" s="6">
        <x:v>46287.67697688657</x:v>
      </x:c>
      <x:c r="AC1630" t="n" s="2">
        <x:v>40260</x:v>
      </x:c>
      <x:c r="AD1630" s="0"/>
      <x:c r="AE1630" s="0"/>
      <x:c r="AF1630" s="0"/>
      <x:c r="AG1630" s="0"/>
      <x:c r="AH1630" s="0"/>
      <x:c r="AI1630" s="0"/>
      <x:c r="AJ1630" s="0"/>
      <x:c r="AK1630" s="0"/>
    </x:row>
    <x:row r="1631">
      <x:c r="A1631" t="str" s="2">
        <x:f>=HYPERLINK("https://rsms.futurehomex.com/lead/40262", "April Foerster")</x:f>
      </x:c>
      <x:c r="B1631" t="n" s="2">
        <x:v>21</x:v>
      </x:c>
      <x:c r="C1631" t="str" s="2">
        <x:v/>
      </x:c>
      <x:c r="D1631" t="str" s="2">
        <x:f>=""</x:f>
      </x:c>
      <x:c r="E1631" t="str" s="2">
        <x:v>Eric Foerster</x:v>
      </x:c>
      <x:c r="F1631" t="str" s="2">
        <x:v>Website</x:v>
      </x:c>
      <x:c r="G1631" t="str" s="2">
        <x:v>Heritage Housing of Athens</x:v>
      </x:c>
      <x:c r="H1631" t="str" s="2">
        <x:v>Nathan Bishop</x:v>
      </x:c>
      <x:c r="I1631" s="0"/>
      <x:c r="J1631" s="0"/>
      <x:c r="K1631" t="n" s="2">
        <x:v>5</x:v>
      </x:c>
      <x:c r="L1631" t="str" s="2">
        <x:v>1.1</x:v>
      </x:c>
      <x:c r="M1631" t="str" s="2">
        <x:v>Tentative</x:v>
      </x:c>
      <x:c r="N1631" t="str" s="2">
        <x:v>Prospect</x:v>
      </x:c>
      <x:c r="O1631" s="0"/>
      <x:c r="P1631" s="6">
        <x:v>46287</x:v>
      </x:c>
      <x:c r="Q1631" s="6">
        <x:v>46307.815956516206</x:v>
      </x:c>
      <x:c r="R1631" s="0"/>
      <x:c r="S1631" s="0"/>
      <x:c r="T1631" s="0"/>
      <x:c r="U1631" s="0"/>
      <x:c r="V1631" s="0"/>
      <x:c r="W1631" s="0"/>
      <x:c r="X1631" t="str" s="2">
        <x:v>7062071660</x:v>
      </x:c>
      <x:c r="Y1631" t="str" s="2">
        <x:v>aprilfoerster63@yahoo.com</x:v>
      </x:c>
      <x:c r="Z1631" s="0"/>
      <x:c r="AA1631" s="0"/>
      <x:c r="AB1631" s="6">
        <x:v>46287.686280358794</x:v>
      </x:c>
      <x:c r="AC1631" t="n" s="2">
        <x:v>40262</x:v>
      </x:c>
      <x:c r="AD1631" s="0"/>
      <x:c r="AE1631" s="0"/>
      <x:c r="AF1631" s="0"/>
      <x:c r="AG1631" s="0"/>
      <x:c r="AH1631" s="0"/>
      <x:c r="AI1631" t="str" s="2">
        <x:v>555</x:v>
      </x:c>
      <x:c r="AJ1631" s="0"/>
      <x:c r="AK1631" s="0"/>
    </x:row>
    <x:row r="1632">
      <x:c r="A1632" t="str" s="2">
        <x:f>=HYPERLINK("https://rsms.futurehomex.com/lead/40263", "Diana Garcia")</x:f>
      </x:c>
      <x:c r="B1632" t="n" s="2">
        <x:v>21</x:v>
      </x:c>
      <x:c r="C1632" t="str" s="2">
        <x:v>0/1</x:v>
      </x:c>
      <x:c r="D1632" t="str" s="2">
        <x:f>="CASH"</x:f>
      </x:c>
      <x:c r="E1632" t="str" s="2">
        <x:v>Hector Reyes</x:v>
      </x:c>
      <x:c r="F1632" t="str" s="2">
        <x:v>Walk-in</x:v>
      </x:c>
      <x:c r="G1632" t="str" s="2">
        <x:v>Heritage Housing of Athens</x:v>
      </x:c>
      <x:c r="H1632" t="str" s="2">
        <x:v>Ethan Fossett</x:v>
      </x:c>
      <x:c r="I1632" s="0"/>
      <x:c r="J1632" s="0"/>
      <x:c r="K1632" t="n" s="2">
        <x:v>5</x:v>
      </x:c>
      <x:c r="L1632" t="str" s="2">
        <x:v>1.1</x:v>
      </x:c>
      <x:c r="M1632" t="str" s="2">
        <x:v>Active</x:v>
      </x:c>
      <x:c r="N1632" t="str" s="2">
        <x:v>Prospect</x:v>
      </x:c>
      <x:c r="O1632" s="0"/>
      <x:c r="P1632" s="6">
        <x:v>46287</x:v>
      </x:c>
      <x:c r="Q1632" s="6">
        <x:v>46304.672839039355</x:v>
      </x:c>
      <x:c r="R1632" s="0"/>
      <x:c r="S1632" s="6">
        <x:v>46287</x:v>
      </x:c>
      <x:c r="T1632" s="0"/>
      <x:c r="U1632" s="0"/>
      <x:c r="V1632" s="0"/>
      <x:c r="W1632" s="0"/>
      <x:c r="X1632" t="str" s="2">
        <x:v>7063517539</x:v>
      </x:c>
      <x:c r="Y1632" t="str" s="2">
        <x:v>diana.hector2016@gmail.com</x:v>
      </x:c>
      <x:c r="Z1632" s="6">
        <x:v>46295.67196273148</x:v>
      </x:c>
      <x:c r="AA1632" t="str" s="2">
        <x:v>Ethan Fossett</x:v>
      </x:c>
      <x:c r="AB1632" s="6">
        <x:v>46287.69157832176</x:v>
      </x:c>
      <x:c r="AC1632" t="n" s="2">
        <x:v>40263</x:v>
      </x:c>
      <x:c r="AD1632" s="0"/>
      <x:c r="AE1632" s="0"/>
      <x:c r="AF1632" s="0"/>
      <x:c r="AG1632" s="7">
        <x:v>50000</x:v>
      </x:c>
      <x:c r="AH1632" s="0"/>
      <x:c r="AI1632" s="0"/>
      <x:c r="AJ1632" s="0"/>
      <x:c r="AK1632" s="0"/>
    </x:row>
    <x:row r="1633">
      <x:c r="A1633" t="str" s="2">
        <x:f>=HYPERLINK("https://rsms.futurehomex.com/lead/40264", "Mauricio Hernandez z")</x:f>
      </x:c>
      <x:c r="B1633" t="n" s="2">
        <x:v>21</x:v>
      </x:c>
      <x:c r="C1633" t="str" s="2">
        <x:v/>
      </x:c>
      <x:c r="D1633" t="str" s="2">
        <x:f>=""</x:f>
      </x:c>
      <x:c r="E1633" s="0"/>
      <x:c r="F1633" t="str" s="2">
        <x:v>Walk-in</x:v>
      </x:c>
      <x:c r="G1633" t="str" s="2">
        <x:v>Heritage Housing of Asheboro</x:v>
      </x:c>
      <x:c r="H1633" t="str" s="2">
        <x:v>Kate Gutierrez</x:v>
      </x:c>
      <x:c r="I1633" s="0"/>
      <x:c r="J1633" s="0"/>
      <x:c r="K1633" t="n" s="2">
        <x:v>38</x:v>
      </x:c>
      <x:c r="L1633" t="str" s="2">
        <x:v>3.2</x:v>
      </x:c>
      <x:c r="M1633" t="str" s="2">
        <x:v>Tentative</x:v>
      </x:c>
      <x:c r="N1633" t="str" s="2">
        <x:v>Application</x:v>
      </x:c>
      <x:c r="O1633" s="0"/>
      <x:c r="P1633" s="6">
        <x:v>46287</x:v>
      </x:c>
      <x:c r="Q1633" s="6">
        <x:v>46288.81890636574</x:v>
      </x:c>
      <x:c r="R1633" s="0"/>
      <x:c r="S1633" s="0"/>
      <x:c r="T1633" s="0"/>
      <x:c r="U1633" s="0"/>
      <x:c r="V1633" s="0"/>
      <x:c r="W1633" s="0"/>
      <x:c r="X1633" t="str" s="2">
        <x:v>3366534473</x:v>
      </x:c>
      <x:c r="Y1633" t="str" s="2">
        <x:v>hernandezmauricio214@gmail.com</x:v>
      </x:c>
      <x:c r="Z1633" s="6">
        <x:v>46288.854612118055</x:v>
      </x:c>
      <x:c r="AA1633" t="str" s="2">
        <x:v>Jeremy Jacques</x:v>
      </x:c>
      <x:c r="AB1633" s="6">
        <x:v>46287.69196940972</x:v>
      </x:c>
      <x:c r="AC1633" t="n" s="2">
        <x:v>40264</x:v>
      </x:c>
      <x:c r="AD1633" s="0"/>
      <x:c r="AE1633" s="0"/>
      <x:c r="AF1633" s="0"/>
      <x:c r="AG1633" s="0"/>
      <x:c r="AH1633" s="0"/>
      <x:c r="AI1633" s="0"/>
      <x:c r="AJ1633" s="0"/>
      <x:c r="AK1633" s="0"/>
    </x:row>
    <x:row r="1634">
      <x:c r="A1634" t="str" s="2">
        <x:f>=HYPERLINK("https://rsms.futurehomex.com/lead/40265", "Carolyn Jones")</x:f>
      </x:c>
      <x:c r="B1634" t="n" s="2">
        <x:v>21</x:v>
      </x:c>
      <x:c r="C1634" t="str" s="2">
        <x:v/>
      </x:c>
      <x:c r="D1634" t="str" s="2">
        <x:f>=""</x:f>
      </x:c>
      <x:c r="E1634" s="0"/>
      <x:c r="F1634" t="str" s="2">
        <x:v>Walk-in</x:v>
      </x:c>
      <x:c r="G1634" t="str" s="2">
        <x:v>Heritage Housing of Athens</x:v>
      </x:c>
      <x:c r="H1634" t="str" s="2">
        <x:v>Nathan Bishop</x:v>
      </x:c>
      <x:c r="I1634" s="0"/>
      <x:c r="J1634" s="0"/>
      <x:c r="K1634" t="n" s="2">
        <x:v>5</x:v>
      </x:c>
      <x:c r="L1634" t="str" s="2">
        <x:v>1.1</x:v>
      </x:c>
      <x:c r="M1634" t="str" s="2">
        <x:v>Tentative</x:v>
      </x:c>
      <x:c r="N1634" t="str" s="2">
        <x:v>Prospect</x:v>
      </x:c>
      <x:c r="O1634" s="0"/>
      <x:c r="P1634" s="6">
        <x:v>46287</x:v>
      </x:c>
      <x:c r="Q1634" s="6">
        <x:v>46287.74312997685</x:v>
      </x:c>
      <x:c r="R1634" s="0"/>
      <x:c r="S1634" s="6">
        <x:v>46287</x:v>
      </x:c>
      <x:c r="T1634" s="0"/>
      <x:c r="U1634" s="0"/>
      <x:c r="V1634" s="0"/>
      <x:c r="W1634" s="0"/>
      <x:c r="X1634" t="str" s="2">
        <x:v>4044529922</x:v>
      </x:c>
      <x:c r="Y1634" t="str" s="2">
        <x:v>mamaflyswatt@aol.com</x:v>
      </x:c>
      <x:c r="Z1634" s="6">
        <x:v>46287.74272017361</x:v>
      </x:c>
      <x:c r="AA1634" t="str" s="2">
        <x:v>Nathan Bishop</x:v>
      </x:c>
      <x:c r="AB1634" s="6">
        <x:v>46287.69899679398</x:v>
      </x:c>
      <x:c r="AC1634" t="n" s="2">
        <x:v>40265</x:v>
      </x:c>
      <x:c r="AD1634" s="0"/>
      <x:c r="AE1634" s="0"/>
      <x:c r="AF1634" s="0"/>
      <x:c r="AG1634" s="0"/>
      <x:c r="AH1634" s="0"/>
      <x:c r="AI1634" s="0"/>
      <x:c r="AJ1634" s="0"/>
      <x:c r="AK1634" s="0"/>
    </x:row>
    <x:row r="1635">
      <x:c r="A1635" t="str" s="2">
        <x:f>=HYPERLINK("https://rsms.futurehomex.com/lead/40266", "Mary Willams")</x:f>
      </x:c>
      <x:c r="B1635" t="n" s="2">
        <x:v>21</x:v>
      </x:c>
      <x:c r="C1635" t="str" s="2">
        <x:v/>
      </x:c>
      <x:c r="D1635" t="str" s="2">
        <x:f>=""</x:f>
      </x:c>
      <x:c r="E1635" s="0"/>
      <x:c r="F1635" t="str" s="2">
        <x:v>Office Hot Calls</x:v>
      </x:c>
      <x:c r="G1635" t="str" s="2">
        <x:v>Heritage Housing of Albany</x:v>
      </x:c>
      <x:c r="H1635" t="str" s="2">
        <x:v>Yanet Alvarez</x:v>
      </x:c>
      <x:c r="I1635" s="0"/>
      <x:c r="J1635" t="str" s="2">
        <x:v>Yanet Alvarez</x:v>
      </x:c>
      <x:c r="K1635" t="n" s="2">
        <x:v>5</x:v>
      </x:c>
      <x:c r="L1635" t="str" s="2">
        <x:v>1.1</x:v>
      </x:c>
      <x:c r="M1635" t="str" s="2">
        <x:v>Tentative</x:v>
      </x:c>
      <x:c r="N1635" t="str" s="2">
        <x:v>Deal Created</x:v>
      </x:c>
      <x:c r="O1635" s="0"/>
      <x:c r="P1635" s="6">
        <x:v>46287</x:v>
      </x:c>
      <x:c r="Q1635" s="6">
        <x:v>46287.69977673611</x:v>
      </x:c>
      <x:c r="R1635" s="0"/>
      <x:c r="S1635" s="0"/>
      <x:c r="T1635" s="0"/>
      <x:c r="U1635" s="0"/>
      <x:c r="V1635" s="0"/>
      <x:c r="W1635" s="0"/>
      <x:c r="X1635" t="str" s="2">
        <x:v>7863400630</x:v>
      </x:c>
      <x:c r="Y1635" t="str" s="2">
        <x:v>7863400630</x:v>
      </x:c>
      <x:c r="Z1635" s="6">
        <x:v>46291.55397719907</x:v>
      </x:c>
      <x:c r="AA1635" t="str" s="2">
        <x:v>Yanet Alvarez</x:v>
      </x:c>
      <x:c r="AB1635" s="6">
        <x:v>46287.69977820602</x:v>
      </x:c>
      <x:c r="AC1635" t="n" s="2">
        <x:v>40266</x:v>
      </x:c>
      <x:c r="AD1635" s="0"/>
      <x:c r="AE1635" s="0"/>
      <x:c r="AF1635" s="0"/>
      <x:c r="AG1635" s="0"/>
      <x:c r="AH1635" s="0"/>
      <x:c r="AI1635" s="0"/>
      <x:c r="AJ1635" s="0"/>
      <x:c r="AK1635" s="0"/>
    </x:row>
    <x:row r="1636">
      <x:c r="A1636" t="str" s="2">
        <x:f>=HYPERLINK("https://rsms.futurehomex.com/lead/40267", "Julio Enrique Torres")</x:f>
      </x:c>
      <x:c r="B1636" t="n" s="2">
        <x:v>21</x:v>
      </x:c>
      <x:c r="C1636" t="str" s="2">
        <x:v/>
      </x:c>
      <x:c r="D1636" t="str" s="2">
        <x:f>=""</x:f>
      </x:c>
      <x:c r="E1636" s="0"/>
      <x:c r="F1636" t="str" s="2">
        <x:v>Other</x:v>
      </x:c>
      <x:c r="G1636" t="str" s="2">
        <x:v>Heritage Housing of Oklahoma City</x:v>
      </x:c>
      <x:c r="H1636" t="str" s="2">
        <x:v>Alejandra Calderon</x:v>
      </x:c>
      <x:c r="I1636" t="str" s="2">
        <x:v>Karol Romero</x:v>
      </x:c>
      <x:c r="J1636" s="0"/>
      <x:c r="K1636" t="n" s="2">
        <x:v>5</x:v>
      </x:c>
      <x:c r="L1636" t="str" s="2">
        <x:v>1.1</x:v>
      </x:c>
      <x:c r="M1636" t="str" s="2">
        <x:v>Dead</x:v>
      </x:c>
      <x:c r="N1636" t="str" s="2">
        <x:v>Prospect</x:v>
      </x:c>
      <x:c r="O1636" s="0"/>
      <x:c r="P1636" s="6">
        <x:v>46287</x:v>
      </x:c>
      <x:c r="Q1636" s="6">
        <x:v>46287.726675694445</x:v>
      </x:c>
      <x:c r="R1636" s="0"/>
      <x:c r="S1636" s="0"/>
      <x:c r="T1636" s="0"/>
      <x:c r="U1636" s="0"/>
      <x:c r="V1636" s="0"/>
      <x:c r="W1636" s="0"/>
      <x:c r="X1636" t="str" s="2">
        <x:v>4056696181</x:v>
      </x:c>
      <x:c r="Y1636" t="str" s="2">
        <x:v>juliotorres71717@gmail.com</x:v>
      </x:c>
      <x:c r="Z1636" s="6">
        <x:v>46287.72877369213</x:v>
      </x:c>
      <x:c r="AA1636" t="str" s="2">
        <x:v>Alejandra Calderon</x:v>
      </x:c>
      <x:c r="AB1636" s="6">
        <x:v>46287.72667766204</x:v>
      </x:c>
      <x:c r="AC1636" t="n" s="2">
        <x:v>40267</x:v>
      </x:c>
      <x:c r="AD1636" s="0"/>
      <x:c r="AE1636" s="0"/>
      <x:c r="AF1636" s="0"/>
      <x:c r="AG1636" s="0"/>
      <x:c r="AH1636" s="0"/>
      <x:c r="AI1636" s="0"/>
      <x:c r="AJ1636" s="0"/>
      <x:c r="AK1636" s="0"/>
    </x:row>
    <x:row r="1637">
      <x:c r="A1637" t="str" s="2">
        <x:f>=HYPERLINK("https://rsms.futurehomex.com/lead/40268", "Heather Foster")</x:f>
      </x:c>
      <x:c r="B1637" t="n" s="2">
        <x:v>21</x:v>
      </x:c>
      <x:c r="C1637" t="str" s="2">
        <x:v>0/1</x:v>
      </x:c>
      <x:c r="D1637" t="str" s="2">
        <x:f>=""</x:f>
      </x:c>
      <x:c r="E1637" s="0"/>
      <x:c r="F1637" t="str" s="2">
        <x:v>Walk-in</x:v>
      </x:c>
      <x:c r="G1637" t="str" s="2">
        <x:v>Heritage Housing of Oklahoma City</x:v>
      </x:c>
      <x:c r="H1637" t="str" s="2">
        <x:v>Devon McCoy</x:v>
      </x:c>
      <x:c r="I1637" t="str" s="2">
        <x:v>Karol Romero</x:v>
      </x:c>
      <x:c r="J1637" t="str" s="2">
        <x:v>Devon McCoy</x:v>
      </x:c>
      <x:c r="K1637" t="n" s="2">
        <x:v>5</x:v>
      </x:c>
      <x:c r="L1637" t="str" s="2">
        <x:v>1.1</x:v>
      </x:c>
      <x:c r="M1637" t="str" s="2">
        <x:v>Dead</x:v>
      </x:c>
      <x:c r="N1637" t="str" s="2">
        <x:v>Prospect</x:v>
      </x:c>
      <x:c r="O1637" s="0"/>
      <x:c r="P1637" s="6">
        <x:v>46287</x:v>
      </x:c>
      <x:c r="Q1637" s="6">
        <x:v>46287.77640686343</x:v>
      </x:c>
      <x:c r="R1637" s="0"/>
      <x:c r="S1637" s="6">
        <x:v>46287</x:v>
      </x:c>
      <x:c r="T1637" s="0"/>
      <x:c r="U1637" s="0"/>
      <x:c r="V1637" s="0"/>
      <x:c r="W1637" s="0"/>
      <x:c r="X1637" t="str" s="2">
        <x:v>4058242582</x:v>
      </x:c>
      <x:c r="Y1637" t="str" s="2">
        <x:v>heathertattoos@gmail.com</x:v>
      </x:c>
      <x:c r="Z1637" s="6">
        <x:v>46293.59375451389</x:v>
      </x:c>
      <x:c r="AA1637" t="str" s="2">
        <x:v>Devon McCoy</x:v>
      </x:c>
      <x:c r="AB1637" s="6">
        <x:v>46287.770407407406</x:v>
      </x:c>
      <x:c r="AC1637" t="n" s="2">
        <x:v>40268</x:v>
      </x:c>
      <x:c r="AD1637" s="0"/>
      <x:c r="AE1637" s="0"/>
      <x:c r="AF1637" s="0"/>
      <x:c r="AG1637" s="7">
        <x:v>0</x:v>
      </x:c>
      <x:c r="AH1637" s="0"/>
      <x:c r="AI1637" s="0"/>
      <x:c r="AJ1637" s="0"/>
      <x:c r="AK1637" s="0"/>
    </x:row>
    <x:row r="1638">
      <x:c r="A1638" t="str" s="2">
        <x:f>=HYPERLINK("https://rsms.futurehomex.com/lead/40269", "Anya Gilmore")</x:f>
      </x:c>
      <x:c r="B1638" t="n" s="2">
        <x:v>21</x:v>
      </x:c>
      <x:c r="C1638" t="str" s="2">
        <x:v/>
      </x:c>
      <x:c r="D1638" t="str" s="2">
        <x:f>=""</x:f>
      </x:c>
      <x:c r="E1638" s="0"/>
      <x:c r="F1638" t="str" s="2">
        <x:v>Landing_BPM</x:v>
      </x:c>
      <x:c r="G1638" t="str" s="2">
        <x:v>Heritage Housing of Minden</x:v>
      </x:c>
      <x:c r="H1638" t="str" s="2">
        <x:v>Patrick Schuchart</x:v>
      </x:c>
      <x:c r="I1638" t="str" s="2">
        <x:v>Karol Romero</x:v>
      </x:c>
      <x:c r="J1638" s="0"/>
      <x:c r="K1638" t="n" s="2">
        <x:v>5</x:v>
      </x:c>
      <x:c r="L1638" t="str" s="2">
        <x:v>1.1</x:v>
      </x:c>
      <x:c r="M1638" t="str" s="2">
        <x:v>Dead</x:v>
      </x:c>
      <x:c r="N1638" t="str" s="2">
        <x:v>Prospect</x:v>
      </x:c>
      <x:c r="O1638" s="0"/>
      <x:c r="P1638" s="6">
        <x:v>46287</x:v>
      </x:c>
      <x:c r="Q1638" s="6">
        <x:v>46287.78241574074</x:v>
      </x:c>
      <x:c r="R1638" s="0"/>
      <x:c r="S1638" s="0"/>
      <x:c r="T1638" s="0"/>
      <x:c r="U1638" s="0"/>
      <x:c r="V1638" s="0"/>
      <x:c r="W1638" s="0"/>
      <x:c r="X1638" t="str" s="2">
        <x:v>3184643612</x:v>
      </x:c>
      <x:c r="Y1638" t="str" s="2">
        <x:v>ag4336229@gmail.com</x:v>
      </x:c>
      <x:c r="Z1638" s="6">
        <x:v>46287.8880366088</x:v>
      </x:c>
      <x:c r="AA1638" t="str" s="2">
        <x:v>Patrick Schuchart</x:v>
      </x:c>
      <x:c r="AB1638" s="6">
        <x:v>46287.77893244213</x:v>
      </x:c>
      <x:c r="AC1638" t="n" s="2">
        <x:v>40269</x:v>
      </x:c>
      <x:c r="AD1638" s="0"/>
      <x:c r="AE1638" s="0"/>
      <x:c r="AF1638" s="0"/>
      <x:c r="AG1638" s="0"/>
      <x:c r="AH1638" s="0"/>
      <x:c r="AI1638" s="0"/>
      <x:c r="AJ1638" s="0"/>
      <x:c r="AK1638" s="0"/>
    </x:row>
    <x:row r="1639">
      <x:c r="A1639" t="str" s="2">
        <x:f>=HYPERLINK("https://rsms.futurehomex.com/lead/40270", "Pedro Villalba")</x:f>
      </x:c>
      <x:c r="B1639" t="n" s="2">
        <x:v>21</x:v>
      </x:c>
      <x:c r="C1639" t="str" s="2">
        <x:v/>
      </x:c>
      <x:c r="D1639" t="str" s="2">
        <x:f>=""</x:f>
      </x:c>
      <x:c r="E1639" s="0"/>
      <x:c r="F1639" t="str" s="2">
        <x:v>Youtube</x:v>
      </x:c>
      <x:c r="G1639" t="str" s="2">
        <x:v>Heritage Housing Mt Pleasant</x:v>
      </x:c>
      <x:c r="H1639" t="str" s="2">
        <x:v>Yarelis Torres</x:v>
      </x:c>
      <x:c r="I1639" s="0"/>
      <x:c r="J1639" s="0"/>
      <x:c r="K1639" t="n" s="2">
        <x:v>5</x:v>
      </x:c>
      <x:c r="L1639" t="str" s="2">
        <x:v>1.1</x:v>
      </x:c>
      <x:c r="M1639" t="str" s="2">
        <x:v>Tentative</x:v>
      </x:c>
      <x:c r="N1639" t="str" s="2">
        <x:v>Prospect</x:v>
      </x:c>
      <x:c r="O1639" s="0"/>
      <x:c r="P1639" s="6">
        <x:v>46287</x:v>
      </x:c>
      <x:c r="Q1639" s="6">
        <x:v>46287.78083321759</x:v>
      </x:c>
      <x:c r="R1639" s="0"/>
      <x:c r="S1639" s="0"/>
      <x:c r="T1639" s="0"/>
      <x:c r="U1639" s="0"/>
      <x:c r="V1639" s="0"/>
      <x:c r="W1639" s="0"/>
      <x:c r="X1639" t="str" s="2">
        <x:v>2107629075</x:v>
      </x:c>
      <x:c r="Y1639" t="str" s="2">
        <x:v>gyps.sa210@gmail.com</x:v>
      </x:c>
      <x:c r="Z1639" s="0"/>
      <x:c r="AA1639" s="0"/>
      <x:c r="AB1639" s="6">
        <x:v>46287.780834178244</x:v>
      </x:c>
      <x:c r="AC1639" t="n" s="2">
        <x:v>40270</x:v>
      </x:c>
      <x:c r="AD1639" s="0"/>
      <x:c r="AE1639" s="0"/>
      <x:c r="AF1639" s="0"/>
      <x:c r="AG1639" s="0"/>
      <x:c r="AH1639" s="0"/>
      <x:c r="AI1639" s="0"/>
      <x:c r="AJ1639" s="0"/>
      <x:c r="AK1639" s="0"/>
    </x:row>
    <x:row r="1640">
      <x:c r="A1640" t="str" s="2">
        <x:f>=HYPERLINK("https://rsms.futurehomex.com/lead/40271", "Natalia Castro")</x:f>
      </x:c>
      <x:c r="B1640" t="n" s="2">
        <x:v>21</x:v>
      </x:c>
      <x:c r="C1640" t="str" s="2">
        <x:v/>
      </x:c>
      <x:c r="D1640" t="str" s="2">
        <x:f>=""</x:f>
      </x:c>
      <x:c r="E1640" s="0"/>
      <x:c r="F1640" t="str" s="2">
        <x:v>Facebook Messenger</x:v>
      </x:c>
      <x:c r="G1640" t="str" s="2">
        <x:v>Heritage Housing Mt Pleasant</x:v>
      </x:c>
      <x:c r="H1640" t="str" s="2">
        <x:v>Sandra Saldana</x:v>
      </x:c>
      <x:c r="I1640" s="0"/>
      <x:c r="J1640" t="str" s="2">
        <x:v>Sandra Saldana</x:v>
      </x:c>
      <x:c r="K1640" t="n" s="2">
        <x:v>5</x:v>
      </x:c>
      <x:c r="L1640" t="str" s="2">
        <x:v>1.1</x:v>
      </x:c>
      <x:c r="M1640" t="str" s="2">
        <x:v>Tentative</x:v>
      </x:c>
      <x:c r="N1640" t="str" s="2">
        <x:v>Deal Created</x:v>
      </x:c>
      <x:c r="O1640" s="0"/>
      <x:c r="P1640" s="6">
        <x:v>46287</x:v>
      </x:c>
      <x:c r="Q1640" s="6">
        <x:v>46287.78430292824</x:v>
      </x:c>
      <x:c r="R1640" s="0"/>
      <x:c r="S1640" s="0"/>
      <x:c r="T1640" s="0"/>
      <x:c r="U1640" s="0"/>
      <x:c r="V1640" s="0"/>
      <x:c r="W1640" s="0"/>
      <x:c r="X1640" t="str" s="2">
        <x:v>9034664652</x:v>
      </x:c>
      <x:c r="Y1640" t="str" s="2">
        <x:v>9034664652</x:v>
      </x:c>
      <x:c r="Z1640" s="6">
        <x:v>46287.81556851852</x:v>
      </x:c>
      <x:c r="AA1640" t="str" s="2">
        <x:v>Sandra Saldana</x:v>
      </x:c>
      <x:c r="AB1640" s="6">
        <x:v>46287.78430436343</x:v>
      </x:c>
      <x:c r="AC1640" t="n" s="2">
        <x:v>40271</x:v>
      </x:c>
      <x:c r="AD1640" s="0"/>
      <x:c r="AE1640" s="0"/>
      <x:c r="AF1640" s="0"/>
      <x:c r="AG1640" s="0"/>
      <x:c r="AH1640" s="0"/>
      <x:c r="AI1640" s="0"/>
      <x:c r="AJ1640" s="0"/>
      <x:c r="AK1640" s="0"/>
    </x:row>
    <x:row r="1641">
      <x:c r="A1641" t="str" s="2">
        <x:f>=HYPERLINK("https://rsms.futurehomex.com/lead/40272", "Jamie Frank")</x:f>
      </x:c>
      <x:c r="B1641" t="n" s="2">
        <x:v>21</x:v>
      </x:c>
      <x:c r="C1641" t="str" s="2">
        <x:v/>
      </x:c>
      <x:c r="D1641" t="str" s="2">
        <x:f>=""</x:f>
      </x:c>
      <x:c r="E1641" s="0"/>
      <x:c r="F1641" t="str" s="2">
        <x:v>Walk-in</x:v>
      </x:c>
      <x:c r="G1641" t="str" s="2">
        <x:v>Heritage Housing of Asheboro</x:v>
      </x:c>
      <x:c r="H1641" t="str" s="2">
        <x:v>Maria Lopez</x:v>
      </x:c>
      <x:c r="I1641" s="0"/>
      <x:c r="J1641" s="0"/>
      <x:c r="K1641" t="n" s="2">
        <x:v>21</x:v>
      </x:c>
      <x:c r="L1641" t="str" s="2">
        <x:v>2.1</x:v>
      </x:c>
      <x:c r="M1641" t="str" s="2">
        <x:v>Dead</x:v>
      </x:c>
      <x:c r="N1641" t="str" s="2">
        <x:v>Qualified</x:v>
      </x:c>
      <x:c r="O1641" s="0"/>
      <x:c r="P1641" s="6">
        <x:v>46287</x:v>
      </x:c>
      <x:c r="Q1641" s="6">
        <x:v>46288.85384398148</x:v>
      </x:c>
      <x:c r="R1641" s="0"/>
      <x:c r="S1641" s="0"/>
      <x:c r="T1641" s="0"/>
      <x:c r="U1641" s="0"/>
      <x:c r="V1641" s="0"/>
      <x:c r="W1641" s="0"/>
      <x:c r="X1641" t="str" s="2">
        <x:v>9109959727</x:v>
      </x:c>
      <x:c r="Y1641" t="str" s="2">
        <x:v>jamiebarnum3@yahoo.com</x:v>
      </x:c>
      <x:c r="Z1641" s="6">
        <x:v>46288.853828356485</x:v>
      </x:c>
      <x:c r="AA1641" t="str" s="2">
        <x:v>Jeremy Jacques</x:v>
      </x:c>
      <x:c r="AB1641" s="6">
        <x:v>46287.80768815972</x:v>
      </x:c>
      <x:c r="AC1641" t="n" s="2">
        <x:v>40272</x:v>
      </x:c>
      <x:c r="AD1641" s="0"/>
      <x:c r="AE1641" s="0"/>
      <x:c r="AF1641" s="0"/>
      <x:c r="AG1641" s="0"/>
      <x:c r="AH1641" s="0"/>
      <x:c r="AI1641" s="0"/>
      <x:c r="AJ1641" s="0"/>
      <x:c r="AK1641" s="0"/>
    </x:row>
    <x:row r="1642">
      <x:c r="A1642" t="str" s="2">
        <x:f>=HYPERLINK("https://rsms.futurehomex.com/lead/40273", "Jenee Stacier")</x:f>
      </x:c>
      <x:c r="B1642" t="n" s="2">
        <x:v>21</x:v>
      </x:c>
      <x:c r="C1642" t="str" s="2">
        <x:v>1/2</x:v>
      </x:c>
      <x:c r="D1642" t="str" s="2">
        <x:f>=""</x:f>
      </x:c>
      <x:c r="E1642" s="0"/>
      <x:c r="F1642" t="str" s="2">
        <x:v>Meta Ads - Messenger</x:v>
      </x:c>
      <x:c r="G1642" t="str" s="2">
        <x:v>Heritage Housing of Oklahoma City</x:v>
      </x:c>
      <x:c r="H1642" t="str" s="2">
        <x:v>Alejandra Calderon</x:v>
      </x:c>
      <x:c r="I1642" t="str" s="2">
        <x:v>Karol Romero</x:v>
      </x:c>
      <x:c r="J1642" t="str" s="2">
        <x:v>Alejandra Calderon</x:v>
      </x:c>
      <x:c r="K1642" t="n" s="2">
        <x:v>5</x:v>
      </x:c>
      <x:c r="L1642" t="str" s="2">
        <x:v>1.1</x:v>
      </x:c>
      <x:c r="M1642" t="str" s="2">
        <x:v>Inactive</x:v>
      </x:c>
      <x:c r="N1642" t="str" s="2">
        <x:v>Deal Created</x:v>
      </x:c>
      <x:c r="O1642" s="0"/>
      <x:c r="P1642" s="6">
        <x:v>46287</x:v>
      </x:c>
      <x:c r="Q1642" s="6">
        <x:v>46287.827363923614</x:v>
      </x:c>
      <x:c r="R1642" s="0"/>
      <x:c r="S1642" s="6">
        <x:v>46287</x:v>
      </x:c>
      <x:c r="T1642" s="0"/>
      <x:c r="U1642" s="0"/>
      <x:c r="V1642" s="0"/>
      <x:c r="W1642" s="0"/>
      <x:c r="X1642" t="str" s="2">
        <x:v>4054414161</x:v>
      </x:c>
      <x:c r="Y1642" t="str" s="2">
        <x:v>4054414161</x:v>
      </x:c>
      <x:c r="Z1642" s="6">
        <x:v>46295.00050524306</x:v>
      </x:c>
      <x:c r="AA1642" t="str" s="2">
        <x:v>Alejandra Calderon</x:v>
      </x:c>
      <x:c r="AB1642" s="6">
        <x:v>46287.82736565972</x:v>
      </x:c>
      <x:c r="AC1642" t="n" s="2">
        <x:v>40273</x:v>
      </x:c>
      <x:c r="AD1642" s="0"/>
      <x:c r="AE1642" s="0"/>
      <x:c r="AF1642" s="0"/>
      <x:c r="AG1642" s="0"/>
      <x:c r="AH1642" s="0"/>
      <x:c r="AI1642" s="0"/>
      <x:c r="AJ1642" s="0"/>
      <x:c r="AK1642" s="0"/>
    </x:row>
    <x:row r="1643">
      <x:c r="A1643" t="str" s="2">
        <x:f>=HYPERLINK("https://rsms.futurehomex.com/lead/40274", "Cassie Edlebeck")</x:f>
      </x:c>
      <x:c r="B1643" t="n" s="2">
        <x:v>21</x:v>
      </x:c>
      <x:c r="C1643" t="str" s="2">
        <x:v>0/4</x:v>
      </x:c>
      <x:c r="D1643" t="str" s="2">
        <x:f>=""</x:f>
      </x:c>
      <x:c r="E1643" s="0"/>
      <x:c r="F1643" t="str" s="2">
        <x:v>Youtube</x:v>
      </x:c>
      <x:c r="G1643" t="str" s="2">
        <x:v>Heritage Housing of Oklahoma City</x:v>
      </x:c>
      <x:c r="H1643" t="str" s="2">
        <x:v>Noemi Rojo</x:v>
      </x:c>
      <x:c r="I1643" s="0"/>
      <x:c r="J1643" t="str" s="2">
        <x:v>Richard Bell</x:v>
      </x:c>
      <x:c r="K1643" t="n" s="2">
        <x:v>5</x:v>
      </x:c>
      <x:c r="L1643" t="str" s="2">
        <x:v>1.1</x:v>
      </x:c>
      <x:c r="M1643" t="str" s="2">
        <x:v>Tentative</x:v>
      </x:c>
      <x:c r="N1643" t="str" s="2">
        <x:v>Deal Created</x:v>
      </x:c>
      <x:c r="O1643" s="0"/>
      <x:c r="P1643" s="6">
        <x:v>46287</x:v>
      </x:c>
      <x:c r="Q1643" s="6">
        <x:v>46294.983196875</x:v>
      </x:c>
      <x:c r="R1643" s="0"/>
      <x:c r="S1643" s="0"/>
      <x:c r="T1643" s="0"/>
      <x:c r="U1643" s="0"/>
      <x:c r="V1643" s="0"/>
      <x:c r="W1643" s="0"/>
      <x:c r="X1643" t="str" s="2">
        <x:v>5397374502</x:v>
      </x:c>
      <x:c r="Y1643" t="str" s="2">
        <x:v>Cassiee5403@gmail.com</x:v>
      </x:c>
      <x:c r="Z1643" s="6">
        <x:v>46301.72157916667</x:v>
      </x:c>
      <x:c r="AA1643" t="str" s="2">
        <x:v>Noemi Rojo</x:v>
      </x:c>
      <x:c r="AB1643" s="6">
        <x:v>46287.835385266204</x:v>
      </x:c>
      <x:c r="AC1643" t="n" s="2">
        <x:v>40274</x:v>
      </x:c>
      <x:c r="AD1643" s="0"/>
      <x:c r="AE1643" s="0"/>
      <x:c r="AF1643" s="0"/>
      <x:c r="AG1643" s="0"/>
      <x:c r="AH1643" s="0"/>
      <x:c r="AI1643" s="0"/>
      <x:c r="AJ1643" s="0"/>
      <x:c r="AK1643" s="0"/>
    </x:row>
    <x:row r="1644">
      <x:c r="A1644" t="str" s="2">
        <x:f>=HYPERLINK("https://rsms.futurehomex.com/lead/40276", "Fred Knight")</x:f>
      </x:c>
      <x:c r="B1644" t="n" s="2">
        <x:v>21</x:v>
      </x:c>
      <x:c r="C1644" t="str" s="2">
        <x:v/>
      </x:c>
      <x:c r="D1644" t="str" s="2">
        <x:f>=""</x:f>
      </x:c>
      <x:c r="E1644" s="0"/>
      <x:c r="F1644" t="str" s="2">
        <x:v>Walk-in</x:v>
      </x:c>
      <x:c r="G1644" t="str" s="2">
        <x:v>Heritage Housing of Albany</x:v>
      </x:c>
      <x:c r="H1644" t="str" s="2">
        <x:v>Alexander Bryant</x:v>
      </x:c>
      <x:c r="I1644" s="0"/>
      <x:c r="J1644" s="0"/>
      <x:c r="K1644" t="n" s="2">
        <x:v>5</x:v>
      </x:c>
      <x:c r="L1644" t="str" s="2">
        <x:v>1.1</x:v>
      </x:c>
      <x:c r="M1644" t="str" s="2">
        <x:v>Tentative</x:v>
      </x:c>
      <x:c r="N1644" t="str" s="2">
        <x:v>Prospect</x:v>
      </x:c>
      <x:c r="O1644" s="0"/>
      <x:c r="P1644" s="6">
        <x:v>46287</x:v>
      </x:c>
      <x:c r="Q1644" s="6">
        <x:v>46287.858731747685</x:v>
      </x:c>
      <x:c r="R1644" s="0"/>
      <x:c r="S1644" s="0"/>
      <x:c r="T1644" s="0"/>
      <x:c r="U1644" s="0"/>
      <x:c r="V1644" s="0"/>
      <x:c r="W1644" s="0"/>
      <x:c r="X1644" t="str" s="2">
        <x:v>9016148979</x:v>
      </x:c>
      <x:c r="Y1644" t="str" s="2">
        <x:v>fjknight84@gmail.com</x:v>
      </x:c>
      <x:c r="Z1644" s="0"/>
      <x:c r="AA1644" s="0"/>
      <x:c r="AB1644" s="6">
        <x:v>46287.85873221065</x:v>
      </x:c>
      <x:c r="AC1644" t="n" s="2">
        <x:v>40276</x:v>
      </x:c>
      <x:c r="AD1644" s="0"/>
      <x:c r="AE1644" s="0"/>
      <x:c r="AF1644" s="0"/>
      <x:c r="AG1644" s="0"/>
      <x:c r="AH1644" s="0"/>
      <x:c r="AI1644" s="0"/>
      <x:c r="AJ1644" s="0"/>
      <x:c r="AK1644" s="0"/>
    </x:row>
    <x:row r="1645">
      <x:c r="A1645" t="str" s="2">
        <x:f>=HYPERLINK("https://rsms.futurehomex.com/lead/40277", "Kyle Salazer")</x:f>
      </x:c>
      <x:c r="B1645" t="n" s="2">
        <x:v>21</x:v>
      </x:c>
      <x:c r="C1645" t="str" s="2">
        <x:v>1/6</x:v>
      </x:c>
      <x:c r="D1645" t="str" s="2">
        <x:f>=""</x:f>
      </x:c>
      <x:c r="E1645" s="0"/>
      <x:c r="F1645" t="str" s="2">
        <x:v>Facebook Messenger</x:v>
      </x:c>
      <x:c r="G1645" t="str" s="2">
        <x:v>Heritage Housing of Oklahoma City</x:v>
      </x:c>
      <x:c r="H1645" t="str" s="2">
        <x:v>Devon McCoy</x:v>
      </x:c>
      <x:c r="I1645" t="str" s="2">
        <x:v>Karol Romero</x:v>
      </x:c>
      <x:c r="J1645" s="0"/>
      <x:c r="K1645" t="n" s="2">
        <x:v>5</x:v>
      </x:c>
      <x:c r="L1645" t="str" s="2">
        <x:v>1.1</x:v>
      </x:c>
      <x:c r="M1645" t="str" s="2">
        <x:v>Tentative</x:v>
      </x:c>
      <x:c r="N1645" t="str" s="2">
        <x:v>Prospect</x:v>
      </x:c>
      <x:c r="O1645" s="0"/>
      <x:c r="P1645" s="6">
        <x:v>46287</x:v>
      </x:c>
      <x:c r="Q1645" s="6">
        <x:v>46287.872251886576</x:v>
      </x:c>
      <x:c r="R1645" s="0"/>
      <x:c r="S1645" s="0"/>
      <x:c r="T1645" s="0"/>
      <x:c r="U1645" s="0"/>
      <x:c r="V1645" s="0"/>
      <x:c r="W1645" s="0"/>
      <x:c r="X1645" t="str" s="2">
        <x:v>4056261602</x:v>
      </x:c>
      <x:c r="Y1645" t="str" s="2">
        <x:v>4056261602</x:v>
      </x:c>
      <x:c r="Z1645" s="6">
        <x:v>46300.95456107639</x:v>
      </x:c>
      <x:c r="AA1645" t="str" s="2">
        <x:v>Devon McCoy</x:v>
      </x:c>
      <x:c r="AB1645" s="6">
        <x:v>46287.872253738424</x:v>
      </x:c>
      <x:c r="AC1645" t="n" s="2">
        <x:v>40277</x:v>
      </x:c>
      <x:c r="AD1645" s="0"/>
      <x:c r="AE1645" s="0"/>
      <x:c r="AF1645" s="0"/>
      <x:c r="AG1645" s="0"/>
      <x:c r="AH1645" s="0"/>
      <x:c r="AI1645" s="0"/>
      <x:c r="AJ1645" s="0"/>
      <x:c r="AK1645" s="0"/>
    </x:row>
    <x:row r="1646">
      <x:c r="A1646" t="str" s="2">
        <x:f>=HYPERLINK("https://rsms.futurehomex.com/lead/40278", "Herberth Mayen")</x:f>
      </x:c>
      <x:c r="B1646" t="n" s="2">
        <x:v>21</x:v>
      </x:c>
      <x:c r="C1646" t="str" s="2">
        <x:v>0/1</x:v>
      </x:c>
      <x:c r="D1646" t="str" s="2">
        <x:f>=""</x:f>
      </x:c>
      <x:c r="E1646" s="0"/>
      <x:c r="F1646" t="str" s="2">
        <x:v>Walk-in</x:v>
      </x:c>
      <x:c r="G1646" t="str" s="2">
        <x:v>Legacy Housing Corp. DBA Americasa</x:v>
      </x:c>
      <x:c r="H1646" t="str" s="2">
        <x:v>Joey Marquez</x:v>
      </x:c>
      <x:c r="I1646" t="str" s="2">
        <x:v>Karol Romero</x:v>
      </x:c>
      <x:c r="J1646" s="0"/>
      <x:c r="K1646" t="n" s="2">
        <x:v>5</x:v>
      </x:c>
      <x:c r="L1646" t="str" s="2">
        <x:v>1.1</x:v>
      </x:c>
      <x:c r="M1646" t="str" s="2">
        <x:v>Tentative</x:v>
      </x:c>
      <x:c r="N1646" t="str" s="2">
        <x:v>Prospect</x:v>
      </x:c>
      <x:c r="O1646" s="0"/>
      <x:c r="P1646" s="6">
        <x:v>46287</x:v>
      </x:c>
      <x:c r="Q1646" s="6">
        <x:v>46287.87705841435</x:v>
      </x:c>
      <x:c r="R1646" s="0"/>
      <x:c r="S1646" s="0"/>
      <x:c r="T1646" s="0"/>
      <x:c r="U1646" s="0"/>
      <x:c r="V1646" s="0"/>
      <x:c r="W1646" s="0"/>
      <x:c r="X1646" t="str" s="2">
        <x:v>3463007984</x:v>
      </x:c>
      <x:c r="Y1646" t="str" s="2">
        <x:v>smithherbeth602@gmail.com</x:v>
      </x:c>
      <x:c r="Z1646" s="6">
        <x:v>46296.81018900463</x:v>
      </x:c>
      <x:c r="AA1646" t="str" s="2">
        <x:v>Joey Marquez</x:v>
      </x:c>
      <x:c r="AB1646" s="6">
        <x:v>46287.87705925926</x:v>
      </x:c>
      <x:c r="AC1646" t="n" s="2">
        <x:v>40278</x:v>
      </x:c>
      <x:c r="AD1646" s="0"/>
      <x:c r="AE1646" s="0"/>
      <x:c r="AF1646" s="0"/>
      <x:c r="AG1646" s="0"/>
      <x:c r="AH1646" s="0"/>
      <x:c r="AI1646" s="0"/>
      <x:c r="AJ1646" s="0"/>
      <x:c r="AK1646" s="0"/>
    </x:row>
    <x:row r="1647">
      <x:c r="A1647" t="str" s="2">
        <x:f>=HYPERLINK("https://rsms.futurehomex.com/lead/40279", "Bobby Williams")</x:f>
      </x:c>
      <x:c r="B1647" t="n" s="2">
        <x:v>21</x:v>
      </x:c>
      <x:c r="C1647" t="str" s="2">
        <x:v/>
      </x:c>
      <x:c r="D1647" t="str" s="2">
        <x:f>=""</x:f>
      </x:c>
      <x:c r="E1647" s="0"/>
      <x:c r="F1647" t="str" s="2">
        <x:v>Walk-in</x:v>
      </x:c>
      <x:c r="G1647" t="str" s="2">
        <x:v>Heritage Housing of Asheboro</x:v>
      </x:c>
      <x:c r="H1647" t="str" s="2">
        <x:v>Maria Lopez</x:v>
      </x:c>
      <x:c r="I1647" s="0"/>
      <x:c r="J1647" s="0"/>
      <x:c r="K1647" t="n" s="2">
        <x:v>21</x:v>
      </x:c>
      <x:c r="L1647" t="str" s="2">
        <x:v>2.1</x:v>
      </x:c>
      <x:c r="M1647" t="str" s="2">
        <x:v>Tentative</x:v>
      </x:c>
      <x:c r="N1647" t="str" s="2">
        <x:v>Qualified</x:v>
      </x:c>
      <x:c r="O1647" s="0"/>
      <x:c r="P1647" s="6">
        <x:v>46287</x:v>
      </x:c>
      <x:c r="Q1647" s="6">
        <x:v>46293.58890667824</x:v>
      </x:c>
      <x:c r="R1647" s="0"/>
      <x:c r="S1647" s="6">
        <x:v>46293</x:v>
      </x:c>
      <x:c r="T1647" s="0"/>
      <x:c r="U1647" s="0"/>
      <x:c r="V1647" s="0"/>
      <x:c r="W1647" s="0"/>
      <x:c r="X1647" t="str" s="2">
        <x:v>9107298272</x:v>
      </x:c>
      <x:c r="Y1647" t="str" s="2">
        <x:v>invinciblemysterymind@gmail.com</x:v>
      </x:c>
      <x:c r="Z1647" s="6">
        <x:v>46293.58889475695</x:v>
      </x:c>
      <x:c r="AA1647" t="str" s="2">
        <x:v>Jeremy Jacques</x:v>
      </x:c>
      <x:c r="AB1647" s="6">
        <x:v>46287.87807789352</x:v>
      </x:c>
      <x:c r="AC1647" t="n" s="2">
        <x:v>40279</x:v>
      </x:c>
      <x:c r="AD1647" s="0"/>
      <x:c r="AE1647" s="0"/>
      <x:c r="AF1647" s="0"/>
      <x:c r="AG1647" s="0"/>
      <x:c r="AH1647" s="0"/>
      <x:c r="AI1647" s="0"/>
      <x:c r="AJ1647" s="0"/>
      <x:c r="AK1647" s="0"/>
    </x:row>
    <x:row r="1648">
      <x:c r="A1648" t="str" s="2">
        <x:f>=HYPERLINK("https://rsms.futurehomex.com/lead/40280", "Anthony Paz")</x:f>
      </x:c>
      <x:c r="B1648" t="n" s="2">
        <x:v>21</x:v>
      </x:c>
      <x:c r="C1648" t="str" s="2">
        <x:v/>
      </x:c>
      <x:c r="D1648" t="str" s="2">
        <x:f>=""</x:f>
      </x:c>
      <x:c r="E1648" t="str" s="2">
        <x:v>Anthony Paz</x:v>
      </x:c>
      <x:c r="F1648" t="str" s="2">
        <x:v>Financing Form</x:v>
      </x:c>
      <x:c r="G1648" t="str" s="2">
        <x:v>Heritage Housing Mt Pleasant</x:v>
      </x:c>
      <x:c r="H1648" t="str" s="2">
        <x:v>Sandra Saldana</x:v>
      </x:c>
      <x:c r="I1648" s="0"/>
      <x:c r="J1648" t="str" s="2">
        <x:v>Sandra Saldana</x:v>
      </x:c>
      <x:c r="K1648" t="n" s="2">
        <x:v>5</x:v>
      </x:c>
      <x:c r="L1648" t="str" s="2">
        <x:v>1.1</x:v>
      </x:c>
      <x:c r="M1648" t="str" s="2">
        <x:v>Tentative</x:v>
      </x:c>
      <x:c r="N1648" t="str" s="2">
        <x:v>Prospect</x:v>
      </x:c>
      <x:c r="O1648" s="0"/>
      <x:c r="P1648" s="6">
        <x:v>46287</x:v>
      </x:c>
      <x:c r="Q1648" s="6">
        <x:v>46293.952799189814</x:v>
      </x:c>
      <x:c r="R1648" s="0"/>
      <x:c r="S1648" s="6">
        <x:v>46287</x:v>
      </x:c>
      <x:c r="T1648" s="0"/>
      <x:c r="U1648" s="0"/>
      <x:c r="V1648" s="0"/>
      <x:c r="W1648" s="0"/>
      <x:c r="X1648" t="str" s="2">
        <x:v>9033055258</x:v>
      </x:c>
      <x:c r="Y1648" t="str" s="2">
        <x:v>pazanthony02@gmail.com</x:v>
      </x:c>
      <x:c r="Z1648" s="6">
        <x:v>46287.89172681713</x:v>
      </x:c>
      <x:c r="AA1648" t="str" s="2">
        <x:v>Sandra Saldana</x:v>
      </x:c>
      <x:c r="AB1648" s="6">
        <x:v>46287.88116064815</x:v>
      </x:c>
      <x:c r="AC1648" t="n" s="2">
        <x:v>40280</x:v>
      </x:c>
      <x:c r="AD1648" s="0"/>
      <x:c r="AE1648" s="0"/>
      <x:c r="AF1648" s="0"/>
      <x:c r="AG1648" s="7">
        <x:v>3625</x:v>
      </x:c>
      <x:c r="AH1648" s="7">
        <x:v>500</x:v>
      </x:c>
      <x:c r="AI1648" s="0"/>
      <x:c r="AJ1648" s="0"/>
      <x:c r="AK1648" s="0"/>
    </x:row>
    <x:row r="1649">
      <x:c r="A1649" t="str" s="2">
        <x:f>=HYPERLINK("https://rsms.futurehomex.com/lead/40281", "Juana Villeda")</x:f>
      </x:c>
      <x:c r="B1649" t="n" s="2">
        <x:v>21</x:v>
      </x:c>
      <x:c r="C1649" t="str" s="2">
        <x:v/>
      </x:c>
      <x:c r="D1649" t="str" s="2">
        <x:f>=""</x:f>
      </x:c>
      <x:c r="E1649" s="0"/>
      <x:c r="F1649" t="str" s="2">
        <x:v>Referrals</x:v>
      </x:c>
      <x:c r="G1649" t="str" s="2">
        <x:v>Heritage Housing Mt Pleasant</x:v>
      </x:c>
      <x:c r="H1649" t="str" s="2">
        <x:v>Sandra Saldana</x:v>
      </x:c>
      <x:c r="I1649" s="0"/>
      <x:c r="J1649" t="str" s="2">
        <x:v>Sandra Saldana</x:v>
      </x:c>
      <x:c r="K1649" t="n" s="2">
        <x:v>5</x:v>
      </x:c>
      <x:c r="L1649" t="str" s="2">
        <x:v>1.1</x:v>
      </x:c>
      <x:c r="M1649" t="str" s="2">
        <x:v>Tentative</x:v>
      </x:c>
      <x:c r="N1649" t="str" s="2">
        <x:v>Deal Created</x:v>
      </x:c>
      <x:c r="O1649" s="0"/>
      <x:c r="P1649" s="6">
        <x:v>46287</x:v>
      </x:c>
      <x:c r="Q1649" s="6">
        <x:v>46287.88254864583</x:v>
      </x:c>
      <x:c r="R1649" s="0"/>
      <x:c r="S1649" s="0"/>
      <x:c r="T1649" s="0"/>
      <x:c r="U1649" s="0"/>
      <x:c r="V1649" s="0"/>
      <x:c r="W1649" s="0"/>
      <x:c r="X1649" t="str" s="2">
        <x:v>9032853438</x:v>
      </x:c>
      <x:c r="Y1649" t="str" s="2">
        <x:v>9032853438</x:v>
      </x:c>
      <x:c r="Z1649" s="6">
        <x:v>46287.95653831019</x:v>
      </x:c>
      <x:c r="AA1649" t="str" s="2">
        <x:v>Sandra Saldana</x:v>
      </x:c>
      <x:c r="AB1649" s="6">
        <x:v>46287.88255</x:v>
      </x:c>
      <x:c r="AC1649" t="n" s="2">
        <x:v>40281</x:v>
      </x:c>
      <x:c r="AD1649" s="0"/>
      <x:c r="AE1649" s="0"/>
      <x:c r="AF1649" s="0"/>
      <x:c r="AG1649" s="0"/>
      <x:c r="AH1649" s="0"/>
      <x:c r="AI1649" s="0"/>
      <x:c r="AJ1649" s="0"/>
      <x:c r="AK1649" s="0"/>
    </x:row>
    <x:row r="1650">
      <x:c r="A1650" t="str" s="2">
        <x:f>=HYPERLINK("https://rsms.futurehomex.com/lead/40282", "Rachel Zhang")</x:f>
      </x:c>
      <x:c r="B1650" t="n" s="2">
        <x:v>21</x:v>
      </x:c>
      <x:c r="C1650" t="str" s="2">
        <x:v>0/1</x:v>
      </x:c>
      <x:c r="D1650" t="str" s="2">
        <x:f>=""</x:f>
      </x:c>
      <x:c r="E1650" s="0"/>
      <x:c r="F1650" t="str" s="2">
        <x:v>Landing_BPM</x:v>
      </x:c>
      <x:c r="G1650" t="str" s="2">
        <x:v>Heritage Housing of Minden</x:v>
      </x:c>
      <x:c r="H1650" t="str" s="2">
        <x:v>Patrick Schuchart</x:v>
      </x:c>
      <x:c r="I1650" t="str" s="2">
        <x:v>Karol Romero</x:v>
      </x:c>
      <x:c r="J1650" t="str" s="2">
        <x:v>Patrick Schuchart</x:v>
      </x:c>
      <x:c r="K1650" t="n" s="2">
        <x:v>5</x:v>
      </x:c>
      <x:c r="L1650" t="str" s="2">
        <x:v>1.1</x:v>
      </x:c>
      <x:c r="M1650" t="str" s="2">
        <x:v>Tentative</x:v>
      </x:c>
      <x:c r="N1650" t="str" s="2">
        <x:v>Deal Created</x:v>
      </x:c>
      <x:c r="O1650" s="0"/>
      <x:c r="P1650" s="6">
        <x:v>46287</x:v>
      </x:c>
      <x:c r="Q1650" s="6">
        <x:v>46287.88673873842</x:v>
      </x:c>
      <x:c r="R1650" t="str" s="2">
        <x:v>Patrick Schuchart</x:v>
      </x:c>
      <x:c r="S1650" s="0"/>
      <x:c r="T1650" s="0"/>
      <x:c r="U1650" s="0"/>
      <x:c r="V1650" s="0"/>
      <x:c r="W1650" s="0"/>
      <x:c r="X1650" t="str" s="2">
        <x:v>8703628381</x:v>
      </x:c>
      <x:c r="Y1650" t="str" s="2">
        <x:v>8703628381</x:v>
      </x:c>
      <x:c r="Z1650" s="6">
        <x:v>46295.78874429398</x:v>
      </x:c>
      <x:c r="AA1650" t="str" s="2">
        <x:v>Kyla Brown</x:v>
      </x:c>
      <x:c r="AB1650" s="6">
        <x:v>46287.8862278588</x:v>
      </x:c>
      <x:c r="AC1650" t="n" s="2">
        <x:v>40282</x:v>
      </x:c>
      <x:c r="AD1650" s="0"/>
      <x:c r="AE1650" s="0"/>
      <x:c r="AF1650" s="0"/>
      <x:c r="AG1650" s="0"/>
      <x:c r="AH1650" s="0"/>
      <x:c r="AI1650" s="0"/>
      <x:c r="AJ1650" s="0"/>
      <x:c r="AK1650" s="0"/>
    </x:row>
    <x:row r="1651">
      <x:c r="A1651" t="str" s="2">
        <x:f>=HYPERLINK("https://rsms.futurehomex.com/lead/40283", "Andre Mason")</x:f>
      </x:c>
      <x:c r="B1651" t="n" s="2">
        <x:v>21</x:v>
      </x:c>
      <x:c r="C1651" t="str" s="2">
        <x:v/>
      </x:c>
      <x:c r="D1651" t="str" s="2">
        <x:f>=""</x:f>
      </x:c>
      <x:c r="E1651" s="0"/>
      <x:c r="F1651" t="str" s="2">
        <x:v>Walk-in</x:v>
      </x:c>
      <x:c r="G1651" t="str" s="2">
        <x:v>Heritage Housing of Athens</x:v>
      </x:c>
      <x:c r="H1651" t="str" s="2">
        <x:v>Ethan Fossett</x:v>
      </x:c>
      <x:c r="I1651" s="0"/>
      <x:c r="J1651" s="0"/>
      <x:c r="K1651" t="n" s="2">
        <x:v>5</x:v>
      </x:c>
      <x:c r="L1651" t="str" s="2">
        <x:v>1.1</x:v>
      </x:c>
      <x:c r="M1651" t="str" s="2">
        <x:v>Tentative</x:v>
      </x:c>
      <x:c r="N1651" t="str" s="2">
        <x:v>Prospect</x:v>
      </x:c>
      <x:c r="O1651" s="0"/>
      <x:c r="P1651" s="6">
        <x:v>46287</x:v>
      </x:c>
      <x:c r="Q1651" s="6">
        <x:v>46287.90754664352</x:v>
      </x:c>
      <x:c r="R1651" s="0"/>
      <x:c r="S1651" s="0"/>
      <x:c r="T1651" s="0"/>
      <x:c r="U1651" s="0"/>
      <x:c r="V1651" s="0"/>
      <x:c r="W1651" s="0"/>
      <x:c r="X1651" t="str" s="2">
        <x:v>4042776693</x:v>
      </x:c>
      <x:c r="Y1651" t="str" s="2">
        <x:v>mason3amxox@gmail.com</x:v>
      </x:c>
      <x:c r="Z1651" s="6">
        <x:v>46287.93206704861</x:v>
      </x:c>
      <x:c r="AA1651" t="str" s="2">
        <x:v>Ethan Fossett</x:v>
      </x:c>
      <x:c r="AB1651" s="6">
        <x:v>46287.90754710648</x:v>
      </x:c>
      <x:c r="AC1651" t="n" s="2">
        <x:v>40283</x:v>
      </x:c>
      <x:c r="AD1651" s="0"/>
      <x:c r="AE1651" s="0"/>
      <x:c r="AF1651" s="0"/>
      <x:c r="AG1651" s="0"/>
      <x:c r="AH1651" s="0"/>
      <x:c r="AI1651" s="0"/>
      <x:c r="AJ1651" s="0"/>
      <x:c r="AK1651" s="0"/>
    </x:row>
    <x:row r="1652">
      <x:c r="A1652" t="str" s="2">
        <x:f>=HYPERLINK("https://rsms.futurehomex.com/lead/40286", "Marliee Daugherity")</x:f>
      </x:c>
      <x:c r="B1652" t="n" s="2">
        <x:v>21</x:v>
      </x:c>
      <x:c r="C1652" t="str" s="2">
        <x:v/>
      </x:c>
      <x:c r="D1652" t="str" s="2">
        <x:f>=""</x:f>
      </x:c>
      <x:c r="E1652" s="0"/>
      <x:c r="F1652" t="str" s="2">
        <x:v>Office Hot Calls</x:v>
      </x:c>
      <x:c r="G1652" t="str" s="2">
        <x:v>Heritage Housing of Oklahoma City</x:v>
      </x:c>
      <x:c r="H1652" t="str" s="2">
        <x:v>Steve Castell</x:v>
      </x:c>
      <x:c r="I1652" s="0"/>
      <x:c r="J1652" t="str" s="2">
        <x:v>Steve Castell</x:v>
      </x:c>
      <x:c r="K1652" t="n" s="2">
        <x:v>5</x:v>
      </x:c>
      <x:c r="L1652" t="str" s="2">
        <x:v>1.1</x:v>
      </x:c>
      <x:c r="M1652" t="str" s="2">
        <x:v>Inactive</x:v>
      </x:c>
      <x:c r="N1652" t="str" s="2">
        <x:v>Deal Created</x:v>
      </x:c>
      <x:c r="O1652" s="0"/>
      <x:c r="P1652" s="6">
        <x:v>46287</x:v>
      </x:c>
      <x:c r="Q1652" s="6">
        <x:v>46287.976966435184</x:v>
      </x:c>
      <x:c r="R1652" s="0"/>
      <x:c r="S1652" s="0"/>
      <x:c r="T1652" s="0"/>
      <x:c r="U1652" s="0"/>
      <x:c r="V1652" s="0"/>
      <x:c r="W1652" s="0"/>
      <x:c r="X1652" t="str" s="2">
        <x:v>4177669186</x:v>
      </x:c>
      <x:c r="Y1652" t="str" s="2">
        <x:v>marileedaugherity@gmail.com</x:v>
      </x:c>
      <x:c r="Z1652" s="0"/>
      <x:c r="AA1652" s="0"/>
      <x:c r="AB1652" s="6">
        <x:v>46287.97696693287</x:v>
      </x:c>
      <x:c r="AC1652" t="n" s="2">
        <x:v>40286</x:v>
      </x:c>
      <x:c r="AD1652" s="0"/>
      <x:c r="AE1652" s="0"/>
      <x:c r="AF1652" s="0"/>
      <x:c r="AG1652" s="0"/>
      <x:c r="AH1652" s="0"/>
      <x:c r="AI1652" s="0"/>
      <x:c r="AJ1652" s="0"/>
      <x:c r="AK1652" s="0"/>
    </x:row>
    <x:row r="1653">
      <x:c r="A1653" t="str" s="2">
        <x:f>=HYPERLINK("https://rsms.futurehomex.com/lead/40287", "Ciera Andrews")</x:f>
      </x:c>
      <x:c r="B1653" t="n" s="2">
        <x:v>20</x:v>
      </x:c>
      <x:c r="C1653" t="str" s="2">
        <x:v>1/1</x:v>
      </x:c>
      <x:c r="D1653" t="str" s="2">
        <x:f>=""</x:f>
      </x:c>
      <x:c r="E1653" s="0"/>
      <x:c r="F1653" t="str" s="2">
        <x:v>Facebook Messenger</x:v>
      </x:c>
      <x:c r="G1653" t="str" s="2">
        <x:v>Heritage Housing of Oklahoma City</x:v>
      </x:c>
      <x:c r="H1653" t="str" s="2">
        <x:v>Trey Rixleben</x:v>
      </x:c>
      <x:c r="I1653" t="str" s="2">
        <x:v>Karol Romero</x:v>
      </x:c>
      <x:c r="J1653" t="str" s="2">
        <x:v>Trey Rixleben</x:v>
      </x:c>
      <x:c r="K1653" t="n" s="2">
        <x:v>5</x:v>
      </x:c>
      <x:c r="L1653" t="str" s="2">
        <x:v>1.1</x:v>
      </x:c>
      <x:c r="M1653" t="str" s="2">
        <x:v>Tentative</x:v>
      </x:c>
      <x:c r="N1653" t="str" s="2">
        <x:v>Deal Created</x:v>
      </x:c>
      <x:c r="O1653" s="0"/>
      <x:c r="P1653" s="6">
        <x:v>46288</x:v>
      </x:c>
      <x:c r="Q1653" s="6">
        <x:v>46290.90364494213</x:v>
      </x:c>
      <x:c r="R1653" s="0"/>
      <x:c r="S1653" s="0"/>
      <x:c r="T1653" s="0"/>
      <x:c r="U1653" s="0"/>
      <x:c r="V1653" s="0"/>
      <x:c r="W1653" s="0"/>
      <x:c r="X1653" t="str" s="2">
        <x:v>4054500528</x:v>
      </x:c>
      <x:c r="Y1653" t="str" s="2">
        <x:v>cieraandrews37@gmail.com</x:v>
      </x:c>
      <x:c r="Z1653" s="6">
        <x:v>46290.90490112268</x:v>
      </x:c>
      <x:c r="AA1653" t="str" s="2">
        <x:v>Trey Rixleben</x:v>
      </x:c>
      <x:c r="AB1653" s="6">
        <x:v>46288.58818815972</x:v>
      </x:c>
      <x:c r="AC1653" t="n" s="2">
        <x:v>40287</x:v>
      </x:c>
      <x:c r="AD1653" s="0"/>
      <x:c r="AE1653" s="0"/>
      <x:c r="AF1653" s="0"/>
      <x:c r="AG1653" s="0"/>
      <x:c r="AH1653" s="0"/>
      <x:c r="AI1653" s="0"/>
      <x:c r="AJ1653" s="0"/>
      <x:c r="AK1653" s="0"/>
    </x:row>
    <x:row r="1654">
      <x:c r="A1654" t="str" s="2">
        <x:f>=HYPERLINK("https://rsms.futurehomex.com/lead/40288", "Jacy Salda")</x:f>
      </x:c>
      <x:c r="B1654" t="n" s="2">
        <x:v>20</x:v>
      </x:c>
      <x:c r="C1654" t="str" s="2">
        <x:v>0/2</x:v>
      </x:c>
      <x:c r="D1654" t="str" s="2">
        <x:f>=""</x:f>
      </x:c>
      <x:c r="E1654" s="0"/>
      <x:c r="F1654" t="str" s="2">
        <x:v>Landing_BPM</x:v>
      </x:c>
      <x:c r="G1654" t="str" s="2">
        <x:v>Heritage Housing of Oklahoma City</x:v>
      </x:c>
      <x:c r="H1654" t="str" s="2">
        <x:v>Trey Rixleben</x:v>
      </x:c>
      <x:c r="I1654" s="0"/>
      <x:c r="J1654" t="str" s="2">
        <x:v>Trey Rixleben</x:v>
      </x:c>
      <x:c r="K1654" t="n" s="2">
        <x:v>5</x:v>
      </x:c>
      <x:c r="L1654" t="str" s="2">
        <x:v>1.1</x:v>
      </x:c>
      <x:c r="M1654" t="str" s="2">
        <x:v>Dead</x:v>
      </x:c>
      <x:c r="N1654" t="str" s="2">
        <x:v>Deal Created</x:v>
      </x:c>
      <x:c r="O1654" s="0"/>
      <x:c r="P1654" s="6">
        <x:v>46288</x:v>
      </x:c>
      <x:c r="Q1654" s="6">
        <x:v>46295.946698611115</x:v>
      </x:c>
      <x:c r="R1654" s="0"/>
      <x:c r="S1654" s="0"/>
      <x:c r="T1654" s="0"/>
      <x:c r="U1654" s="0"/>
      <x:c r="V1654" s="0"/>
      <x:c r="W1654" s="0"/>
      <x:c r="X1654" t="str" s="2">
        <x:v>4059936652</x:v>
      </x:c>
      <x:c r="Y1654" t="str" s="2">
        <x:v>jacysalda.okc@gmail.com</x:v>
      </x:c>
      <x:c r="Z1654" s="6">
        <x:v>46296.961946296295</x:v>
      </x:c>
      <x:c r="AA1654" t="str" s="2">
        <x:v>Richard Bell</x:v>
      </x:c>
      <x:c r="AB1654" s="6">
        <x:v>46288.603575960646</x:v>
      </x:c>
      <x:c r="AC1654" t="n" s="2">
        <x:v>40288</x:v>
      </x:c>
      <x:c r="AD1654" s="0"/>
      <x:c r="AE1654" s="0"/>
      <x:c r="AF1654" s="0"/>
      <x:c r="AG1654" s="0"/>
      <x:c r="AH1654" s="0"/>
      <x:c r="AI1654" s="0"/>
      <x:c r="AJ1654" s="0"/>
      <x:c r="AK1654" s="0"/>
    </x:row>
    <x:row r="1655">
      <x:c r="A1655" t="str" s="2">
        <x:f>=HYPERLINK("https://rsms.futurehomex.com/lead/40289", "Suprena Kane")</x:f>
      </x:c>
      <x:c r="B1655" t="n" s="2">
        <x:v>20</x:v>
      </x:c>
      <x:c r="C1655" t="str" s="2">
        <x:v>1/4</x:v>
      </x:c>
      <x:c r="D1655" t="str" s="2">
        <x:f>=""</x:f>
      </x:c>
      <x:c r="E1655" s="0"/>
      <x:c r="F1655" t="str" s="2">
        <x:v>Landing_BPM</x:v>
      </x:c>
      <x:c r="G1655" t="str" s="2">
        <x:v>Heritage Housing of Oklahoma City</x:v>
      </x:c>
      <x:c r="H1655" t="str" s="2">
        <x:v>Noemi Rojo</x:v>
      </x:c>
      <x:c r="I1655" s="0"/>
      <x:c r="J1655" t="str" s="2">
        <x:v>Noemi Rojo</x:v>
      </x:c>
      <x:c r="K1655" t="n" s="2">
        <x:v>5</x:v>
      </x:c>
      <x:c r="L1655" t="str" s="2">
        <x:v>1.1</x:v>
      </x:c>
      <x:c r="M1655" t="str" s="2">
        <x:v>Tentative</x:v>
      </x:c>
      <x:c r="N1655" t="str" s="2">
        <x:v>Deal Created</x:v>
      </x:c>
      <x:c r="O1655" s="0"/>
      <x:c r="P1655" s="6">
        <x:v>46288</x:v>
      </x:c>
      <x:c r="Q1655" s="6">
        <x:v>46295.94793792824</x:v>
      </x:c>
      <x:c r="R1655" s="0"/>
      <x:c r="S1655" s="0"/>
      <x:c r="T1655" s="0"/>
      <x:c r="U1655" s="0"/>
      <x:c r="V1655" s="0"/>
      <x:c r="W1655" s="0"/>
      <x:c r="X1655" t="str" s="2">
        <x:v>9037367034</x:v>
      </x:c>
      <x:c r="Y1655" t="str" s="2">
        <x:v>suprena.sweeney@gmail.com</x:v>
      </x:c>
      <x:c r="Z1655" s="6">
        <x:v>46295.94813672454</x:v>
      </x:c>
      <x:c r="AA1655" t="str" s="2">
        <x:v>Noemi Rojo</x:v>
      </x:c>
      <x:c r="AB1655" s="6">
        <x:v>46288.60427800926</x:v>
      </x:c>
      <x:c r="AC1655" t="n" s="2">
        <x:v>40289</x:v>
      </x:c>
      <x:c r="AD1655" s="0"/>
      <x:c r="AE1655" s="0"/>
      <x:c r="AF1655" s="0"/>
      <x:c r="AG1655" s="0"/>
      <x:c r="AH1655" s="0"/>
      <x:c r="AI1655" s="0"/>
      <x:c r="AJ1655" s="0"/>
      <x:c r="AK1655" s="0"/>
    </x:row>
    <x:row r="1656">
      <x:c r="A1656" t="str" s="2">
        <x:f>=HYPERLINK("https://rsms.futurehomex.com/lead/40290", "Destiny Walters")</x:f>
      </x:c>
      <x:c r="B1656" t="n" s="2">
        <x:v>20</x:v>
      </x:c>
      <x:c r="C1656" t="str" s="2">
        <x:v>0/3</x:v>
      </x:c>
      <x:c r="D1656" t="str" s="2">
        <x:f>=""</x:f>
      </x:c>
      <x:c r="E1656" s="0"/>
      <x:c r="F1656" t="str" s="2">
        <x:v>Website</x:v>
      </x:c>
      <x:c r="G1656" t="str" s="2">
        <x:v>Heritage Housing of Oklahoma City</x:v>
      </x:c>
      <x:c r="H1656" t="str" s="2">
        <x:v>Noemi Rojo</x:v>
      </x:c>
      <x:c r="I1656" s="0"/>
      <x:c r="J1656" t="str" s="2">
        <x:v>Noemi Rojo</x:v>
      </x:c>
      <x:c r="K1656" t="n" s="2">
        <x:v>5</x:v>
      </x:c>
      <x:c r="L1656" t="str" s="2">
        <x:v>1.1</x:v>
      </x:c>
      <x:c r="M1656" t="str" s="2">
        <x:v>Tentative</x:v>
      </x:c>
      <x:c r="N1656" t="str" s="2">
        <x:v>Deal Created</x:v>
      </x:c>
      <x:c r="O1656" s="0"/>
      <x:c r="P1656" s="6">
        <x:v>46288</x:v>
      </x:c>
      <x:c r="Q1656" s="6">
        <x:v>46288.60731423611</x:v>
      </x:c>
      <x:c r="R1656" s="0"/>
      <x:c r="S1656" s="0"/>
      <x:c r="T1656" s="0"/>
      <x:c r="U1656" s="0"/>
      <x:c r="V1656" s="0"/>
      <x:c r="W1656" s="0"/>
      <x:c r="X1656" t="str" s="2">
        <x:v>(405) 400-3767</x:v>
      </x:c>
      <x:c r="Y1656" t="str" s="2">
        <x:v>Destinyawalters@gmail.com</x:v>
      </x:c>
      <x:c r="Z1656" s="6">
        <x:v>46295.94659146991</x:v>
      </x:c>
      <x:c r="AA1656" t="str" s="2">
        <x:v>Noemi Rojo</x:v>
      </x:c>
      <x:c r="AB1656" s="6">
        <x:v>46288.60681681713</x:v>
      </x:c>
      <x:c r="AC1656" t="n" s="2">
        <x:v>40290</x:v>
      </x:c>
      <x:c r="AD1656" s="0"/>
      <x:c r="AE1656" s="0"/>
      <x:c r="AF1656" s="0"/>
      <x:c r="AG1656" s="0"/>
      <x:c r="AH1656" s="0"/>
      <x:c r="AI1656" s="0"/>
      <x:c r="AJ1656" s="0"/>
      <x:c r="AK1656" s="0"/>
    </x:row>
    <x:row r="1657">
      <x:c r="A1657" t="str" s="2">
        <x:f>=HYPERLINK("https://rsms.futurehomex.com/lead/40291", "Salvador Ramirez")</x:f>
      </x:c>
      <x:c r="B1657" t="n" s="2">
        <x:v>20</x:v>
      </x:c>
      <x:c r="C1657" t="str" s="2">
        <x:v>1/2</x:v>
      </x:c>
      <x:c r="D1657" t="str" s="2">
        <x:f>=""</x:f>
      </x:c>
      <x:c r="E1657" s="0"/>
      <x:c r="F1657" t="str" s="2">
        <x:v>Walk-in</x:v>
      </x:c>
      <x:c r="G1657" t="str" s="2">
        <x:v>Heritage Housing of Oklahoma City</x:v>
      </x:c>
      <x:c r="H1657" t="str" s="2">
        <x:v>Alejandra Calderon</x:v>
      </x:c>
      <x:c r="I1657" s="0"/>
      <x:c r="J1657" t="str" s="2">
        <x:v>Alejandra Calderon</x:v>
      </x:c>
      <x:c r="K1657" t="n" s="2">
        <x:v>5</x:v>
      </x:c>
      <x:c r="L1657" t="str" s="2">
        <x:v>1.1</x:v>
      </x:c>
      <x:c r="M1657" t="str" s="2">
        <x:v>Tentative</x:v>
      </x:c>
      <x:c r="N1657" t="str" s="2">
        <x:v>Deal Created</x:v>
      </x:c>
      <x:c r="O1657" s="0"/>
      <x:c r="P1657" s="6">
        <x:v>46288</x:v>
      </x:c>
      <x:c r="Q1657" s="6">
        <x:v>46288.60890366898</x:v>
      </x:c>
      <x:c r="R1657" s="0"/>
      <x:c r="S1657" s="0"/>
      <x:c r="T1657" s="0"/>
      <x:c r="U1657" s="0"/>
      <x:c r="V1657" s="0"/>
      <x:c r="W1657" s="0"/>
      <x:c r="X1657" t="str" s="2">
        <x:v>4055030330</x:v>
      </x:c>
      <x:c r="Y1657" t="str" s="2">
        <x:v>salvadorramirez@gmail.com</x:v>
      </x:c>
      <x:c r="Z1657" s="6">
        <x:v>46290.94364892361</x:v>
      </x:c>
      <x:c r="AA1657" t="str" s="2">
        <x:v>Alejandra Calderon</x:v>
      </x:c>
      <x:c r="AB1657" s="6">
        <x:v>46288.608904050925</x:v>
      </x:c>
      <x:c r="AC1657" t="n" s="2">
        <x:v>40291</x:v>
      </x:c>
      <x:c r="AD1657" s="0"/>
      <x:c r="AE1657" s="0"/>
      <x:c r="AF1657" s="0"/>
      <x:c r="AG1657" s="0"/>
      <x:c r="AH1657" s="0"/>
      <x:c r="AI1657" s="0"/>
      <x:c r="AJ1657" s="0"/>
      <x:c r="AK1657" s="0"/>
    </x:row>
    <x:row r="1658">
      <x:c r="A1658" t="str" s="2">
        <x:f>=HYPERLINK("https://rsms.futurehomex.com/lead/40292", "Jacob Walkup")</x:f>
      </x:c>
      <x:c r="B1658" t="n" s="2">
        <x:v>20</x:v>
      </x:c>
      <x:c r="C1658" t="str" s="2">
        <x:v>1/4</x:v>
      </x:c>
      <x:c r="D1658" t="str" s="2">
        <x:f>=""</x:f>
      </x:c>
      <x:c r="E1658" s="0"/>
      <x:c r="F1658" t="str" s="2">
        <x:v>Landing_BPM</x:v>
      </x:c>
      <x:c r="G1658" t="str" s="2">
        <x:v>Heritage Housing of Oklahoma City</x:v>
      </x:c>
      <x:c r="H1658" t="str" s="2">
        <x:v>Alejandra Calderon</x:v>
      </x:c>
      <x:c r="I1658" s="0"/>
      <x:c r="J1658" t="str" s="2">
        <x:v>Alejandra Calderon</x:v>
      </x:c>
      <x:c r="K1658" t="n" s="2">
        <x:v>5</x:v>
      </x:c>
      <x:c r="L1658" t="str" s="2">
        <x:v>1.1</x:v>
      </x:c>
      <x:c r="M1658" t="str" s="2">
        <x:v>Tentative</x:v>
      </x:c>
      <x:c r="N1658" t="str" s="2">
        <x:v>Deal Created</x:v>
      </x:c>
      <x:c r="O1658" s="0"/>
      <x:c r="P1658" s="6">
        <x:v>46288</x:v>
      </x:c>
      <x:c r="Q1658" s="6">
        <x:v>46296.958111921296</x:v>
      </x:c>
      <x:c r="R1658" s="0"/>
      <x:c r="S1658" s="0"/>
      <x:c r="T1658" s="0"/>
      <x:c r="U1658" s="0"/>
      <x:c r="V1658" s="0"/>
      <x:c r="W1658" s="0"/>
      <x:c r="X1658" t="str" s="2">
        <x:v>4055148787</x:v>
      </x:c>
      <x:c r="Y1658" t="str" s="2">
        <x:v>jwalkup707@gmail.com</x:v>
      </x:c>
      <x:c r="Z1658" s="6">
        <x:v>46303.961204479165</x:v>
      </x:c>
      <x:c r="AA1658" t="str" s="2">
        <x:v>Alejandra Calderon</x:v>
      </x:c>
      <x:c r="AB1658" s="6">
        <x:v>46288.6094934375</x:v>
      </x:c>
      <x:c r="AC1658" t="n" s="2">
        <x:v>40292</x:v>
      </x:c>
      <x:c r="AD1658" s="0"/>
      <x:c r="AE1658" s="0"/>
      <x:c r="AF1658" s="0"/>
      <x:c r="AG1658" s="0"/>
      <x:c r="AH1658" s="0"/>
      <x:c r="AI1658" s="0"/>
      <x:c r="AJ1658" s="0"/>
      <x:c r="AK1658" s="0"/>
    </x:row>
    <x:row r="1659">
      <x:c r="A1659" t="str" s="2">
        <x:f>=HYPERLINK("https://rsms.futurehomex.com/lead/40294", "Dakota Canada")</x:f>
      </x:c>
      <x:c r="B1659" t="n" s="2">
        <x:v>20</x:v>
      </x:c>
      <x:c r="C1659" t="str" s="2">
        <x:v>0/8</x:v>
      </x:c>
      <x:c r="D1659" t="str" s="2">
        <x:f>=""</x:f>
      </x:c>
      <x:c r="E1659" s="0"/>
      <x:c r="F1659" t="str" s="2">
        <x:v>Facebook Messenger</x:v>
      </x:c>
      <x:c r="G1659" t="str" s="2">
        <x:v>Heritage Housing of Oklahoma City</x:v>
      </x:c>
      <x:c r="H1659" t="str" s="2">
        <x:v>Devon McCoy</x:v>
      </x:c>
      <x:c r="I1659" t="str" s="2">
        <x:v>Karol Romero</x:v>
      </x:c>
      <x:c r="J1659" t="str" s="2">
        <x:v>Devon McCoy</x:v>
      </x:c>
      <x:c r="K1659" t="n" s="2">
        <x:v>5</x:v>
      </x:c>
      <x:c r="L1659" t="str" s="2">
        <x:v>1.1</x:v>
      </x:c>
      <x:c r="M1659" t="str" s="2">
        <x:v>Tentative</x:v>
      </x:c>
      <x:c r="N1659" t="str" s="2">
        <x:v>Deal Created</x:v>
      </x:c>
      <x:c r="O1659" s="0"/>
      <x:c r="P1659" s="6">
        <x:v>46288</x:v>
      </x:c>
      <x:c r="Q1659" s="6">
        <x:v>46288.67617908565</x:v>
      </x:c>
      <x:c r="R1659" s="0"/>
      <x:c r="S1659" s="0"/>
      <x:c r="T1659" s="0"/>
      <x:c r="U1659" s="0"/>
      <x:c r="V1659" s="0"/>
      <x:c r="W1659" s="0"/>
      <x:c r="X1659" t="str" s="2">
        <x:v>3048439799</x:v>
      </x:c>
      <x:c r="Y1659" t="str" s="2">
        <x:v>3048439799</x:v>
      </x:c>
      <x:c r="Z1659" s="6">
        <x:v>46304.68306739583</x:v>
      </x:c>
      <x:c r="AA1659" t="str" s="2">
        <x:v>Devon McCoy</x:v>
      </x:c>
      <x:c r="AB1659" s="6">
        <x:v>46288.66107581019</x:v>
      </x:c>
      <x:c r="AC1659" t="n" s="2">
        <x:v>40294</x:v>
      </x:c>
      <x:c r="AD1659" s="0"/>
      <x:c r="AE1659" s="0"/>
      <x:c r="AF1659" s="0"/>
      <x:c r="AG1659" s="7">
        <x:v>80000</x:v>
      </x:c>
      <x:c r="AH1659" s="0"/>
      <x:c r="AI1659" s="0"/>
      <x:c r="AJ1659" s="0"/>
      <x:c r="AK1659" s="0"/>
    </x:row>
    <x:row r="1660">
      <x:c r="A1660" t="str" s="2">
        <x:f>=HYPERLINK("https://rsms.futurehomex.com/lead/40296", "Jacob West")</x:f>
      </x:c>
      <x:c r="B1660" t="n" s="2">
        <x:v>20</x:v>
      </x:c>
      <x:c r="C1660" t="str" s="2">
        <x:v/>
      </x:c>
      <x:c r="D1660" t="str" s="2">
        <x:f>=""</x:f>
      </x:c>
      <x:c r="E1660" s="0"/>
      <x:c r="F1660" t="str" s="2">
        <x:v>Facebook Messenger</x:v>
      </x:c>
      <x:c r="G1660" t="str" s="2">
        <x:v>Heritage Housing Mt Pleasant</x:v>
      </x:c>
      <x:c r="H1660" t="str" s="2">
        <x:v>Yarelis Torres</x:v>
      </x:c>
      <x:c r="I1660" s="0"/>
      <x:c r="J1660" t="str" s="2">
        <x:v>Yarelis Torres</x:v>
      </x:c>
      <x:c r="K1660" t="n" s="2">
        <x:v>5</x:v>
      </x:c>
      <x:c r="L1660" t="str" s="2">
        <x:v>1.1</x:v>
      </x:c>
      <x:c r="M1660" t="str" s="2">
        <x:v>Tentative</x:v>
      </x:c>
      <x:c r="N1660" t="str" s="2">
        <x:v>Deal Created</x:v>
      </x:c>
      <x:c r="O1660" s="0"/>
      <x:c r="P1660" s="6">
        <x:v>46288</x:v>
      </x:c>
      <x:c r="Q1660" s="6">
        <x:v>46288.66500505787</x:v>
      </x:c>
      <x:c r="R1660" s="0"/>
      <x:c r="S1660" s="0"/>
      <x:c r="T1660" s="0"/>
      <x:c r="U1660" s="0"/>
      <x:c r="V1660" s="0"/>
      <x:c r="W1660" s="0"/>
      <x:c r="X1660" t="str" s="2">
        <x:v>5808506194</x:v>
      </x:c>
      <x:c r="Y1660" t="str" s="2">
        <x:v>5808506194</x:v>
      </x:c>
      <x:c r="Z1660" s="0"/>
      <x:c r="AA1660" s="0"/>
      <x:c r="AB1660" s="6">
        <x:v>46288.66500636574</x:v>
      </x:c>
      <x:c r="AC1660" t="n" s="2">
        <x:v>40296</x:v>
      </x:c>
      <x:c r="AD1660" s="0"/>
      <x:c r="AE1660" s="0"/>
      <x:c r="AF1660" s="0"/>
      <x:c r="AG1660" s="0"/>
      <x:c r="AH1660" s="0"/>
      <x:c r="AI1660" s="0"/>
      <x:c r="AJ1660" s="0"/>
      <x:c r="AK1660" s="0"/>
    </x:row>
    <x:row r="1661">
      <x:c r="A1661" t="str" s="2">
        <x:f>=HYPERLINK("https://rsms.futurehomex.com/lead/40297", "James Henderson")</x:f>
      </x:c>
      <x:c r="B1661" t="n" s="2">
        <x:v>20</x:v>
      </x:c>
      <x:c r="C1661" t="str" s="2">
        <x:v/>
      </x:c>
      <x:c r="D1661" t="str" s="2">
        <x:f>=""</x:f>
      </x:c>
      <x:c r="E1661" s="0"/>
      <x:c r="F1661" t="str" s="2">
        <x:v>Walk-in</x:v>
      </x:c>
      <x:c r="G1661" t="str" s="2">
        <x:v>Heritage Housing of Asheboro</x:v>
      </x:c>
      <x:c r="H1661" t="str" s="2">
        <x:v>Maria Lopez</x:v>
      </x:c>
      <x:c r="I1661" s="0"/>
      <x:c r="J1661" s="0"/>
      <x:c r="K1661" t="n" s="2">
        <x:v>21</x:v>
      </x:c>
      <x:c r="L1661" t="str" s="2">
        <x:v>2.1</x:v>
      </x:c>
      <x:c r="M1661" t="str" s="2">
        <x:v>Dead</x:v>
      </x:c>
      <x:c r="N1661" t="str" s="2">
        <x:v>Qualified</x:v>
      </x:c>
      <x:c r="O1661" s="0"/>
      <x:c r="P1661" s="6">
        <x:v>46288</x:v>
      </x:c>
      <x:c r="Q1661" s="6">
        <x:v>46288.81738903935</x:v>
      </x:c>
      <x:c r="R1661" s="0"/>
      <x:c r="S1661" s="0"/>
      <x:c r="T1661" s="0"/>
      <x:c r="U1661" s="0"/>
      <x:c r="V1661" s="0"/>
      <x:c r="W1661" s="0"/>
      <x:c r="X1661" t="str" s="2">
        <x:v>3362502834</x:v>
      </x:c>
      <x:c r="Y1661" t="str" s="2">
        <x:v>james1@gmail.com</x:v>
      </x:c>
      <x:c r="Z1661" s="6">
        <x:v>46288.81736415509</x:v>
      </x:c>
      <x:c r="AA1661" t="str" s="2">
        <x:v>Jeremy Jacques</x:v>
      </x:c>
      <x:c r="AB1661" s="6">
        <x:v>46288.671962037035</x:v>
      </x:c>
      <x:c r="AC1661" t="n" s="2">
        <x:v>40297</x:v>
      </x:c>
      <x:c r="AD1661" s="0"/>
      <x:c r="AE1661" s="0"/>
      <x:c r="AF1661" s="0"/>
      <x:c r="AG1661" s="0"/>
      <x:c r="AH1661" s="0"/>
      <x:c r="AI1661" s="0"/>
      <x:c r="AJ1661" s="0"/>
      <x:c r="AK1661" s="0"/>
    </x:row>
    <x:row r="1662">
      <x:c r="A1662" t="str" s="2">
        <x:f>=HYPERLINK("https://rsms.futurehomex.com/lead/40298", "Marvin Blalock")</x:f>
      </x:c>
      <x:c r="B1662" t="n" s="2">
        <x:v>20</x:v>
      </x:c>
      <x:c r="C1662" t="str" s="2">
        <x:v/>
      </x:c>
      <x:c r="D1662" t="str" s="2">
        <x:f>=""</x:f>
      </x:c>
      <x:c r="E1662" s="0"/>
      <x:c r="F1662" t="str" s="2">
        <x:v>Walk-in</x:v>
      </x:c>
      <x:c r="G1662" t="str" s="2">
        <x:v>Heritage Housing of Athens</x:v>
      </x:c>
      <x:c r="H1662" t="str" s="2">
        <x:v>Nathan Bishop</x:v>
      </x:c>
      <x:c r="I1662" s="0"/>
      <x:c r="J1662" s="0"/>
      <x:c r="K1662" t="n" s="2">
        <x:v>5</x:v>
      </x:c>
      <x:c r="L1662" t="str" s="2">
        <x:v>1.1</x:v>
      </x:c>
      <x:c r="M1662" t="str" s="2">
        <x:v>Tentative</x:v>
      </x:c>
      <x:c r="N1662" t="str" s="2">
        <x:v>Prospect</x:v>
      </x:c>
      <x:c r="O1662" s="0"/>
      <x:c r="P1662" s="6">
        <x:v>46288</x:v>
      </x:c>
      <x:c r="Q1662" s="6">
        <x:v>46288.70945818287</x:v>
      </x:c>
      <x:c r="R1662" s="0"/>
      <x:c r="S1662" s="6">
        <x:v>46288</x:v>
      </x:c>
      <x:c r="T1662" s="0"/>
      <x:c r="U1662" s="0"/>
      <x:c r="V1662" s="0"/>
      <x:c r="W1662" s="0"/>
      <x:c r="X1662" t="str" s="2">
        <x:v>7063405433</x:v>
      </x:c>
      <x:c r="Y1662" t="str" s="2">
        <x:v>marvinblalock@gmail.com</x:v>
      </x:c>
      <x:c r="Z1662" s="0"/>
      <x:c r="AA1662" s="0"/>
      <x:c r="AB1662" s="6">
        <x:v>46288.67505466435</x:v>
      </x:c>
      <x:c r="AC1662" t="n" s="2">
        <x:v>40298</x:v>
      </x:c>
      <x:c r="AD1662" s="0"/>
      <x:c r="AE1662" s="0"/>
      <x:c r="AF1662" s="0"/>
      <x:c r="AG1662" s="0"/>
      <x:c r="AH1662" s="0"/>
      <x:c r="AI1662" s="0"/>
      <x:c r="AJ1662" s="0"/>
      <x:c r="AK1662" s="0"/>
    </x:row>
    <x:row r="1663">
      <x:c r="A1663" t="str" s="2">
        <x:f>=HYPERLINK("https://rsms.futurehomex.com/lead/40299", "Latisha Luttrell")</x:f>
      </x:c>
      <x:c r="B1663" t="n" s="2">
        <x:v>20</x:v>
      </x:c>
      <x:c r="C1663" t="str" s="2">
        <x:v>0/1</x:v>
      </x:c>
      <x:c r="D1663" t="str" s="2">
        <x:f>=""</x:f>
      </x:c>
      <x:c r="E1663" s="0"/>
      <x:c r="F1663" t="str" s="2">
        <x:v>Landing_BPM</x:v>
      </x:c>
      <x:c r="G1663" t="str" s="2">
        <x:v>Heritage Housing of Oklahoma City</x:v>
      </x:c>
      <x:c r="H1663" t="str" s="2">
        <x:v>Devon McCoy</x:v>
      </x:c>
      <x:c r="I1663" s="0"/>
      <x:c r="J1663" t="str" s="2">
        <x:v>Steve Castell</x:v>
      </x:c>
      <x:c r="K1663" t="n" s="2">
        <x:v>5</x:v>
      </x:c>
      <x:c r="L1663" t="str" s="2">
        <x:v>1.1</x:v>
      </x:c>
      <x:c r="M1663" t="str" s="2">
        <x:v>Dead</x:v>
      </x:c>
      <x:c r="N1663" t="str" s="2">
        <x:v>Deal Created</x:v>
      </x:c>
      <x:c r="O1663" s="0"/>
      <x:c r="P1663" s="6">
        <x:v>46288</x:v>
      </x:c>
      <x:c r="Q1663" s="6">
        <x:v>46288.749385069445</x:v>
      </x:c>
      <x:c r="R1663" s="0"/>
      <x:c r="S1663" s="0"/>
      <x:c r="T1663" s="0"/>
      <x:c r="U1663" s="0"/>
      <x:c r="V1663" s="0"/>
      <x:c r="W1663" s="0"/>
      <x:c r="X1663" t="str" s="2">
        <x:v>9184870512</x:v>
      </x:c>
      <x:c r="Y1663" t="str" s="2">
        <x:v>moonchild404040@gmail.com</x:v>
      </x:c>
      <x:c r="Z1663" s="6">
        <x:v>46291.805990891204</x:v>
      </x:c>
      <x:c r="AA1663" t="str" s="2">
        <x:v>Devon McCoy</x:v>
      </x:c>
      <x:c r="AB1663" s="6">
        <x:v>46288.709219756944</x:v>
      </x:c>
      <x:c r="AC1663" t="n" s="2">
        <x:v>40299</x:v>
      </x:c>
      <x:c r="AD1663" s="0"/>
      <x:c r="AE1663" s="0"/>
      <x:c r="AF1663" s="0"/>
      <x:c r="AG1663" s="0"/>
      <x:c r="AH1663" s="0"/>
      <x:c r="AI1663" s="0"/>
      <x:c r="AJ1663" s="0"/>
      <x:c r="AK1663" s="0"/>
    </x:row>
    <x:row r="1664">
      <x:c r="A1664" t="str" s="2">
        <x:f>=HYPERLINK("https://rsms.futurehomex.com/lead/40300", "Laura Cash")</x:f>
      </x:c>
      <x:c r="B1664" t="n" s="2">
        <x:v>20</x:v>
      </x:c>
      <x:c r="C1664" t="str" s="2">
        <x:v/>
      </x:c>
      <x:c r="D1664" t="str" s="2">
        <x:f>=""</x:f>
      </x:c>
      <x:c r="E1664" s="0"/>
      <x:c r="F1664" t="str" s="2">
        <x:v>Office Hot Calls</x:v>
      </x:c>
      <x:c r="G1664" t="str" s="2">
        <x:v>Heritage Housing of Athens</x:v>
      </x:c>
      <x:c r="H1664" t="str" s="2">
        <x:v>Nathan Bishop</x:v>
      </x:c>
      <x:c r="I1664" s="0"/>
      <x:c r="J1664" t="str" s="2">
        <x:v>Nathan Bishop</x:v>
      </x:c>
      <x:c r="K1664" t="n" s="2">
        <x:v>5</x:v>
      </x:c>
      <x:c r="L1664" t="str" s="2">
        <x:v>1.1</x:v>
      </x:c>
      <x:c r="M1664" t="str" s="2">
        <x:v>Tentative</x:v>
      </x:c>
      <x:c r="N1664" t="str" s="2">
        <x:v>Deal Created</x:v>
      </x:c>
      <x:c r="O1664" s="0"/>
      <x:c r="P1664" s="6">
        <x:v>46288</x:v>
      </x:c>
      <x:c r="Q1664" s="6">
        <x:v>46288.72688148148</x:v>
      </x:c>
      <x:c r="R1664" s="0"/>
      <x:c r="S1664" s="0"/>
      <x:c r="T1664" s="0"/>
      <x:c r="U1664" s="0"/>
      <x:c r="V1664" s="0"/>
      <x:c r="W1664" s="0"/>
      <x:c r="X1664" t="str" s="2">
        <x:v>7063717887</x:v>
      </x:c>
      <x:c r="Y1664" t="str" s="2">
        <x:v>7063717887</x:v>
      </x:c>
      <x:c r="Z1664" s="0"/>
      <x:c r="AA1664" s="0"/>
      <x:c r="AB1664" s="6">
        <x:v>46288.726884375</x:v>
      </x:c>
      <x:c r="AC1664" t="n" s="2">
        <x:v>40300</x:v>
      </x:c>
      <x:c r="AD1664" s="0"/>
      <x:c r="AE1664" s="0"/>
      <x:c r="AF1664" s="0"/>
      <x:c r="AG1664" s="0"/>
      <x:c r="AH1664" s="0"/>
      <x:c r="AI1664" s="0"/>
      <x:c r="AJ1664" s="0"/>
      <x:c r="AK1664" s="0"/>
    </x:row>
    <x:row r="1665">
      <x:c r="A1665" t="str" s="2">
        <x:f>=HYPERLINK("https://rsms.futurehomex.com/lead/40301", "Don Martin")</x:f>
      </x:c>
      <x:c r="B1665" t="n" s="2">
        <x:v>20</x:v>
      </x:c>
      <x:c r="C1665" t="str" s="2">
        <x:v>1/3</x:v>
      </x:c>
      <x:c r="D1665" t="str" s="2">
        <x:f>=""</x:f>
      </x:c>
      <x:c r="E1665" t="str" s="2">
        <x:v>Janine Martin</x:v>
      </x:c>
      <x:c r="F1665" t="str" s="2">
        <x:v>Facebook Messenger</x:v>
      </x:c>
      <x:c r="G1665" t="str" s="2">
        <x:v>Heritage Housing of Oklahoma City</x:v>
      </x:c>
      <x:c r="H1665" t="str" s="2">
        <x:v>Trey Rixleben</x:v>
      </x:c>
      <x:c r="I1665" s="0"/>
      <x:c r="J1665" t="str" s="2">
        <x:v>Trey Rixleben</x:v>
      </x:c>
      <x:c r="K1665" t="n" s="2">
        <x:v>5</x:v>
      </x:c>
      <x:c r="L1665" t="str" s="2">
        <x:v>1.1</x:v>
      </x:c>
      <x:c r="M1665" t="str" s="2">
        <x:v>Tentative</x:v>
      </x:c>
      <x:c r="N1665" t="str" s="2">
        <x:v>Deal Created</x:v>
      </x:c>
      <x:c r="O1665" s="0"/>
      <x:c r="P1665" s="6">
        <x:v>46288</x:v>
      </x:c>
      <x:c r="Q1665" s="6">
        <x:v>46296.65512052083</x:v>
      </x:c>
      <x:c r="R1665" s="0"/>
      <x:c r="S1665" s="6">
        <x:v>46288</x:v>
      </x:c>
      <x:c r="T1665" s="0"/>
      <x:c r="U1665" s="0"/>
      <x:c r="V1665" s="0"/>
      <x:c r="W1665" s="0"/>
      <x:c r="X1665" t="str" s="2">
        <x:v>4056533128</x:v>
      </x:c>
      <x:c r="Y1665" t="str" s="2">
        <x:v>toddmar1958@gmail.com</x:v>
      </x:c>
      <x:c r="Z1665" s="6">
        <x:v>46300.98113591435</x:v>
      </x:c>
      <x:c r="AA1665" t="str" s="2">
        <x:v>Steve Castell</x:v>
      </x:c>
      <x:c r="AB1665" s="6">
        <x:v>46288.73706736111</x:v>
      </x:c>
      <x:c r="AC1665" t="n" s="2">
        <x:v>40301</x:v>
      </x:c>
      <x:c r="AD1665" s="0"/>
      <x:c r="AE1665" s="0"/>
      <x:c r="AF1665" s="0"/>
      <x:c r="AG1665" s="0"/>
      <x:c r="AH1665" s="0"/>
      <x:c r="AI1665" s="0"/>
      <x:c r="AJ1665" s="0"/>
      <x:c r="AK1665" s="0"/>
    </x:row>
    <x:row r="1666">
      <x:c r="A1666" t="str" s="2">
        <x:f>=HYPERLINK("https://rsms.futurehomex.com/lead/40303", "Ta Sandra Simpson")</x:f>
      </x:c>
      <x:c r="B1666" t="n" s="2">
        <x:v>20</x:v>
      </x:c>
      <x:c r="C1666" t="str" s="2">
        <x:v>0/5</x:v>
      </x:c>
      <x:c r="D1666" t="str" s="2">
        <x:f>=""</x:f>
      </x:c>
      <x:c r="E1666" s="0"/>
      <x:c r="F1666" t="str" s="2">
        <x:v>Landing_BPM</x:v>
      </x:c>
      <x:c r="G1666" t="str" s="2">
        <x:v>Heritage Housing of Oklahoma City</x:v>
      </x:c>
      <x:c r="H1666" t="str" s="2">
        <x:v>Devon McCoy</x:v>
      </x:c>
      <x:c r="I1666" s="0"/>
      <x:c r="J1666" t="str" s="2">
        <x:v>Devon McCoy</x:v>
      </x:c>
      <x:c r="K1666" t="n" s="2">
        <x:v>5</x:v>
      </x:c>
      <x:c r="L1666" t="str" s="2">
        <x:v>1.1</x:v>
      </x:c>
      <x:c r="M1666" t="str" s="2">
        <x:v>Tentative</x:v>
      </x:c>
      <x:c r="N1666" t="str" s="2">
        <x:v>Deal Created</x:v>
      </x:c>
      <x:c r="O1666" s="0"/>
      <x:c r="P1666" s="6">
        <x:v>46288</x:v>
      </x:c>
      <x:c r="Q1666" s="6">
        <x:v>46288.74950586806</x:v>
      </x:c>
      <x:c r="R1666" s="0"/>
      <x:c r="S1666" s="0"/>
      <x:c r="T1666" s="0"/>
      <x:c r="U1666" s="0"/>
      <x:c r="V1666" s="0"/>
      <x:c r="W1666" s="0"/>
      <x:c r="X1666" t="str" s="2">
        <x:v>6827859829</x:v>
      </x:c>
      <x:c r="Y1666" t="str" s="2">
        <x:v>tasandra27.ts@gmail.com</x:v>
      </x:c>
      <x:c r="Z1666" s="6">
        <x:v>46301.58054679398</x:v>
      </x:c>
      <x:c r="AA1666" t="str" s="2">
        <x:v>Devon McCoy</x:v>
      </x:c>
      <x:c r="AB1666" s="6">
        <x:v>46288.74458564815</x:v>
      </x:c>
      <x:c r="AC1666" t="n" s="2">
        <x:v>40303</x:v>
      </x:c>
      <x:c r="AD1666" s="0"/>
      <x:c r="AE1666" s="0"/>
      <x:c r="AF1666" s="0"/>
      <x:c r="AG1666" s="0"/>
      <x:c r="AH1666" s="0"/>
      <x:c r="AI1666" s="0"/>
      <x:c r="AJ1666" s="0"/>
      <x:c r="AK1666" s="0"/>
    </x:row>
    <x:row r="1667">
      <x:c r="A1667" t="str" s="2">
        <x:f>=HYPERLINK("https://rsms.futurehomex.com/lead/40304", "Vic Antolik")</x:f>
      </x:c>
      <x:c r="B1667" t="n" s="2">
        <x:v>20</x:v>
      </x:c>
      <x:c r="C1667" t="str" s="2">
        <x:v/>
      </x:c>
      <x:c r="D1667" t="str" s="2">
        <x:f>=""</x:f>
      </x:c>
      <x:c r="E1667" s="0"/>
      <x:c r="F1667" t="str" s="2">
        <x:v>Facebook Messenger</x:v>
      </x:c>
      <x:c r="G1667" t="str" s="2">
        <x:v>Heritage Housing of Athens</x:v>
      </x:c>
      <x:c r="H1667" t="str" s="2">
        <x:v>Nathan Bishop</x:v>
      </x:c>
      <x:c r="I1667" s="0"/>
      <x:c r="J1667" t="str" s="2">
        <x:v>Nathan Bishop</x:v>
      </x:c>
      <x:c r="K1667" t="n" s="2">
        <x:v>5</x:v>
      </x:c>
      <x:c r="L1667" t="str" s="2">
        <x:v>1.1</x:v>
      </x:c>
      <x:c r="M1667" t="str" s="2">
        <x:v>Tentative</x:v>
      </x:c>
      <x:c r="N1667" t="str" s="2">
        <x:v>Deal Created</x:v>
      </x:c>
      <x:c r="O1667" s="0"/>
      <x:c r="P1667" s="6">
        <x:v>46288</x:v>
      </x:c>
      <x:c r="Q1667" s="6">
        <x:v>46288.7905309375</x:v>
      </x:c>
      <x:c r="R1667" s="0"/>
      <x:c r="S1667" s="0"/>
      <x:c r="T1667" s="0"/>
      <x:c r="U1667" s="0"/>
      <x:c r="V1667" s="0"/>
      <x:c r="W1667" s="0"/>
      <x:c r="X1667" t="str" s="2">
        <x:v>5126899606</x:v>
      </x:c>
      <x:c r="Y1667" t="str" s="2">
        <x:v>vjantolik@aol.com</x:v>
      </x:c>
      <x:c r="Z1667" s="0"/>
      <x:c r="AA1667" s="0"/>
      <x:c r="AB1667" s="6">
        <x:v>46288.74867997685</x:v>
      </x:c>
      <x:c r="AC1667" t="n" s="2">
        <x:v>40304</x:v>
      </x:c>
      <x:c r="AD1667" s="0"/>
      <x:c r="AE1667" s="0"/>
      <x:c r="AF1667" s="0"/>
      <x:c r="AG1667" s="0"/>
      <x:c r="AH1667" s="0"/>
      <x:c r="AI1667" s="0"/>
      <x:c r="AJ1667" s="0"/>
      <x:c r="AK1667" s="0"/>
    </x:row>
    <x:row r="1668">
      <x:c r="A1668" t="str" s="2">
        <x:f>=HYPERLINK("https://rsms.futurehomex.com/lead/40305", "Stephanie Paoletti")</x:f>
      </x:c>
      <x:c r="B1668" t="n" s="2">
        <x:v>20</x:v>
      </x:c>
      <x:c r="C1668" t="str" s="2">
        <x:v/>
      </x:c>
      <x:c r="D1668" t="str" s="2">
        <x:f>=""</x:f>
      </x:c>
      <x:c r="E1668" s="0"/>
      <x:c r="F1668" t="str" s="2">
        <x:v>Walk-in</x:v>
      </x:c>
      <x:c r="G1668" t="str" s="2">
        <x:v>Heritage Housing of Oklahoma City</x:v>
      </x:c>
      <x:c r="H1668" t="str" s="2">
        <x:v>Alejandra Calderon</x:v>
      </x:c>
      <x:c r="I1668" t="str" s="2">
        <x:v>Karol Romero</x:v>
      </x:c>
      <x:c r="J1668" t="str" s="2">
        <x:v>Alejandra Calderon</x:v>
      </x:c>
      <x:c r="K1668" t="n" s="2">
        <x:v>5</x:v>
      </x:c>
      <x:c r="L1668" t="str" s="2">
        <x:v>1.1</x:v>
      </x:c>
      <x:c r="M1668" t="str" s="2">
        <x:v>Tentative</x:v>
      </x:c>
      <x:c r="N1668" t="str" s="2">
        <x:v>Deal Created</x:v>
      </x:c>
      <x:c r="O1668" s="0"/>
      <x:c r="P1668" s="6">
        <x:v>46288</x:v>
      </x:c>
      <x:c r="Q1668" s="6">
        <x:v>46288.765004050925</x:v>
      </x:c>
      <x:c r="R1668" s="0"/>
      <x:c r="S1668" s="6">
        <x:v>46288</x:v>
      </x:c>
      <x:c r="T1668" s="0"/>
      <x:c r="U1668" s="0"/>
      <x:c r="V1668" s="0"/>
      <x:c r="W1668" s="0"/>
      <x:c r="X1668" t="str" s="2">
        <x:v>4172363483</x:v>
      </x:c>
      <x:c r="Y1668" t="str" s="2">
        <x:v>stephpaoletti@gmail.com</x:v>
      </x:c>
      <x:c r="Z1668" s="6">
        <x:v>46288.75971076389</x:v>
      </x:c>
      <x:c r="AA1668" t="str" s="2">
        <x:v>Alejandra Calderon</x:v>
      </x:c>
      <x:c r="AB1668" s="6">
        <x:v>46288.757089733794</x:v>
      </x:c>
      <x:c r="AC1668" t="n" s="2">
        <x:v>40305</x:v>
      </x:c>
      <x:c r="AD1668" s="0"/>
      <x:c r="AE1668" s="0"/>
      <x:c r="AF1668" s="0"/>
      <x:c r="AG1668" s="0"/>
      <x:c r="AH1668" s="0"/>
      <x:c r="AI1668" t="str" s="2">
        <x:v>724</x:v>
      </x:c>
      <x:c r="AJ1668" s="0"/>
      <x:c r="AK1668" s="0"/>
    </x:row>
    <x:row r="1669">
      <x:c r="A1669" t="str" s="2">
        <x:f>=HYPERLINK("https://rsms.futurehomex.com/lead/40307", "April Keys")</x:f>
      </x:c>
      <x:c r="B1669" t="n" s="2">
        <x:v>20</x:v>
      </x:c>
      <x:c r="C1669" t="str" s="2">
        <x:v/>
      </x:c>
      <x:c r="D1669" t="str" s="2">
        <x:f>=""</x:f>
      </x:c>
      <x:c r="E1669" s="0"/>
      <x:c r="F1669" t="str" s="2">
        <x:v>Website</x:v>
      </x:c>
      <x:c r="G1669" t="str" s="2">
        <x:v>Heritage Housing of Augusta</x:v>
      </x:c>
      <x:c r="H1669" t="str" s="2">
        <x:v>Jennifer Johnson</x:v>
      </x:c>
      <x:c r="I1669" s="0"/>
      <x:c r="J1669" t="str" s="2">
        <x:v>Jennifer Johnson</x:v>
      </x:c>
      <x:c r="K1669" t="n" s="2">
        <x:v>5</x:v>
      </x:c>
      <x:c r="L1669" t="str" s="2">
        <x:v>1.1</x:v>
      </x:c>
      <x:c r="M1669" t="str" s="2">
        <x:v>Tentative</x:v>
      </x:c>
      <x:c r="N1669" t="str" s="2">
        <x:v>Deal Created</x:v>
      </x:c>
      <x:c r="O1669" s="0"/>
      <x:c r="P1669" s="6">
        <x:v>46288</x:v>
      </x:c>
      <x:c r="Q1669" s="6">
        <x:v>46294.62795019676</x:v>
      </x:c>
      <x:c r="R1669" s="0"/>
      <x:c r="S1669" s="0"/>
      <x:c r="T1669" s="0"/>
      <x:c r="U1669" s="0"/>
      <x:c r="V1669" s="0"/>
      <x:c r="W1669" s="0"/>
      <x:c r="X1669" t="str" s="2">
        <x:v>7063600940</x:v>
      </x:c>
      <x:c r="Y1669" t="str" s="2">
        <x:v>7063600940</x:v>
      </x:c>
      <x:c r="Z1669" s="0"/>
      <x:c r="AA1669" s="0"/>
      <x:c r="AB1669" s="6">
        <x:v>46288.7748102662</x:v>
      </x:c>
      <x:c r="AC1669" t="n" s="2">
        <x:v>40307</x:v>
      </x:c>
      <x:c r="AD1669" s="0"/>
      <x:c r="AE1669" s="0"/>
      <x:c r="AF1669" s="0"/>
      <x:c r="AG1669" s="0"/>
      <x:c r="AH1669" s="0"/>
      <x:c r="AI1669" s="0"/>
      <x:c r="AJ1669" s="0"/>
      <x:c r="AK1669" s="0"/>
    </x:row>
    <x:row r="1670">
      <x:c r="A1670" t="str" s="2">
        <x:f>=HYPERLINK("https://rsms.futurehomex.com/lead/40308", "Luke Brown")</x:f>
      </x:c>
      <x:c r="B1670" t="n" s="2">
        <x:v>20</x:v>
      </x:c>
      <x:c r="C1670" t="str" s="2">
        <x:v/>
      </x:c>
      <x:c r="D1670" t="str" s="2">
        <x:f>=""</x:f>
      </x:c>
      <x:c r="E1670" t="str" s="2">
        <x:v>Mackenzie Norman</x:v>
      </x:c>
      <x:c r="F1670" t="str" s="2">
        <x:v>Walk-in</x:v>
      </x:c>
      <x:c r="G1670" t="str" s="2">
        <x:v>Heritage Housing of Athens</x:v>
      </x:c>
      <x:c r="H1670" t="str" s="2">
        <x:v>Ethan Fossett</x:v>
      </x:c>
      <x:c r="I1670" s="0"/>
      <x:c r="J1670" s="0"/>
      <x:c r="K1670" t="n" s="2">
        <x:v>5</x:v>
      </x:c>
      <x:c r="L1670" t="str" s="2">
        <x:v>1.1</x:v>
      </x:c>
      <x:c r="M1670" t="str" s="2">
        <x:v>Tentative</x:v>
      </x:c>
      <x:c r="N1670" t="str" s="2">
        <x:v>Prospect</x:v>
      </x:c>
      <x:c r="O1670" s="0"/>
      <x:c r="P1670" s="6">
        <x:v>46288</x:v>
      </x:c>
      <x:c r="Q1670" s="6">
        <x:v>46288.78776701389</x:v>
      </x:c>
      <x:c r="R1670" s="0"/>
      <x:c r="S1670" s="0"/>
      <x:c r="T1670" s="0"/>
      <x:c r="U1670" s="0"/>
      <x:c r="V1670" s="0"/>
      <x:c r="W1670" s="0"/>
      <x:c r="X1670" t="str" s="2">
        <x:v>7065670746</x:v>
      </x:c>
      <x:c r="Y1670" t="str" s="2">
        <x:v>luketylerbrown@gmail.com</x:v>
      </x:c>
      <x:c r="Z1670" s="6">
        <x:v>46293.598679710645</x:v>
      </x:c>
      <x:c r="AA1670" t="str" s="2">
        <x:v>Ethan Fossett</x:v>
      </x:c>
      <x:c r="AB1670" s="6">
        <x:v>46288.781602696756</x:v>
      </x:c>
      <x:c r="AC1670" t="n" s="2">
        <x:v>40308</x:v>
      </x:c>
      <x:c r="AD1670" s="0"/>
      <x:c r="AE1670" s="0"/>
      <x:c r="AF1670" s="0"/>
      <x:c r="AG1670" s="0"/>
      <x:c r="AH1670" s="0"/>
      <x:c r="AI1670" t="str" s="2" xml:space="preserve">
        <x:v>752 </x:v>
      </x:c>
      <x:c r="AJ1670" s="0"/>
      <x:c r="AK1670" s="0"/>
    </x:row>
    <x:row r="1671">
      <x:c r="A1671" t="str" s="2">
        <x:f>=HYPERLINK("https://rsms.futurehomex.com/lead/40309", "Drake Miller")</x:f>
      </x:c>
      <x:c r="B1671" t="n" s="2">
        <x:v>20</x:v>
      </x:c>
      <x:c r="C1671" t="str" s="2">
        <x:v>0/1</x:v>
      </x:c>
      <x:c r="D1671" t="str" s="2">
        <x:f>=""</x:f>
      </x:c>
      <x:c r="E1671" s="0"/>
      <x:c r="F1671" t="str" s="2">
        <x:v>Walk-in</x:v>
      </x:c>
      <x:c r="G1671" t="str" s="2">
        <x:v>Heritage Housing of Oklahoma City</x:v>
      </x:c>
      <x:c r="H1671" t="str" s="2">
        <x:v>Devon McCoy</x:v>
      </x:c>
      <x:c r="I1671" t="str" s="2">
        <x:v>Karol Romero</x:v>
      </x:c>
      <x:c r="J1671" t="str" s="2">
        <x:v>Devon McCoy</x:v>
      </x:c>
      <x:c r="K1671" t="n" s="2">
        <x:v>5</x:v>
      </x:c>
      <x:c r="L1671" t="str" s="2">
        <x:v>1.1</x:v>
      </x:c>
      <x:c r="M1671" t="str" s="2">
        <x:v>Dead</x:v>
      </x:c>
      <x:c r="N1671" t="str" s="2">
        <x:v>Deal Created</x:v>
      </x:c>
      <x:c r="O1671" s="0"/>
      <x:c r="P1671" s="6">
        <x:v>46288</x:v>
      </x:c>
      <x:c r="Q1671" s="6">
        <x:v>46288.787457175924</x:v>
      </x:c>
      <x:c r="R1671" s="0"/>
      <x:c r="S1671" s="6">
        <x:v>46288</x:v>
      </x:c>
      <x:c r="T1671" s="0"/>
      <x:c r="U1671" s="0"/>
      <x:c r="V1671" s="0"/>
      <x:c r="W1671" s="0"/>
      <x:c r="X1671" t="str" s="2">
        <x:v>4056987567</x:v>
      </x:c>
      <x:c r="Y1671" t="str" s="2">
        <x:v>dmiller120184@gmail.com</x:v>
      </x:c>
      <x:c r="Z1671" s="6">
        <x:v>46291.76722091435</x:v>
      </x:c>
      <x:c r="AA1671" t="str" s="2">
        <x:v>Richard Bell</x:v>
      </x:c>
      <x:c r="AB1671" s="6">
        <x:v>46288.78498434028</x:v>
      </x:c>
      <x:c r="AC1671" t="n" s="2">
        <x:v>40309</x:v>
      </x:c>
      <x:c r="AD1671" s="0"/>
      <x:c r="AE1671" s="0"/>
      <x:c r="AF1671" s="0"/>
      <x:c r="AG1671" s="0"/>
      <x:c r="AH1671" s="0"/>
      <x:c r="AI1671" s="0"/>
      <x:c r="AJ1671" s="0"/>
      <x:c r="AK1671" s="0"/>
    </x:row>
    <x:row r="1672">
      <x:c r="A1672" t="str" s="2">
        <x:f>=HYPERLINK("https://rsms.futurehomex.com/lead/40311", "Bobby Whitfield")</x:f>
      </x:c>
      <x:c r="B1672" t="n" s="2">
        <x:v>20</x:v>
      </x:c>
      <x:c r="C1672" t="str" s="2">
        <x:v>1/1</x:v>
      </x:c>
      <x:c r="D1672" t="str" s="2">
        <x:f>=""</x:f>
      </x:c>
      <x:c r="E1672" s="0"/>
      <x:c r="F1672" t="str" s="2">
        <x:v>Office Hot Calls</x:v>
      </x:c>
      <x:c r="G1672" t="str" s="2">
        <x:v>Heritage Housing of Athens</x:v>
      </x:c>
      <x:c r="H1672" t="str" s="2">
        <x:v>Nathan Bishop</x:v>
      </x:c>
      <x:c r="I1672" s="0"/>
      <x:c r="J1672" t="str" s="2">
        <x:v>Nathan Bishop</x:v>
      </x:c>
      <x:c r="K1672" t="n" s="2">
        <x:v>5</x:v>
      </x:c>
      <x:c r="L1672" t="str" s="2">
        <x:v>1.1</x:v>
      </x:c>
      <x:c r="M1672" t="str" s="2">
        <x:v>Tentative</x:v>
      </x:c>
      <x:c r="N1672" t="str" s="2">
        <x:v>Deal Created</x:v>
      </x:c>
      <x:c r="O1672" s="0"/>
      <x:c r="P1672" s="6">
        <x:v>46288</x:v>
      </x:c>
      <x:c r="Q1672" s="6">
        <x:v>46288.79446875</x:v>
      </x:c>
      <x:c r="R1672" s="0"/>
      <x:c r="S1672" s="0"/>
      <x:c r="T1672" s="0"/>
      <x:c r="U1672" s="0"/>
      <x:c r="V1672" s="0"/>
      <x:c r="W1672" s="0"/>
      <x:c r="X1672" t="str" s="2">
        <x:v>7069791898</x:v>
      </x:c>
      <x:c r="Y1672" t="str" s="2">
        <x:v>7069791898</x:v>
      </x:c>
      <x:c r="Z1672" s="6">
        <x:v>46288.79610447917</x:v>
      </x:c>
      <x:c r="AA1672" t="str" s="2">
        <x:v>Nathan Bishop</x:v>
      </x:c>
      <x:c r="AB1672" s="6">
        <x:v>46288.79447021991</x:v>
      </x:c>
      <x:c r="AC1672" t="n" s="2">
        <x:v>40311</x:v>
      </x:c>
      <x:c r="AD1672" s="0"/>
      <x:c r="AE1672" s="0"/>
      <x:c r="AF1672" s="0"/>
      <x:c r="AG1672" s="0"/>
      <x:c r="AH1672" s="0"/>
      <x:c r="AI1672" s="0"/>
      <x:c r="AJ1672" s="0"/>
      <x:c r="AK1672" s="0"/>
    </x:row>
    <x:row r="1673">
      <x:c r="A1673" t="str" s="2">
        <x:f>=HYPERLINK("https://rsms.futurehomex.com/lead/40312", "John Autrey")</x:f>
      </x:c>
      <x:c r="B1673" t="n" s="2">
        <x:v>20</x:v>
      </x:c>
      <x:c r="C1673" t="str" s="2">
        <x:v/>
      </x:c>
      <x:c r="D1673" t="str" s="2">
        <x:f>=""</x:f>
      </x:c>
      <x:c r="E1673" s="0"/>
      <x:c r="F1673" t="str" s="2">
        <x:v>Landing_BPM</x:v>
      </x:c>
      <x:c r="G1673" t="str" s="2">
        <x:v>Heritage Housing of Athens</x:v>
      </x:c>
      <x:c r="H1673" t="str" s="2">
        <x:v>Ethan Fossett</x:v>
      </x:c>
      <x:c r="I1673" s="0"/>
      <x:c r="J1673" t="str" s="2">
        <x:v>Ethan Fossett</x:v>
      </x:c>
      <x:c r="K1673" t="n" s="2">
        <x:v>5</x:v>
      </x:c>
      <x:c r="L1673" t="str" s="2">
        <x:v>1.1</x:v>
      </x:c>
      <x:c r="M1673" t="str" s="2">
        <x:v>Tentative</x:v>
      </x:c>
      <x:c r="N1673" t="str" s="2">
        <x:v>Prospect</x:v>
      </x:c>
      <x:c r="O1673" s="0"/>
      <x:c r="P1673" s="6">
        <x:v>46288</x:v>
      </x:c>
      <x:c r="Q1673" s="6">
        <x:v>46288.82059166667</x:v>
      </x:c>
      <x:c r="R1673" s="0"/>
      <x:c r="S1673" s="0"/>
      <x:c r="T1673" s="0"/>
      <x:c r="U1673" s="0"/>
      <x:c r="V1673" s="0"/>
      <x:c r="W1673" s="0"/>
      <x:c r="X1673" t="str" s="2">
        <x:v>6787513763</x:v>
      </x:c>
      <x:c r="Y1673" t="str" s="2">
        <x:v>johnautrey72@gmail.com</x:v>
      </x:c>
      <x:c r="Z1673" s="0"/>
      <x:c r="AA1673" s="0"/>
      <x:c r="AB1673" s="6">
        <x:v>46288.82059212963</x:v>
      </x:c>
      <x:c r="AC1673" t="n" s="2">
        <x:v>40312</x:v>
      </x:c>
      <x:c r="AD1673" s="0"/>
      <x:c r="AE1673" s="0"/>
      <x:c r="AF1673" s="0"/>
      <x:c r="AG1673" s="0"/>
      <x:c r="AH1673" s="0"/>
      <x:c r="AI1673" s="0"/>
      <x:c r="AJ1673" s="0"/>
      <x:c r="AK1673" s="0"/>
    </x:row>
    <x:row r="1674">
      <x:c r="A1674" t="str" s="2">
        <x:f>=HYPERLINK("https://rsms.futurehomex.com/lead/40313", "Brian Guillen")</x:f>
      </x:c>
      <x:c r="B1674" t="n" s="2">
        <x:v>20</x:v>
      </x:c>
      <x:c r="C1674" t="str" s="2">
        <x:v/>
      </x:c>
      <x:c r="D1674" t="str" s="2">
        <x:f>=""</x:f>
      </x:c>
      <x:c r="E1674" s="0"/>
      <x:c r="F1674" t="str" s="2">
        <x:v>Walk-in</x:v>
      </x:c>
      <x:c r="G1674" t="str" s="2">
        <x:v>Heritage Housing Gainesville</x:v>
      </x:c>
      <x:c r="H1674" t="str" s="2">
        <x:v>Kelly Ford</x:v>
      </x:c>
      <x:c r="I1674" s="0"/>
      <x:c r="J1674" t="str" s="2">
        <x:v>Kelly Ford</x:v>
      </x:c>
      <x:c r="K1674" t="n" s="2">
        <x:v>5</x:v>
      </x:c>
      <x:c r="L1674" t="str" s="2">
        <x:v>1.1</x:v>
      </x:c>
      <x:c r="M1674" t="str" s="2">
        <x:v>Tentative</x:v>
      </x:c>
      <x:c r="N1674" t="str" s="2">
        <x:v>Deal Created</x:v>
      </x:c>
      <x:c r="O1674" s="0"/>
      <x:c r="P1674" s="6">
        <x:v>46288</x:v>
      </x:c>
      <x:c r="Q1674" s="6">
        <x:v>46288.84442592593</x:v>
      </x:c>
      <x:c r="R1674" s="0"/>
      <x:c r="S1674" s="6">
        <x:v>46288</x:v>
      </x:c>
      <x:c r="T1674" s="0"/>
      <x:c r="U1674" s="0"/>
      <x:c r="V1674" s="0"/>
      <x:c r="W1674" s="0"/>
      <x:c r="X1674" t="str" s="2">
        <x:v>8302134562</x:v>
      </x:c>
      <x:c r="Y1674" t="str" s="2">
        <x:v>8302134562</x:v>
      </x:c>
      <x:c r="Z1674" s="6">
        <x:v>46288.845120868056</x:v>
      </x:c>
      <x:c r="AA1674" t="str" s="2">
        <x:v>Kelly Ford</x:v>
      </x:c>
      <x:c r="AB1674" s="6">
        <x:v>46288.8444275463</x:v>
      </x:c>
      <x:c r="AC1674" t="n" s="2">
        <x:v>40313</x:v>
      </x:c>
      <x:c r="AD1674" s="0"/>
      <x:c r="AE1674" s="0"/>
      <x:c r="AF1674" s="0"/>
      <x:c r="AG1674" s="0"/>
      <x:c r="AH1674" s="0"/>
      <x:c r="AI1674" s="0"/>
      <x:c r="AJ1674" s="0"/>
      <x:c r="AK1674" s="0"/>
    </x:row>
    <x:row r="1675">
      <x:c r="A1675" t="str" s="2">
        <x:f>=HYPERLINK("https://rsms.futurehomex.com/lead/40314", "Darrius Brower II")</x:f>
      </x:c>
      <x:c r="B1675" t="n" s="2">
        <x:v>20</x:v>
      </x:c>
      <x:c r="C1675" t="str" s="2">
        <x:v/>
      </x:c>
      <x:c r="D1675" t="str" s="2">
        <x:f>=""</x:f>
      </x:c>
      <x:c r="E1675" s="0"/>
      <x:c r="F1675" t="str" s="2">
        <x:v>Landing_BPM</x:v>
      </x:c>
      <x:c r="G1675" t="str" s="2">
        <x:v>Heritage Housing of Asheboro</x:v>
      </x:c>
      <x:c r="H1675" t="str" s="2">
        <x:v>Kate Gutierrez</x:v>
      </x:c>
      <x:c r="I1675" s="0"/>
      <x:c r="J1675" t="str" s="2">
        <x:v>Kate Gutierrez</x:v>
      </x:c>
      <x:c r="K1675" t="n" s="2">
        <x:v>21</x:v>
      </x:c>
      <x:c r="L1675" t="str" s="2">
        <x:v>2.1</x:v>
      </x:c>
      <x:c r="M1675" t="str" s="2">
        <x:v>Tentative</x:v>
      </x:c>
      <x:c r="N1675" t="str" s="2">
        <x:v>Qualified</x:v>
      </x:c>
      <x:c r="O1675" s="0"/>
      <x:c r="P1675" s="6">
        <x:v>46288</x:v>
      </x:c>
      <x:c r="Q1675" s="6">
        <x:v>46305.56308344907</x:v>
      </x:c>
      <x:c r="R1675" s="0"/>
      <x:c r="S1675" s="0"/>
      <x:c r="T1675" s="0"/>
      <x:c r="U1675" s="0"/>
      <x:c r="V1675" s="0"/>
      <x:c r="W1675" s="0"/>
      <x:c r="X1675" t="str" s="2">
        <x:v>9106588553</x:v>
      </x:c>
      <x:c r="Y1675" t="str" s="2">
        <x:v>dbrower2@icloud.com</x:v>
      </x:c>
      <x:c r="Z1675" s="6">
        <x:v>46293.588399155095</x:v>
      </x:c>
      <x:c r="AA1675" t="str" s="2">
        <x:v>Jeremy Jacques</x:v>
      </x:c>
      <x:c r="AB1675" s="6">
        <x:v>46288.846842280094</x:v>
      </x:c>
      <x:c r="AC1675" t="n" s="2">
        <x:v>40314</x:v>
      </x:c>
      <x:c r="AD1675" s="0"/>
      <x:c r="AE1675" s="0"/>
      <x:c r="AF1675" s="0"/>
      <x:c r="AG1675" s="0"/>
      <x:c r="AH1675" s="0"/>
      <x:c r="AI1675" s="0"/>
      <x:c r="AJ1675" s="0"/>
      <x:c r="AK1675" s="0"/>
    </x:row>
    <x:row r="1676">
      <x:c r="A1676" t="str" s="2">
        <x:f>=HYPERLINK("https://rsms.futurehomex.com/lead/40316", "Miranda Ledet")</x:f>
      </x:c>
      <x:c r="B1676" t="n" s="2">
        <x:v>20</x:v>
      </x:c>
      <x:c r="C1676" t="str" s="2">
        <x:v>1/8</x:v>
      </x:c>
      <x:c r="D1676" t="str" s="2">
        <x:f>=""</x:f>
      </x:c>
      <x:c r="E1676" s="0"/>
      <x:c r="F1676" t="str" s="2">
        <x:v>Landing_BPM</x:v>
      </x:c>
      <x:c r="G1676" t="str" s="2">
        <x:v>Heritage Housing of Jennings</x:v>
      </x:c>
      <x:c r="H1676" t="str" s="2">
        <x:v>Clint O'Neal</x:v>
      </x:c>
      <x:c r="I1676" s="0"/>
      <x:c r="J1676" t="str" s="2">
        <x:v>Clint O'Neal</x:v>
      </x:c>
      <x:c r="K1676" t="n" s="2">
        <x:v>5</x:v>
      </x:c>
      <x:c r="L1676" t="str" s="2">
        <x:v>1.1</x:v>
      </x:c>
      <x:c r="M1676" t="str" s="2">
        <x:v>Active</x:v>
      </x:c>
      <x:c r="N1676" t="str" s="2">
        <x:v>Deal Created</x:v>
      </x:c>
      <x:c r="O1676" s="0"/>
      <x:c r="P1676" s="6">
        <x:v>46288</x:v>
      </x:c>
      <x:c r="Q1676" s="6">
        <x:v>46288.868647916664</x:v>
      </x:c>
      <x:c r="R1676" s="0"/>
      <x:c r="S1676" s="0"/>
      <x:c r="T1676" s="0"/>
      <x:c r="U1676" s="0"/>
      <x:c r="V1676" s="0"/>
      <x:c r="W1676" s="0"/>
      <x:c r="X1676" t="str" s="2">
        <x:v>3373664600</x:v>
      </x:c>
      <x:c r="Y1676" t="str" s="2">
        <x:v>mirandaledet@hotmail.com</x:v>
      </x:c>
      <x:c r="Z1676" s="6">
        <x:v>46303.858918287035</x:v>
      </x:c>
      <x:c r="AA1676" t="str" s="2">
        <x:v>Clint O'Neal</x:v>
      </x:c>
      <x:c r="AB1676" s="6">
        <x:v>46288.868648414355</x:v>
      </x:c>
      <x:c r="AC1676" t="n" s="2">
        <x:v>40316</x:v>
      </x:c>
      <x:c r="AD1676" s="0"/>
      <x:c r="AE1676" s="0"/>
      <x:c r="AF1676" s="0"/>
      <x:c r="AG1676" s="0"/>
      <x:c r="AH1676" s="0"/>
      <x:c r="AI1676" s="0"/>
      <x:c r="AJ1676" s="0"/>
      <x:c r="AK1676" s="0"/>
    </x:row>
    <x:row r="1677">
      <x:c r="A1677" t="str" s="2">
        <x:f>=HYPERLINK("https://rsms.futurehomex.com/lead/40317", "Grisel Luevanos Fernandez")</x:f>
      </x:c>
      <x:c r="B1677" t="n" s="2">
        <x:v>20</x:v>
      </x:c>
      <x:c r="C1677" t="str" s="2">
        <x:v>0/2</x:v>
      </x:c>
      <x:c r="D1677" t="str" s="2">
        <x:f>=""</x:f>
      </x:c>
      <x:c r="E1677" s="0"/>
      <x:c r="F1677" t="str" s="2">
        <x:v>Facebook Messenger</x:v>
      </x:c>
      <x:c r="G1677" t="str" s="2">
        <x:v>Heritage Housing of Oklahoma City</x:v>
      </x:c>
      <x:c r="H1677" t="str" s="2">
        <x:v>Noemi Rojo</x:v>
      </x:c>
      <x:c r="I1677" s="0"/>
      <x:c r="J1677" t="str" s="2">
        <x:v>Noemi Rojo</x:v>
      </x:c>
      <x:c r="K1677" t="n" s="2">
        <x:v>5</x:v>
      </x:c>
      <x:c r="L1677" t="str" s="2">
        <x:v>1.1</x:v>
      </x:c>
      <x:c r="M1677" t="str" s="2">
        <x:v>Tentative</x:v>
      </x:c>
      <x:c r="N1677" t="str" s="2">
        <x:v>Deal Created</x:v>
      </x:c>
      <x:c r="O1677" s="0"/>
      <x:c r="P1677" s="6">
        <x:v>46288</x:v>
      </x:c>
      <x:c r="Q1677" s="6">
        <x:v>46289.707240393516</x:v>
      </x:c>
      <x:c r="R1677" s="0"/>
      <x:c r="S1677" s="0"/>
      <x:c r="T1677" s="0"/>
      <x:c r="U1677" s="0"/>
      <x:c r="V1677" s="0"/>
      <x:c r="W1677" s="0"/>
      <x:c r="X1677" t="str" s="2">
        <x:v>8169720905</x:v>
      </x:c>
      <x:c r="Y1677" t="str" s="2">
        <x:v>Grisel.luevano1983@gmail.com</x:v>
      </x:c>
      <x:c r="Z1677" s="6">
        <x:v>46291.86031866898</x:v>
      </x:c>
      <x:c r="AA1677" t="str" s="2">
        <x:v>Noemi Rojo</x:v>
      </x:c>
      <x:c r="AB1677" s="6">
        <x:v>46288.88909849537</x:v>
      </x:c>
      <x:c r="AC1677" t="n" s="2">
        <x:v>40317</x:v>
      </x:c>
      <x:c r="AD1677" s="0"/>
      <x:c r="AE1677" s="0"/>
      <x:c r="AF1677" s="0"/>
      <x:c r="AG1677" s="0"/>
      <x:c r="AH1677" s="0"/>
      <x:c r="AI1677" s="0"/>
      <x:c r="AJ1677" s="0"/>
      <x:c r="AK1677" s="0"/>
    </x:row>
    <x:row r="1678">
      <x:c r="A1678" t="str" s="2">
        <x:f>=HYPERLINK("https://rsms.futurehomex.com/lead/40318", "Luis Carlos")</x:f>
      </x:c>
      <x:c r="B1678" t="n" s="2">
        <x:v>20</x:v>
      </x:c>
      <x:c r="C1678" t="str" s="2">
        <x:v/>
      </x:c>
      <x:c r="D1678" t="str" s="2">
        <x:f>=""</x:f>
      </x:c>
      <x:c r="E1678" s="0"/>
      <x:c r="F1678" t="str" s="2">
        <x:v>Facebook Messenger</x:v>
      </x:c>
      <x:c r="G1678" t="str" s="2">
        <x:v>Heritage Housing of Oklahoma City</x:v>
      </x:c>
      <x:c r="H1678" t="str" s="2">
        <x:v>Noemi Rojo</x:v>
      </x:c>
      <x:c r="I1678" s="0"/>
      <x:c r="J1678" t="str" s="2">
        <x:v>Noemi Rojo</x:v>
      </x:c>
      <x:c r="K1678" t="n" s="2">
        <x:v>5</x:v>
      </x:c>
      <x:c r="L1678" t="str" s="2">
        <x:v>1.1</x:v>
      </x:c>
      <x:c r="M1678" t="str" s="2">
        <x:v>Tentative</x:v>
      </x:c>
      <x:c r="N1678" t="str" s="2">
        <x:v>Deal Created</x:v>
      </x:c>
      <x:c r="O1678" s="0"/>
      <x:c r="P1678" s="6">
        <x:v>46288</x:v>
      </x:c>
      <x:c r="Q1678" s="6">
        <x:v>46288.89876241898</x:v>
      </x:c>
      <x:c r="R1678" s="0"/>
      <x:c r="S1678" s="0"/>
      <x:c r="T1678" s="0"/>
      <x:c r="U1678" s="0"/>
      <x:c r="V1678" s="0"/>
      <x:c r="W1678" s="0"/>
      <x:c r="X1678" t="str" s="2">
        <x:v>4055466624</x:v>
      </x:c>
      <x:c r="Y1678" t="str" s="2">
        <x:v>garod200203@icloud.com</x:v>
      </x:c>
      <x:c r="Z1678" s="0"/>
      <x:c r="AA1678" s="0"/>
      <x:c r="AB1678" s="6">
        <x:v>46288.89846431713</x:v>
      </x:c>
      <x:c r="AC1678" t="n" s="2">
        <x:v>40318</x:v>
      </x:c>
      <x:c r="AD1678" s="0"/>
      <x:c r="AE1678" s="0"/>
      <x:c r="AF1678" s="0"/>
      <x:c r="AG1678" s="0"/>
      <x:c r="AH1678" s="0"/>
      <x:c r="AI1678" s="0"/>
      <x:c r="AJ1678" s="0"/>
      <x:c r="AK1678" s="0"/>
    </x:row>
    <x:row r="1679">
      <x:c r="A1679" t="str" s="2">
        <x:f>=HYPERLINK("https://rsms.futurehomex.com/lead/40319", "Lynette Jensen")</x:f>
      </x:c>
      <x:c r="B1679" t="n" s="2">
        <x:v>20</x:v>
      </x:c>
      <x:c r="C1679" t="str" s="2">
        <x:v>1/7</x:v>
      </x:c>
      <x:c r="D1679" t="str" s="2">
        <x:f>=""</x:f>
      </x:c>
      <x:c r="E1679" s="0"/>
      <x:c r="F1679" t="str" s="2">
        <x:v>Walk-in</x:v>
      </x:c>
      <x:c r="G1679" t="str" s="2">
        <x:v>Heritage Housing of Jennings</x:v>
      </x:c>
      <x:c r="H1679" t="str" s="2">
        <x:v>Clint O'Neal</x:v>
      </x:c>
      <x:c r="I1679" s="0"/>
      <x:c r="J1679" s="0"/>
      <x:c r="K1679" t="n" s="2">
        <x:v>5</x:v>
      </x:c>
      <x:c r="L1679" t="str" s="2">
        <x:v>1.1</x:v>
      </x:c>
      <x:c r="M1679" t="str" s="2">
        <x:v>Inactive</x:v>
      </x:c>
      <x:c r="N1679" t="str" s="2">
        <x:v>Prospect</x:v>
      </x:c>
      <x:c r="O1679" s="0"/>
      <x:c r="P1679" s="6">
        <x:v>46288</x:v>
      </x:c>
      <x:c r="Q1679" s="6">
        <x:v>46297.784912152776</x:v>
      </x:c>
      <x:c r="R1679" s="0"/>
      <x:c r="S1679" s="0"/>
      <x:c r="T1679" s="0"/>
      <x:c r="U1679" s="0"/>
      <x:c r="V1679" s="0"/>
      <x:c r="W1679" s="0"/>
      <x:c r="X1679" t="str" s="2">
        <x:v>3378534394</x:v>
      </x:c>
      <x:c r="Y1679" t="str" s="2">
        <x:v>ljscraps@yahoo.com</x:v>
      </x:c>
      <x:c r="Z1679" s="6">
        <x:v>46303.744732604166</x:v>
      </x:c>
      <x:c r="AA1679" t="str" s="2">
        <x:v>Clint O'Neal</x:v>
      </x:c>
      <x:c r="AB1679" s="6">
        <x:v>46288.91248475695</x:v>
      </x:c>
      <x:c r="AC1679" t="n" s="2">
        <x:v>40319</x:v>
      </x:c>
      <x:c r="AD1679" s="0"/>
      <x:c r="AE1679" s="0"/>
      <x:c r="AF1679" s="0"/>
      <x:c r="AG1679" s="0"/>
      <x:c r="AH1679" s="0"/>
      <x:c r="AI1679" s="0"/>
      <x:c r="AJ1679" s="0"/>
      <x:c r="AK1679" s="0"/>
    </x:row>
    <x:row r="1680">
      <x:c r="A1680" t="str" s="2">
        <x:f>=HYPERLINK("https://rsms.futurehomex.com/lead/40320", "Haley Hyatt")</x:f>
      </x:c>
      <x:c r="B1680" t="n" s="2">
        <x:v>20</x:v>
      </x:c>
      <x:c r="C1680" t="str" s="2">
        <x:v>0/1</x:v>
      </x:c>
      <x:c r="D1680" t="str" s="2">
        <x:f>=""</x:f>
      </x:c>
      <x:c r="E1680" s="0"/>
      <x:c r="F1680" t="str" s="2">
        <x:v>Walk-in</x:v>
      </x:c>
      <x:c r="G1680" t="str" s="2">
        <x:v>Heritage Housing of Minden</x:v>
      </x:c>
      <x:c r="H1680" t="str" s="2">
        <x:v>Patrick Schuchart</x:v>
      </x:c>
      <x:c r="I1680" t="str" s="2">
        <x:v>Karol Romero</x:v>
      </x:c>
      <x:c r="J1680" t="str" s="2">
        <x:v>Patrick Schuchart</x:v>
      </x:c>
      <x:c r="K1680" t="n" s="2">
        <x:v>5</x:v>
      </x:c>
      <x:c r="L1680" t="str" s="2">
        <x:v>1.1</x:v>
      </x:c>
      <x:c r="M1680" t="str" s="2">
        <x:v>Tentative</x:v>
      </x:c>
      <x:c r="N1680" t="str" s="2">
        <x:v>Deal Created</x:v>
      </x:c>
      <x:c r="O1680" s="0"/>
      <x:c r="P1680" s="6">
        <x:v>46288</x:v>
      </x:c>
      <x:c r="Q1680" s="6">
        <x:v>46288.92084170139</x:v>
      </x:c>
      <x:c r="R1680" s="0"/>
      <x:c r="S1680" s="0"/>
      <x:c r="T1680" s="0"/>
      <x:c r="U1680" s="0"/>
      <x:c r="V1680" s="0"/>
      <x:c r="W1680" s="0"/>
      <x:c r="X1680" t="str" s="2">
        <x:v>3182684730</x:v>
      </x:c>
      <x:c r="Y1680" t="str" s="2">
        <x:v>3182684730</x:v>
      </x:c>
      <x:c r="Z1680" s="6">
        <x:v>46295.78302268519</x:v>
      </x:c>
      <x:c r="AA1680" t="str" s="2">
        <x:v>Kyla Brown</x:v>
      </x:c>
      <x:c r="AB1680" s="6">
        <x:v>46288.92084305556</x:v>
      </x:c>
      <x:c r="AC1680" t="n" s="2">
        <x:v>40320</x:v>
      </x:c>
      <x:c r="AD1680" s="0"/>
      <x:c r="AE1680" s="0"/>
      <x:c r="AF1680" s="0"/>
      <x:c r="AG1680" s="0"/>
      <x:c r="AH1680" s="0"/>
      <x:c r="AI1680" s="0"/>
      <x:c r="AJ1680" s="0"/>
      <x:c r="AK1680" s="0"/>
    </x:row>
    <x:row r="1681">
      <x:c r="A1681" t="str" s="2">
        <x:f>=HYPERLINK("https://rsms.futurehomex.com/lead/40321", "Mathew Chandler")</x:f>
      </x:c>
      <x:c r="B1681" t="n" s="2">
        <x:v>20</x:v>
      </x:c>
      <x:c r="C1681" t="str" s="2">
        <x:v/>
      </x:c>
      <x:c r="D1681" t="str" s="2">
        <x:f>=""</x:f>
      </x:c>
      <x:c r="E1681" s="0"/>
      <x:c r="F1681" t="str" s="2">
        <x:v>Other</x:v>
      </x:c>
      <x:c r="G1681" t="str" s="2">
        <x:v>Heritage Housing of Oklahoma City</x:v>
      </x:c>
      <x:c r="H1681" t="str" s="2">
        <x:v>Steve Castell</x:v>
      </x:c>
      <x:c r="I1681" t="str" s="2">
        <x:v>Karol Romero</x:v>
      </x:c>
      <x:c r="J1681" t="str" s="2">
        <x:v>Devon McCoy</x:v>
      </x:c>
      <x:c r="K1681" t="n" s="2">
        <x:v>5</x:v>
      </x:c>
      <x:c r="L1681" t="str" s="2">
        <x:v>1.1</x:v>
      </x:c>
      <x:c r="M1681" t="str" s="2">
        <x:v>Dead</x:v>
      </x:c>
      <x:c r="N1681" t="str" s="2">
        <x:v>Deal Created</x:v>
      </x:c>
      <x:c r="O1681" s="0"/>
      <x:c r="P1681" s="6">
        <x:v>46288</x:v>
      </x:c>
      <x:c r="Q1681" s="6">
        <x:v>46288.94493961806</x:v>
      </x:c>
      <x:c r="R1681" t="str" s="2">
        <x:v>Devon McCoy</x:v>
      </x:c>
      <x:c r="S1681" s="6">
        <x:v>46288</x:v>
      </x:c>
      <x:c r="T1681" s="0"/>
      <x:c r="U1681" s="0"/>
      <x:c r="V1681" s="0"/>
      <x:c r="W1681" s="0"/>
      <x:c r="X1681" t="str" s="2">
        <x:v>4054658506</x:v>
      </x:c>
      <x:c r="Y1681" t="str" s="2">
        <x:v>mathewchandler2009@gmail.com</x:v>
      </x:c>
      <x:c r="Z1681" s="6">
        <x:v>46288.94594193287</x:v>
      </x:c>
      <x:c r="AA1681" t="str" s="2">
        <x:v>Devon McCoy</x:v>
      </x:c>
      <x:c r="AB1681" s="6">
        <x:v>46288.94494105324</x:v>
      </x:c>
      <x:c r="AC1681" t="n" s="2">
        <x:v>40321</x:v>
      </x:c>
      <x:c r="AD1681" s="0"/>
      <x:c r="AE1681" s="0"/>
      <x:c r="AF1681" s="0"/>
      <x:c r="AG1681" s="0"/>
      <x:c r="AH1681" s="0"/>
      <x:c r="AI1681" s="0"/>
      <x:c r="AJ1681" s="0"/>
      <x:c r="AK1681" s="0"/>
    </x:row>
    <x:row r="1682">
      <x:c r="A1682" t="str" s="2">
        <x:f>=HYPERLINK("https://rsms.futurehomex.com/lead/40322", "Norma Lopez")</x:f>
      </x:c>
      <x:c r="B1682" t="n" s="2">
        <x:v>20</x:v>
      </x:c>
      <x:c r="C1682" t="str" s="2">
        <x:v>1/3</x:v>
      </x:c>
      <x:c r="D1682" t="str" s="2">
        <x:f>=""</x:f>
      </x:c>
      <x:c r="E1682" s="0"/>
      <x:c r="F1682" t="str" s="2">
        <x:v>Facebook Messenger</x:v>
      </x:c>
      <x:c r="G1682" t="str" s="2">
        <x:v>Heritage Housing of Oklahoma City</x:v>
      </x:c>
      <x:c r="H1682" t="str" s="2">
        <x:v>Noemi Rojo</x:v>
      </x:c>
      <x:c r="I1682" s="0"/>
      <x:c r="J1682" t="str" s="2">
        <x:v>Noemi Rojo</x:v>
      </x:c>
      <x:c r="K1682" t="n" s="2">
        <x:v>5</x:v>
      </x:c>
      <x:c r="L1682" t="str" s="2">
        <x:v>1.1</x:v>
      </x:c>
      <x:c r="M1682" t="str" s="2">
        <x:v>Tentative</x:v>
      </x:c>
      <x:c r="N1682" t="str" s="2">
        <x:v>Deal Created</x:v>
      </x:c>
      <x:c r="O1682" s="0"/>
      <x:c r="P1682" s="6">
        <x:v>46288</x:v>
      </x:c>
      <x:c r="Q1682" s="6">
        <x:v>46289.91683460648</x:v>
      </x:c>
      <x:c r="R1682" s="0"/>
      <x:c r="S1682" s="0"/>
      <x:c r="T1682" s="0"/>
      <x:c r="U1682" s="0"/>
      <x:c r="V1682" s="0"/>
      <x:c r="W1682" s="0"/>
      <x:c r="X1682" t="str" s="2">
        <x:v>2403832123</x:v>
      </x:c>
      <x:c r="Y1682" t="str" s="2">
        <x:v>OMARDAMACIO@GMAIL.COM</x:v>
      </x:c>
      <x:c r="Z1682" s="6">
        <x:v>46302.08473587963</x:v>
      </x:c>
      <x:c r="AA1682" t="str" s="2">
        <x:v>Steve Castell</x:v>
      </x:c>
      <x:c r="AB1682" s="6">
        <x:v>46288.948169641204</x:v>
      </x:c>
      <x:c r="AC1682" t="n" s="2">
        <x:v>40322</x:v>
      </x:c>
      <x:c r="AD1682" s="0"/>
      <x:c r="AE1682" s="0"/>
      <x:c r="AF1682" s="0"/>
      <x:c r="AG1682" s="0"/>
      <x:c r="AH1682" s="0"/>
      <x:c r="AI1682" s="0"/>
      <x:c r="AJ1682" s="0"/>
      <x:c r="AK1682" s="0"/>
    </x:row>
    <x:row r="1683">
      <x:c r="A1683" t="str" s="2">
        <x:f>=HYPERLINK("https://rsms.futurehomex.com/lead/40324", "Lewis Bailey")</x:f>
      </x:c>
      <x:c r="B1683" t="n" s="2">
        <x:v>20</x:v>
      </x:c>
      <x:c r="C1683" t="str" s="2">
        <x:v>1/1</x:v>
      </x:c>
      <x:c r="D1683" t="str" s="2">
        <x:f>=""</x:f>
      </x:c>
      <x:c r="E1683" s="0"/>
      <x:c r="F1683" t="str" s="2">
        <x:v>Facebook Messenger</x:v>
      </x:c>
      <x:c r="G1683" t="str" s="2">
        <x:v>Heritage Housing of Oklahoma City</x:v>
      </x:c>
      <x:c r="H1683" t="str" s="2">
        <x:v>Trey Rixleben</x:v>
      </x:c>
      <x:c r="I1683" s="0"/>
      <x:c r="J1683" s="0"/>
      <x:c r="K1683" t="n" s="2">
        <x:v>5</x:v>
      </x:c>
      <x:c r="L1683" t="str" s="2">
        <x:v>1.1</x:v>
      </x:c>
      <x:c r="M1683" t="str" s="2">
        <x:v>Tentative</x:v>
      </x:c>
      <x:c r="N1683" t="str" s="2">
        <x:v>Deal Created</x:v>
      </x:c>
      <x:c r="O1683" s="0"/>
      <x:c r="P1683" s="6">
        <x:v>46288</x:v>
      </x:c>
      <x:c r="Q1683" s="6">
        <x:v>46288.96305628472</x:v>
      </x:c>
      <x:c r="R1683" s="0"/>
      <x:c r="S1683" s="6">
        <x:v>46288</x:v>
      </x:c>
      <x:c r="T1683" s="0"/>
      <x:c r="U1683" s="0"/>
      <x:c r="V1683" s="0"/>
      <x:c r="W1683" s="0"/>
      <x:c r="X1683" t="str" s="2">
        <x:v>5804589542</x:v>
      </x:c>
      <x:c r="Y1683" t="str" s="2">
        <x:v>5804589542</x:v>
      </x:c>
      <x:c r="Z1683" s="6">
        <x:v>46304.752888194445</x:v>
      </x:c>
      <x:c r="AA1683" t="str" s="2">
        <x:v>Trey Rixleben</x:v>
      </x:c>
      <x:c r="AB1683" s="6">
        <x:v>46288.96305763889</x:v>
      </x:c>
      <x:c r="AC1683" t="n" s="2">
        <x:v>40324</x:v>
      </x:c>
      <x:c r="AD1683" s="0"/>
      <x:c r="AE1683" s="0"/>
      <x:c r="AF1683" s="0"/>
      <x:c r="AG1683" s="0"/>
      <x:c r="AH1683" s="0"/>
      <x:c r="AI1683" s="0"/>
      <x:c r="AJ1683" s="0"/>
      <x:c r="AK1683" s="0"/>
    </x:row>
    <x:row r="1684">
      <x:c r="A1684" t="str" s="2">
        <x:f>=HYPERLINK("https://rsms.futurehomex.com/lead/40325", "Robert Garvin")</x:f>
      </x:c>
      <x:c r="B1684" t="n" s="2">
        <x:v>20</x:v>
      </x:c>
      <x:c r="C1684" t="str" s="2">
        <x:v/>
      </x:c>
      <x:c r="D1684" t="str" s="2">
        <x:f>=""</x:f>
      </x:c>
      <x:c r="E1684" t="str" s="2">
        <x:v>Megan Garvin</x:v>
      </x:c>
      <x:c r="F1684" t="str" s="2">
        <x:v>Walk-in</x:v>
      </x:c>
      <x:c r="G1684" t="str" s="2">
        <x:v>Heritage Housing of Augusta</x:v>
      </x:c>
      <x:c r="H1684" t="str" s="2">
        <x:v>Faye Lively</x:v>
      </x:c>
      <x:c r="I1684" t="str" s="2">
        <x:v>Karol Romero</x:v>
      </x:c>
      <x:c r="J1684" t="str" s="2">
        <x:v>Faye Lively</x:v>
      </x:c>
      <x:c r="K1684" t="n" s="2">
        <x:v>48</x:v>
      </x:c>
      <x:c r="L1684" t="str" s="2">
        <x:v>3.7</x:v>
      </x:c>
      <x:c r="M1684" t="str" s="2">
        <x:v>Active</x:v>
      </x:c>
      <x:c r="N1684" t="str" s="2">
        <x:v>Loan Submitted</x:v>
      </x:c>
      <x:c r="O1684" s="0"/>
      <x:c r="P1684" s="6">
        <x:v>46288</x:v>
      </x:c>
      <x:c r="Q1684" s="6">
        <x:v>46290.90703776621</x:v>
      </x:c>
      <x:c r="R1684" s="0"/>
      <x:c r="S1684" s="6">
        <x:v>46288</x:v>
      </x:c>
      <x:c r="T1684" s="6">
        <x:v>46288</x:v>
      </x:c>
      <x:c r="U1684" s="6">
        <x:v>46300</x:v>
      </x:c>
      <x:c r="V1684" s="0"/>
      <x:c r="W1684" s="0"/>
      <x:c r="X1684" t="str" s="2">
        <x:v>18035080574</x:v>
      </x:c>
      <x:c r="Y1684" t="str" s="2">
        <x:v>robertgarvin37@gmail.com</x:v>
      </x:c>
      <x:c r="Z1684" s="6">
        <x:v>46300.61692434028</x:v>
      </x:c>
      <x:c r="AA1684" t="str" s="2">
        <x:v>Alexander Bryant</x:v>
      </x:c>
      <x:c r="AB1684" s="6">
        <x:v>46288.96499228009</x:v>
      </x:c>
      <x:c r="AC1684" t="n" s="2">
        <x:v>40325</x:v>
      </x:c>
      <x:c r="AD1684" t="str" s="2">
        <x:v>Doublewide</x:v>
      </x:c>
      <x:c r="AE1684" t="str" s="2">
        <x:v>Legacy Housing Corporation</x:v>
      </x:c>
      <x:c r="AF1684" s="7">
        <x:v>15000</x:v>
      </x:c>
      <x:c r="AG1684" s="7">
        <x:v>15000</x:v>
      </x:c>
      <x:c r="AH1684" s="0"/>
      <x:c r="AI1684" t="str" s="2">
        <x:v>502</x:v>
      </x:c>
      <x:c r="AJ1684" s="0"/>
      <x:c r="AK1684" s="0"/>
    </x:row>
    <x:row r="1685">
      <x:c r="A1685" t="str" s="2">
        <x:f>=HYPERLINK("https://rsms.futurehomex.com/lead/40327", "Sharee Benjamin")</x:f>
      </x:c>
      <x:c r="B1685" t="n" s="2">
        <x:v>19</x:v>
      </x:c>
      <x:c r="C1685" t="str" s="2">
        <x:v>0/2</x:v>
      </x:c>
      <x:c r="D1685" t="str" s="2">
        <x:f>=""</x:f>
      </x:c>
      <x:c r="E1685" s="0"/>
      <x:c r="F1685" t="str" s="2">
        <x:v>Website</x:v>
      </x:c>
      <x:c r="G1685" t="str" s="2">
        <x:v>Heritage Housing of Oklahoma City</x:v>
      </x:c>
      <x:c r="H1685" t="str" s="2">
        <x:v>Trey Rixleben</x:v>
      </x:c>
      <x:c r="I1685" s="0"/>
      <x:c r="J1685" t="str" s="2">
        <x:v>Trey Rixleben</x:v>
      </x:c>
      <x:c r="K1685" t="n" s="2">
        <x:v>5</x:v>
      </x:c>
      <x:c r="L1685" t="str" s="2">
        <x:v>1.1</x:v>
      </x:c>
      <x:c r="M1685" t="str" s="2">
        <x:v>Dead</x:v>
      </x:c>
      <x:c r="N1685" t="str" s="2">
        <x:v>Deal Created</x:v>
      </x:c>
      <x:c r="O1685" s="0"/>
      <x:c r="P1685" s="6">
        <x:v>46289</x:v>
      </x:c>
      <x:c r="Q1685" s="6">
        <x:v>46294.78919216435</x:v>
      </x:c>
      <x:c r="R1685" s="0"/>
      <x:c r="S1685" s="0"/>
      <x:c r="T1685" s="0"/>
      <x:c r="U1685" s="0"/>
      <x:c r="V1685" s="0"/>
      <x:c r="W1685" s="0"/>
      <x:c r="X1685" t="str" s="2">
        <x:v>2144441790</x:v>
      </x:c>
      <x:c r="Y1685" t="str" s="2">
        <x:v>shareeelisa05@gmail.com</x:v>
      </x:c>
      <x:c r="Z1685" s="6">
        <x:v>46296.96146608796</x:v>
      </x:c>
      <x:c r="AA1685" t="str" s="2">
        <x:v>Richard Bell</x:v>
      </x:c>
      <x:c r="AB1685" s="6">
        <x:v>46289.58523541666</x:v>
      </x:c>
      <x:c r="AC1685" t="n" s="2">
        <x:v>40327</x:v>
      </x:c>
      <x:c r="AD1685" s="0"/>
      <x:c r="AE1685" s="0"/>
      <x:c r="AF1685" s="0"/>
      <x:c r="AG1685" s="0"/>
      <x:c r="AH1685" s="0"/>
      <x:c r="AI1685" s="0"/>
      <x:c r="AJ1685" s="0"/>
      <x:c r="AK1685" s="0"/>
    </x:row>
    <x:row r="1686">
      <x:c r="A1686" t="str" s="2">
        <x:f>=HYPERLINK("https://rsms.futurehomex.com/lead/40328", "Justin Gooden")</x:f>
      </x:c>
      <x:c r="B1686" t="n" s="2">
        <x:v>19</x:v>
      </x:c>
      <x:c r="C1686" t="str" s="2">
        <x:v>1/1</x:v>
      </x:c>
      <x:c r="D1686" t="str" s="2">
        <x:f>=""</x:f>
      </x:c>
      <x:c r="E1686" s="0"/>
      <x:c r="F1686" t="str" s="2">
        <x:v>Landing_BPM</x:v>
      </x:c>
      <x:c r="G1686" t="str" s="2">
        <x:v>Heritage Housing of Oklahoma City</x:v>
      </x:c>
      <x:c r="H1686" t="str" s="2">
        <x:v>Trey Rixleben</x:v>
      </x:c>
      <x:c r="I1686" s="0"/>
      <x:c r="J1686" t="str" s="2">
        <x:v>Trey Rixleben</x:v>
      </x:c>
      <x:c r="K1686" t="n" s="2">
        <x:v>5</x:v>
      </x:c>
      <x:c r="L1686" t="str" s="2">
        <x:v>1.1</x:v>
      </x:c>
      <x:c r="M1686" t="str" s="2">
        <x:v>Tentative</x:v>
      </x:c>
      <x:c r="N1686" t="str" s="2">
        <x:v>Deal Created</x:v>
      </x:c>
      <x:c r="O1686" s="0"/>
      <x:c r="P1686" s="6">
        <x:v>46289</x:v>
      </x:c>
      <x:c r="Q1686" s="6">
        <x:v>46295.95564008102</x:v>
      </x:c>
      <x:c r="R1686" s="0"/>
      <x:c r="S1686" s="0"/>
      <x:c r="T1686" s="0"/>
      <x:c r="U1686" s="0"/>
      <x:c r="V1686" s="0"/>
      <x:c r="W1686" s="0"/>
      <x:c r="X1686" t="str" s="2">
        <x:v>4059825218</x:v>
      </x:c>
      <x:c r="Y1686" t="str" s="2">
        <x:v>goodenpleny@gmail.com</x:v>
      </x:c>
      <x:c r="Z1686" s="6">
        <x:v>46295.95724664352</x:v>
      </x:c>
      <x:c r="AA1686" t="str" s="2">
        <x:v>Trey Rixleben</x:v>
      </x:c>
      <x:c r="AB1686" s="6">
        <x:v>46289.60788429398</x:v>
      </x:c>
      <x:c r="AC1686" t="n" s="2">
        <x:v>40328</x:v>
      </x:c>
      <x:c r="AD1686" s="0"/>
      <x:c r="AE1686" s="0"/>
      <x:c r="AF1686" s="0"/>
      <x:c r="AG1686" s="0"/>
      <x:c r="AH1686" s="0"/>
      <x:c r="AI1686" s="0"/>
      <x:c r="AJ1686" s="0"/>
      <x:c r="AK1686" s="0"/>
    </x:row>
    <x:row r="1687">
      <x:c r="A1687" t="str" s="2">
        <x:f>=HYPERLINK("https://rsms.futurehomex.com/lead/40329", "valentin trujillo")</x:f>
      </x:c>
      <x:c r="B1687" t="n" s="2">
        <x:v>19</x:v>
      </x:c>
      <x:c r="C1687" t="str" s="2">
        <x:v/>
      </x:c>
      <x:c r="D1687" t="str" s="2">
        <x:f>=""</x:f>
      </x:c>
      <x:c r="E1687" s="0"/>
      <x:c r="F1687" t="str" s="2">
        <x:v>Landing_BPM</x:v>
      </x:c>
      <x:c r="G1687" t="str" s="2">
        <x:v>Heritage Housing Marble Falls</x:v>
      </x:c>
      <x:c r="H1687" t="str" s="2">
        <x:v>Stephen Sanders</x:v>
      </x:c>
      <x:c r="I1687" s="0"/>
      <x:c r="J1687" t="str" s="2">
        <x:v>Stephen Sanders</x:v>
      </x:c>
      <x:c r="K1687" t="n" s="2">
        <x:v>5</x:v>
      </x:c>
      <x:c r="L1687" t="str" s="2">
        <x:v>1.1</x:v>
      </x:c>
      <x:c r="M1687" t="str" s="2">
        <x:v>Tentative</x:v>
      </x:c>
      <x:c r="N1687" t="str" s="2">
        <x:v>Prospect</x:v>
      </x:c>
      <x:c r="O1687" s="0"/>
      <x:c r="P1687" s="6">
        <x:v>46289</x:v>
      </x:c>
      <x:c r="Q1687" s="6">
        <x:v>46289.610499421295</x:v>
      </x:c>
      <x:c r="R1687" s="0"/>
      <x:c r="S1687" s="0"/>
      <x:c r="T1687" s="0"/>
      <x:c r="U1687" s="0"/>
      <x:c r="V1687" s="0"/>
      <x:c r="W1687" s="0"/>
      <x:c r="X1687" t="str" s="2">
        <x:v>5123799159</x:v>
      </x:c>
      <x:c r="Y1687" t="str" s="2">
        <x:v>valentintrujillo437@ymail.com</x:v>
      </x:c>
      <x:c r="Z1687" s="0"/>
      <x:c r="AA1687" s="0"/>
      <x:c r="AB1687" s="6">
        <x:v>46289.610499849536</x:v>
      </x:c>
      <x:c r="AC1687" t="n" s="2">
        <x:v>40329</x:v>
      </x:c>
      <x:c r="AD1687" s="0"/>
      <x:c r="AE1687" s="0"/>
      <x:c r="AF1687" s="0"/>
      <x:c r="AG1687" s="0"/>
      <x:c r="AH1687" s="0"/>
      <x:c r="AI1687" s="0"/>
      <x:c r="AJ1687" s="0"/>
      <x:c r="AK1687" s="0"/>
    </x:row>
    <x:row r="1688">
      <x:c r="A1688" t="str" s="2">
        <x:f>=HYPERLINK("https://rsms.futurehomex.com/lead/40330", "Shelia Edens")</x:f>
      </x:c>
      <x:c r="B1688" t="n" s="2">
        <x:v>19</x:v>
      </x:c>
      <x:c r="C1688" t="str" s="2">
        <x:v/>
      </x:c>
      <x:c r="D1688" t="str" s="2">
        <x:f>=""</x:f>
      </x:c>
      <x:c r="E1688" s="0"/>
      <x:c r="F1688" t="str" s="2">
        <x:v>Walk-in</x:v>
      </x:c>
      <x:c r="G1688" t="str" s="2">
        <x:v>Heritage Housing of Tulsa</x:v>
      </x:c>
      <x:c r="H1688" t="str" s="2">
        <x:v>Jenna Fransisco</x:v>
      </x:c>
      <x:c r="I1688" s="0"/>
      <x:c r="J1688" s="0"/>
      <x:c r="K1688" t="n" s="2">
        <x:v>34</x:v>
      </x:c>
      <x:c r="L1688" t="str" s="2">
        <x:v>2.4</x:v>
      </x:c>
      <x:c r="M1688" t="str" s="2">
        <x:v>Tentative</x:v>
      </x:c>
      <x:c r="N1688" t="str" s="2">
        <x:v>Deal approval</x:v>
      </x:c>
      <x:c r="O1688" s="0"/>
      <x:c r="P1688" s="6">
        <x:v>46289</x:v>
      </x:c>
      <x:c r="Q1688" s="6">
        <x:v>46289.84998491898</x:v>
      </x:c>
      <x:c r="R1688" s="0"/>
      <x:c r="S1688" s="0"/>
      <x:c r="T1688" s="0"/>
      <x:c r="U1688" s="0"/>
      <x:c r="V1688" s="0"/>
      <x:c r="W1688" s="0"/>
      <x:c r="X1688" t="str" s="2">
        <x:v>9184955659</x:v>
      </x:c>
      <x:c r="Y1688" t="str" s="2">
        <x:v>nanaof8.se@gmail.com</x:v>
      </x:c>
      <x:c r="Z1688" s="6">
        <x:v>46289.8478071412</x:v>
      </x:c>
      <x:c r="AA1688" t="str" s="2">
        <x:v>Derek Searcy</x:v>
      </x:c>
      <x:c r="AB1688" s="6">
        <x:v>46289.62771076389</x:v>
      </x:c>
      <x:c r="AC1688" t="n" s="2">
        <x:v>40330</x:v>
      </x:c>
      <x:c r="AD1688" t="str" s="2">
        <x:v>Singlewide</x:v>
      </x:c>
      <x:c r="AE1688" s="0"/>
      <x:c r="AF1688" s="0"/>
      <x:c r="AG1688" s="0"/>
      <x:c r="AH1688" s="0"/>
      <x:c r="AI1688" s="0"/>
      <x:c r="AJ1688" s="0"/>
      <x:c r="AK1688" s="0"/>
    </x:row>
    <x:row r="1689">
      <x:c r="A1689" t="str" s="2">
        <x:f>=HYPERLINK("https://rsms.futurehomex.com/lead/40331", "Niesha Blasingame")</x:f>
      </x:c>
      <x:c r="B1689" t="n" s="2">
        <x:v>19</x:v>
      </x:c>
      <x:c r="C1689" t="str" s="2">
        <x:v/>
      </x:c>
      <x:c r="D1689" t="str" s="2">
        <x:f>=""</x:f>
      </x:c>
      <x:c r="E1689" s="0"/>
      <x:c r="F1689" t="str" s="2">
        <x:v>Walk-in</x:v>
      </x:c>
      <x:c r="G1689" t="str" s="2">
        <x:v>Heritage Housing of Athens</x:v>
      </x:c>
      <x:c r="H1689" t="str" s="2">
        <x:v>Nathan Bishop</x:v>
      </x:c>
      <x:c r="I1689" s="0"/>
      <x:c r="J1689" s="0"/>
      <x:c r="K1689" t="n" s="2">
        <x:v>5</x:v>
      </x:c>
      <x:c r="L1689" t="str" s="2">
        <x:v>1.1</x:v>
      </x:c>
      <x:c r="M1689" t="str" s="2">
        <x:v>Tentative</x:v>
      </x:c>
      <x:c r="N1689" t="str" s="2">
        <x:v>Prospect</x:v>
      </x:c>
      <x:c r="O1689" s="0"/>
      <x:c r="P1689" s="6">
        <x:v>46289</x:v>
      </x:c>
      <x:c r="Q1689" s="6">
        <x:v>46297.7895008912</x:v>
      </x:c>
      <x:c r="R1689" s="0"/>
      <x:c r="S1689" s="0"/>
      <x:c r="T1689" s="0"/>
      <x:c r="U1689" s="0"/>
      <x:c r="V1689" s="0"/>
      <x:c r="W1689" s="0"/>
      <x:c r="X1689" t="str" s="2">
        <x:v>6785324487</x:v>
      </x:c>
      <x:c r="Y1689" t="str" s="2">
        <x:v>niesha.blasingame@yahoo.com</x:v>
      </x:c>
      <x:c r="Z1689" s="6">
        <x:v>46297.79421137732</x:v>
      </x:c>
      <x:c r="AA1689" t="str" s="2">
        <x:v>Nathan Bishop</x:v>
      </x:c>
      <x:c r="AB1689" s="6">
        <x:v>46289.63940929398</x:v>
      </x:c>
      <x:c r="AC1689" t="n" s="2">
        <x:v>40331</x:v>
      </x:c>
      <x:c r="AD1689" s="0"/>
      <x:c r="AE1689" s="0"/>
      <x:c r="AF1689" s="0"/>
      <x:c r="AG1689" s="7">
        <x:v>30000</x:v>
      </x:c>
      <x:c r="AH1689" s="0"/>
      <x:c r="AI1689" s="0"/>
      <x:c r="AJ1689" s="0"/>
      <x:c r="AK1689" s="0"/>
    </x:row>
    <x:row r="1690">
      <x:c r="A1690" t="str" s="2">
        <x:f>=HYPERLINK("https://rsms.futurehomex.com/lead/40332", "Dennis Milligan")</x:f>
      </x:c>
      <x:c r="B1690" t="n" s="2">
        <x:v>19</x:v>
      </x:c>
      <x:c r="C1690" t="str" s="2">
        <x:v/>
      </x:c>
      <x:c r="D1690" t="str" s="2">
        <x:f>=""</x:f>
      </x:c>
      <x:c r="E1690" s="0"/>
      <x:c r="F1690" t="str" s="2">
        <x:v>Bing - Search</x:v>
      </x:c>
      <x:c r="G1690" t="str" s="2">
        <x:v>Heritage Housing of Athens</x:v>
      </x:c>
      <x:c r="H1690" t="str" s="2">
        <x:v>Ethan Fossett</x:v>
      </x:c>
      <x:c r="I1690" s="0"/>
      <x:c r="J1690" t="str" s="2">
        <x:v>Ethan Fossett</x:v>
      </x:c>
      <x:c r="K1690" t="n" s="2">
        <x:v>5</x:v>
      </x:c>
      <x:c r="L1690" t="str" s="2">
        <x:v>1.1</x:v>
      </x:c>
      <x:c r="M1690" t="str" s="2">
        <x:v>Tentative</x:v>
      </x:c>
      <x:c r="N1690" t="str" s="2">
        <x:v>Prospect</x:v>
      </x:c>
      <x:c r="O1690" s="0"/>
      <x:c r="P1690" s="6">
        <x:v>46289</x:v>
      </x:c>
      <x:c r="Q1690" s="6">
        <x:v>46289.65260790509</x:v>
      </x:c>
      <x:c r="R1690" s="0"/>
      <x:c r="S1690" s="0"/>
      <x:c r="T1690" s="0"/>
      <x:c r="U1690" s="0"/>
      <x:c r="V1690" s="0"/>
      <x:c r="W1690" s="0"/>
      <x:c r="X1690" t="str" s="2">
        <x:v>7709102617</x:v>
      </x:c>
      <x:c r="Y1690" t="str" s="2">
        <x:v>dtmilligan1245@att.net</x:v>
      </x:c>
      <x:c r="Z1690" s="0"/>
      <x:c r="AA1690" s="0"/>
      <x:c r="AB1690" s="6">
        <x:v>46289.65260833333</x:v>
      </x:c>
      <x:c r="AC1690" t="n" s="2">
        <x:v>40332</x:v>
      </x:c>
      <x:c r="AD1690" s="0"/>
      <x:c r="AE1690" s="0"/>
      <x:c r="AF1690" s="0"/>
      <x:c r="AG1690" s="0"/>
      <x:c r="AH1690" s="0"/>
      <x:c r="AI1690" s="0"/>
      <x:c r="AJ1690" s="0"/>
      <x:c r="AK1690" s="0"/>
    </x:row>
    <x:row r="1691">
      <x:c r="A1691" t="str" s="2">
        <x:f>=HYPERLINK("https://rsms.futurehomex.com/lead/40333", "Maria Griselda Peralta")</x:f>
      </x:c>
      <x:c r="B1691" t="n" s="2">
        <x:v>19</x:v>
      </x:c>
      <x:c r="C1691" t="str" s="2">
        <x:v>0/3</x:v>
      </x:c>
      <x:c r="D1691" t="str" s="2">
        <x:f>=""</x:f>
      </x:c>
      <x:c r="E1691" s="0"/>
      <x:c r="F1691" t="str" s="2">
        <x:v>Facebook Messenger</x:v>
      </x:c>
      <x:c r="G1691" t="str" s="2">
        <x:v>Heritage Housing of Oklahoma City</x:v>
      </x:c>
      <x:c r="H1691" t="str" s="2">
        <x:v>Noemi Rojo</x:v>
      </x:c>
      <x:c r="I1691" s="0"/>
      <x:c r="J1691" t="str" s="2">
        <x:v>Noemi Rojo</x:v>
      </x:c>
      <x:c r="K1691" t="n" s="2">
        <x:v>5</x:v>
      </x:c>
      <x:c r="L1691" t="str" s="2">
        <x:v>1.1</x:v>
      </x:c>
      <x:c r="M1691" t="str" s="2">
        <x:v>Tentative</x:v>
      </x:c>
      <x:c r="N1691" t="str" s="2">
        <x:v>Deal Created</x:v>
      </x:c>
      <x:c r="O1691" s="0"/>
      <x:c r="P1691" s="6">
        <x:v>46289</x:v>
      </x:c>
      <x:c r="Q1691" s="6">
        <x:v>46295.945635069445</x:v>
      </x:c>
      <x:c r="R1691" s="0"/>
      <x:c r="S1691" s="0"/>
      <x:c r="T1691" s="0"/>
      <x:c r="U1691" s="0"/>
      <x:c r="V1691" s="0"/>
      <x:c r="W1691" s="0"/>
      <x:c r="X1691" t="str" s="2">
        <x:v>4794276115</x:v>
      </x:c>
      <x:c r="Y1691" t="str" s="2">
        <x:v>peraltamaria0219@gmail.com</x:v>
      </x:c>
      <x:c r="Z1691" s="6">
        <x:v>46301.71625185185</x:v>
      </x:c>
      <x:c r="AA1691" t="str" s="2">
        <x:v>Noemi Rojo</x:v>
      </x:c>
      <x:c r="AB1691" s="6">
        <x:v>46289.659054247684</x:v>
      </x:c>
      <x:c r="AC1691" t="n" s="2">
        <x:v>40333</x:v>
      </x:c>
      <x:c r="AD1691" s="0"/>
      <x:c r="AE1691" s="0"/>
      <x:c r="AF1691" s="0"/>
      <x:c r="AG1691" s="0"/>
      <x:c r="AH1691" s="0"/>
      <x:c r="AI1691" s="0"/>
      <x:c r="AJ1691" s="0"/>
      <x:c r="AK1691" s="0"/>
    </x:row>
    <x:row r="1692">
      <x:c r="A1692" t="str" s="2">
        <x:f>=HYPERLINK("https://rsms.futurehomex.com/lead/40335", "Ray &amp; Breanna Ramos")</x:f>
      </x:c>
      <x:c r="B1692" t="n" s="2">
        <x:v>19</x:v>
      </x:c>
      <x:c r="C1692" t="str" s="2">
        <x:v>1/2</x:v>
      </x:c>
      <x:c r="D1692" t="str" s="2">
        <x:f>=""</x:f>
      </x:c>
      <x:c r="E1692" s="0"/>
      <x:c r="F1692" t="str" s="2">
        <x:v>Facebook Messenger</x:v>
      </x:c>
      <x:c r="G1692" t="str" s="2">
        <x:v>Heritage Housing of Oklahoma City</x:v>
      </x:c>
      <x:c r="H1692" t="str" s="2">
        <x:v>Steve Castell</x:v>
      </x:c>
      <x:c r="I1692" s="0"/>
      <x:c r="J1692" t="str" s="2">
        <x:v>Steve Castell</x:v>
      </x:c>
      <x:c r="K1692" t="n" s="2">
        <x:v>5</x:v>
      </x:c>
      <x:c r="L1692" t="str" s="2">
        <x:v>1.1</x:v>
      </x:c>
      <x:c r="M1692" t="str" s="2">
        <x:v>Tentative</x:v>
      </x:c>
      <x:c r="N1692" t="str" s="2">
        <x:v>Deal Created</x:v>
      </x:c>
      <x:c r="O1692" s="0"/>
      <x:c r="P1692" s="6">
        <x:v>46289</x:v>
      </x:c>
      <x:c r="Q1692" s="6">
        <x:v>46289.71022577546</x:v>
      </x:c>
      <x:c r="R1692" s="0"/>
      <x:c r="S1692" s="6">
        <x:v>46297</x:v>
      </x:c>
      <x:c r="T1692" s="0"/>
      <x:c r="U1692" s="0"/>
      <x:c r="V1692" s="0"/>
      <x:c r="W1692" s="0"/>
      <x:c r="X1692" t="str" s="2">
        <x:v>9285951913</x:v>
      </x:c>
      <x:c r="Y1692" t="str" s="2">
        <x:v>9285951913</x:v>
      </x:c>
      <x:c r="Z1692" s="6">
        <x:v>46297.92734991898</x:v>
      </x:c>
      <x:c r="AA1692" t="str" s="2">
        <x:v>Steve Castell</x:v>
      </x:c>
      <x:c r="AB1692" s="6">
        <x:v>46289.71022743056</x:v>
      </x:c>
      <x:c r="AC1692" t="n" s="2">
        <x:v>40335</x:v>
      </x:c>
      <x:c r="AD1692" s="0"/>
      <x:c r="AE1692" s="0"/>
      <x:c r="AF1692" s="0"/>
      <x:c r="AG1692" s="0"/>
      <x:c r="AH1692" s="0"/>
      <x:c r="AI1692" s="0"/>
      <x:c r="AJ1692" s="0"/>
      <x:c r="AK1692" s="0"/>
    </x:row>
    <x:row r="1693">
      <x:c r="A1693" t="str" s="2">
        <x:f>=HYPERLINK("https://rsms.futurehomex.com/lead/40336", "James Lindsey")</x:f>
      </x:c>
      <x:c r="B1693" t="n" s="2">
        <x:v>19</x:v>
      </x:c>
      <x:c r="C1693" t="str" s="2">
        <x:v>0/3</x:v>
      </x:c>
      <x:c r="D1693" t="str" s="2">
        <x:f>=""</x:f>
      </x:c>
      <x:c r="E1693" s="0"/>
      <x:c r="F1693" t="str" s="2">
        <x:v>Landing_BPM</x:v>
      </x:c>
      <x:c r="G1693" t="str" s="2">
        <x:v>Heritage Housing of Oklahoma City</x:v>
      </x:c>
      <x:c r="H1693" t="str" s="2">
        <x:v>Noemi Rojo</x:v>
      </x:c>
      <x:c r="I1693" s="0"/>
      <x:c r="J1693" s="0"/>
      <x:c r="K1693" t="n" s="2">
        <x:v>5</x:v>
      </x:c>
      <x:c r="L1693" t="str" s="2">
        <x:v>1.1</x:v>
      </x:c>
      <x:c r="M1693" t="str" s="2">
        <x:v>Tentative</x:v>
      </x:c>
      <x:c r="N1693" t="str" s="2">
        <x:v>Deal Created</x:v>
      </x:c>
      <x:c r="O1693" s="0"/>
      <x:c r="P1693" s="6">
        <x:v>46289</x:v>
      </x:c>
      <x:c r="Q1693" s="6">
        <x:v>46289.72544475694</x:v>
      </x:c>
      <x:c r="R1693" s="0"/>
      <x:c r="S1693" s="0"/>
      <x:c r="T1693" s="0"/>
      <x:c r="U1693" s="0"/>
      <x:c r="V1693" s="0"/>
      <x:c r="W1693" s="0"/>
      <x:c r="X1693" t="str" s="2">
        <x:v>5806650809</x:v>
      </x:c>
      <x:c r="Y1693" t="str" s="2">
        <x:v>jokerlindsey798@gmail.com</x:v>
      </x:c>
      <x:c r="Z1693" s="6">
        <x:v>46293.97546431713</x:v>
      </x:c>
      <x:c r="AA1693" t="str" s="2">
        <x:v>Noemi Rojo</x:v>
      </x:c>
      <x:c r="AB1693" s="6">
        <x:v>46289.725199803244</x:v>
      </x:c>
      <x:c r="AC1693" t="n" s="2">
        <x:v>40336</x:v>
      </x:c>
      <x:c r="AD1693" s="0"/>
      <x:c r="AE1693" s="0"/>
      <x:c r="AF1693" s="0"/>
      <x:c r="AG1693" s="0"/>
      <x:c r="AH1693" s="0"/>
      <x:c r="AI1693" s="0"/>
      <x:c r="AJ1693" s="0"/>
      <x:c r="AK1693" s="0"/>
    </x:row>
    <x:row r="1694">
      <x:c r="A1694" t="str" s="2">
        <x:f>=HYPERLINK("https://rsms.futurehomex.com/lead/40337", "Chad Smith")</x:f>
      </x:c>
      <x:c r="B1694" t="n" s="2">
        <x:v>19</x:v>
      </x:c>
      <x:c r="C1694" t="str" s="2">
        <x:v/>
      </x:c>
      <x:c r="D1694" t="str" s="2">
        <x:f>=""</x:f>
      </x:c>
      <x:c r="E1694" s="0"/>
      <x:c r="F1694" t="str" s="2">
        <x:v>Walk-in</x:v>
      </x:c>
      <x:c r="G1694" t="str" s="2">
        <x:v>Heritage Housing of Augusta</x:v>
      </x:c>
      <x:c r="H1694" t="str" s="2">
        <x:v>Jennifer Johnson</x:v>
      </x:c>
      <x:c r="I1694" t="str" s="2">
        <x:v>Karol Romero</x:v>
      </x:c>
      <x:c r="J1694" t="str" s="2">
        <x:v>Jennifer Johnson</x:v>
      </x:c>
      <x:c r="K1694" t="n" s="2">
        <x:v>5</x:v>
      </x:c>
      <x:c r="L1694" t="str" s="2">
        <x:v>1.1</x:v>
      </x:c>
      <x:c r="M1694" t="str" s="2">
        <x:v>Active</x:v>
      </x:c>
      <x:c r="N1694" t="str" s="2">
        <x:v>Deal Created</x:v>
      </x:c>
      <x:c r="O1694" s="0"/>
      <x:c r="P1694" s="6">
        <x:v>46289</x:v>
      </x:c>
      <x:c r="Q1694" s="6">
        <x:v>46303.79494027778</x:v>
      </x:c>
      <x:c r="R1694" s="0"/>
      <x:c r="S1694" s="0"/>
      <x:c r="T1694" s="0"/>
      <x:c r="U1694" s="0"/>
      <x:c r="V1694" s="0"/>
      <x:c r="W1694" s="0"/>
      <x:c r="X1694" t="str" s="2">
        <x:v>9183153614</x:v>
      </x:c>
      <x:c r="Y1694" t="str" s="2">
        <x:v>carsontabatha3@gmail.com</x:v>
      </x:c>
      <x:c r="Z1694" s="6">
        <x:v>46303.789930983796</x:v>
      </x:c>
      <x:c r="AA1694" t="str" s="2">
        <x:v>Jennifer Johnson</x:v>
      </x:c>
      <x:c r="AB1694" s="6">
        <x:v>46289.73881072917</x:v>
      </x:c>
      <x:c r="AC1694" t="n" s="2">
        <x:v>40337</x:v>
      </x:c>
      <x:c r="AD1694" s="0"/>
      <x:c r="AE1694" s="0"/>
      <x:c r="AF1694" s="0"/>
      <x:c r="AG1694" s="0"/>
      <x:c r="AH1694" s="0"/>
      <x:c r="AI1694" s="0"/>
      <x:c r="AJ1694" s="0"/>
      <x:c r="AK1694" s="0"/>
    </x:row>
    <x:row r="1695">
      <x:c r="A1695" t="str" s="2">
        <x:f>=HYPERLINK("https://rsms.futurehomex.com/lead/40338", "Melvin Glenn")</x:f>
      </x:c>
      <x:c r="B1695" t="n" s="2">
        <x:v>19</x:v>
      </x:c>
      <x:c r="C1695" t="str" s="2">
        <x:v/>
      </x:c>
      <x:c r="D1695" t="str" s="2">
        <x:f>=""</x:f>
      </x:c>
      <x:c r="E1695" s="0"/>
      <x:c r="F1695" t="str" s="2">
        <x:v>Walk-in</x:v>
      </x:c>
      <x:c r="G1695" t="str" s="2">
        <x:v>Heritage Housing of Augusta</x:v>
      </x:c>
      <x:c r="H1695" t="str" s="2">
        <x:v>Jennifer Johnson</x:v>
      </x:c>
      <x:c r="I1695" t="str" s="2">
        <x:v>Karol Romero</x:v>
      </x:c>
      <x:c r="J1695" t="str" s="2">
        <x:v>Jennifer Johnson</x:v>
      </x:c>
      <x:c r="K1695" t="n" s="2">
        <x:v>5</x:v>
      </x:c>
      <x:c r="L1695" t="str" s="2">
        <x:v>1.1</x:v>
      </x:c>
      <x:c r="M1695" t="str" s="2">
        <x:v>Tentative</x:v>
      </x:c>
      <x:c r="N1695" t="str" s="2">
        <x:v>Prospect</x:v>
      </x:c>
      <x:c r="O1695" s="0"/>
      <x:c r="P1695" s="6">
        <x:v>46289</x:v>
      </x:c>
      <x:c r="Q1695" s="6">
        <x:v>46294.91140188657</x:v>
      </x:c>
      <x:c r="R1695" t="str" s="2">
        <x:v>Faye Lively</x:v>
      </x:c>
      <x:c r="S1695" s="6">
        <x:v>46273</x:v>
      </x:c>
      <x:c r="T1695" s="6">
        <x:v>46289</x:v>
      </x:c>
      <x:c r="U1695" s="0"/>
      <x:c r="V1695" s="0"/>
      <x:c r="W1695" s="0"/>
      <x:c r="X1695" t="str" s="2">
        <x:v>7068250586</x:v>
      </x:c>
      <x:c r="Y1695" t="str" s="2">
        <x:v>feevag@gmail.com</x:v>
      </x:c>
      <x:c r="Z1695" s="0"/>
      <x:c r="AA1695" s="0"/>
      <x:c r="AB1695" s="6">
        <x:v>46295.88850625</x:v>
      </x:c>
      <x:c r="AC1695" t="n" s="2">
        <x:v>40338</x:v>
      </x:c>
      <x:c r="AD1695" s="0"/>
      <x:c r="AE1695" s="0"/>
      <x:c r="AF1695" s="0"/>
      <x:c r="AG1695" s="0"/>
      <x:c r="AH1695" s="0"/>
      <x:c r="AI1695" s="0"/>
      <x:c r="AJ1695" s="0"/>
      <x:c r="AK1695" s="0"/>
    </x:row>
    <x:row r="1696">
      <x:c r="A1696" t="str" s="2">
        <x:f>=HYPERLINK("https://rsms.futurehomex.com/lead/40339", "Hope Hefner")</x:f>
      </x:c>
      <x:c r="B1696" t="n" s="2">
        <x:v>19</x:v>
      </x:c>
      <x:c r="C1696" t="str" s="2">
        <x:v>1/1</x:v>
      </x:c>
      <x:c r="D1696" t="str" s="2">
        <x:f>=""</x:f>
      </x:c>
      <x:c r="E1696" t="str" s="2">
        <x:v/>
      </x:c>
      <x:c r="F1696" t="str" s="2">
        <x:v>Walk-in</x:v>
      </x:c>
      <x:c r="G1696" t="str" s="2">
        <x:v>Heritage Housing of Athens</x:v>
      </x:c>
      <x:c r="H1696" t="str" s="2">
        <x:v>Ethan Fossett</x:v>
      </x:c>
      <x:c r="I1696" s="0"/>
      <x:c r="J1696" s="0"/>
      <x:c r="K1696" t="n" s="2">
        <x:v>5</x:v>
      </x:c>
      <x:c r="L1696" t="str" s="2">
        <x:v>1.1</x:v>
      </x:c>
      <x:c r="M1696" t="str" s="2">
        <x:v>Tentative</x:v>
      </x:c>
      <x:c r="N1696" t="str" s="2">
        <x:v>Prospect</x:v>
      </x:c>
      <x:c r="O1696" s="0"/>
      <x:c r="P1696" s="6">
        <x:v>46289</x:v>
      </x:c>
      <x:c r="Q1696" s="6">
        <x:v>46289.80801315972</x:v>
      </x:c>
      <x:c r="R1696" s="0"/>
      <x:c r="S1696" s="0"/>
      <x:c r="T1696" s="0"/>
      <x:c r="U1696" s="0"/>
      <x:c r="V1696" s="0"/>
      <x:c r="W1696" s="0"/>
      <x:c r="X1696" t="str" s="2">
        <x:v>4046440720</x:v>
      </x:c>
      <x:c r="Y1696" t="str" s="2">
        <x:v>hopelhefner@gmail.com</x:v>
      </x:c>
      <x:c r="Z1696" s="6">
        <x:v>46304.657977662035</x:v>
      </x:c>
      <x:c r="AA1696" t="str" s="2">
        <x:v>Ethan Fossett</x:v>
      </x:c>
      <x:c r="AB1696" s="6">
        <x:v>46289.80592334491</x:v>
      </x:c>
      <x:c r="AC1696" t="n" s="2">
        <x:v>40339</x:v>
      </x:c>
      <x:c r="AD1696" s="0"/>
      <x:c r="AE1696" s="0"/>
      <x:c r="AF1696" s="0"/>
      <x:c r="AG1696" s="0"/>
      <x:c r="AH1696" s="0"/>
      <x:c r="AI1696" s="0"/>
      <x:c r="AJ1696" s="0"/>
      <x:c r="AK1696" s="0"/>
    </x:row>
    <x:row r="1697">
      <x:c r="A1697" t="str" s="2">
        <x:f>=HYPERLINK("https://rsms.futurehomex.com/lead/40341", "Dawn Carter")</x:f>
      </x:c>
      <x:c r="B1697" t="n" s="2">
        <x:v>19</x:v>
      </x:c>
      <x:c r="C1697" t="str" s="2">
        <x:v/>
      </x:c>
      <x:c r="D1697" t="str" s="2">
        <x:f>=""</x:f>
      </x:c>
      <x:c r="E1697" s="0"/>
      <x:c r="F1697" t="str" s="2">
        <x:v>Walk-in</x:v>
      </x:c>
      <x:c r="G1697" t="str" s="2">
        <x:v>Heritage Housing of Tulsa</x:v>
      </x:c>
      <x:c r="H1697" t="str" s="2">
        <x:v>Jenna Fransisco</x:v>
      </x:c>
      <x:c r="I1697" s="0"/>
      <x:c r="J1697" s="0"/>
      <x:c r="K1697" t="n" s="2">
        <x:v>5</x:v>
      </x:c>
      <x:c r="L1697" t="str" s="2">
        <x:v>1.1</x:v>
      </x:c>
      <x:c r="M1697" t="str" s="2">
        <x:v>Tentative</x:v>
      </x:c>
      <x:c r="N1697" t="str" s="2">
        <x:v>Prospect</x:v>
      </x:c>
      <x:c r="O1697" s="0"/>
      <x:c r="P1697" s="6">
        <x:v>46289</x:v>
      </x:c>
      <x:c r="Q1697" s="6">
        <x:v>46289.81655740741</x:v>
      </x:c>
      <x:c r="R1697" s="0"/>
      <x:c r="S1697" s="0"/>
      <x:c r="T1697" s="0"/>
      <x:c r="U1697" s="0"/>
      <x:c r="V1697" s="0"/>
      <x:c r="W1697" s="0"/>
      <x:c r="X1697" t="str" s="2">
        <x:v>9182809362</x:v>
      </x:c>
      <x:c r="Y1697" t="str" s="2">
        <x:v>dawnprcarter@gmail.com</x:v>
      </x:c>
      <x:c r="Z1697" s="0"/>
      <x:c r="AA1697" s="0"/>
      <x:c r="AB1697" s="6">
        <x:v>46289.81655783565</x:v>
      </x:c>
      <x:c r="AC1697" t="n" s="2">
        <x:v>40341</x:v>
      </x:c>
      <x:c r="AD1697" s="0"/>
      <x:c r="AE1697" s="0"/>
      <x:c r="AF1697" s="0"/>
      <x:c r="AG1697" s="0"/>
      <x:c r="AH1697" s="0"/>
      <x:c r="AI1697" s="0"/>
      <x:c r="AJ1697" s="0"/>
      <x:c r="AK1697" s="0"/>
    </x:row>
    <x:row r="1698">
      <x:c r="A1698" t="str" s="2">
        <x:f>=HYPERLINK("https://rsms.futurehomex.com/lead/40342", "Alondra Molar")</x:f>
      </x:c>
      <x:c r="B1698" t="n" s="2">
        <x:v>19</x:v>
      </x:c>
      <x:c r="C1698" t="str" s="2">
        <x:v/>
      </x:c>
      <x:c r="D1698" t="str" s="2">
        <x:f>=""</x:f>
      </x:c>
      <x:c r="E1698" s="0"/>
      <x:c r="F1698" t="str" s="2">
        <x:v>Other</x:v>
      </x:c>
      <x:c r="G1698" t="str" s="2">
        <x:v>Legacy Housing Corp. DBA Americasa</x:v>
      </x:c>
      <x:c r="H1698" t="str" s="2">
        <x:v>Joey Marquez</x:v>
      </x:c>
      <x:c r="I1698" s="0"/>
      <x:c r="J1698" t="str" s="2">
        <x:v>Joey Marquez</x:v>
      </x:c>
      <x:c r="K1698" t="n" s="2">
        <x:v>5</x:v>
      </x:c>
      <x:c r="L1698" t="str" s="2">
        <x:v>1.1</x:v>
      </x:c>
      <x:c r="M1698" t="str" s="2">
        <x:v>Tentative</x:v>
      </x:c>
      <x:c r="N1698" t="str" s="2">
        <x:v>Deal Created</x:v>
      </x:c>
      <x:c r="O1698" s="0"/>
      <x:c r="P1698" s="6">
        <x:v>46289</x:v>
      </x:c>
      <x:c r="Q1698" s="6">
        <x:v>46289.82246802084</x:v>
      </x:c>
      <x:c r="R1698" s="0"/>
      <x:c r="S1698" s="0"/>
      <x:c r="T1698" s="0"/>
      <x:c r="U1698" s="0"/>
      <x:c r="V1698" s="0"/>
      <x:c r="W1698" s="0"/>
      <x:c r="X1698" t="str" s="2">
        <x:v>4322432398</x:v>
      </x:c>
      <x:c r="Y1698" t="str" s="2">
        <x:v>4322432398</x:v>
      </x:c>
      <x:c r="Z1698" s="6">
        <x:v>46289.93580547454</x:v>
      </x:c>
      <x:c r="AA1698" t="str" s="2">
        <x:v>Joey Marquez</x:v>
      </x:c>
      <x:c r="AB1698" s="6">
        <x:v>46289.822469907405</x:v>
      </x:c>
      <x:c r="AC1698" t="n" s="2">
        <x:v>40342</x:v>
      </x:c>
      <x:c r="AD1698" s="0"/>
      <x:c r="AE1698" s="0"/>
      <x:c r="AF1698" s="0"/>
      <x:c r="AG1698" s="0"/>
      <x:c r="AH1698" s="0"/>
      <x:c r="AI1698" s="0"/>
      <x:c r="AJ1698" s="0"/>
      <x:c r="AK1698" s="0"/>
    </x:row>
    <x:row r="1699">
      <x:c r="A1699" t="str" s="2">
        <x:f>=HYPERLINK("https://rsms.futurehomex.com/lead/40343", "Jesus Estrada")</x:f>
      </x:c>
      <x:c r="B1699" t="n" s="2">
        <x:v>19</x:v>
      </x:c>
      <x:c r="C1699" t="str" s="2">
        <x:v>1/2</x:v>
      </x:c>
      <x:c r="D1699" t="str" s="2">
        <x:f>=""</x:f>
      </x:c>
      <x:c r="E1699" s="0"/>
      <x:c r="F1699" t="str" s="2">
        <x:v>Walk-in</x:v>
      </x:c>
      <x:c r="G1699" t="str" s="2">
        <x:v>Heritage Housing Marble Falls</x:v>
      </x:c>
      <x:c r="H1699" t="str" s="2">
        <x:v>Stephen Sanders</x:v>
      </x:c>
      <x:c r="I1699" t="str" s="2">
        <x:v>Karol Romero</x:v>
      </x:c>
      <x:c r="J1699" s="0"/>
      <x:c r="K1699" t="n" s="2">
        <x:v>5</x:v>
      </x:c>
      <x:c r="L1699" t="str" s="2">
        <x:v>1.1</x:v>
      </x:c>
      <x:c r="M1699" t="str" s="2">
        <x:v>Tentative</x:v>
      </x:c>
      <x:c r="N1699" t="str" s="2">
        <x:v>Prospect</x:v>
      </x:c>
      <x:c r="O1699" s="0"/>
      <x:c r="P1699" s="6">
        <x:v>46289</x:v>
      </x:c>
      <x:c r="Q1699" s="6">
        <x:v>46289.84269128472</x:v>
      </x:c>
      <x:c r="R1699" s="0"/>
      <x:c r="S1699" s="0"/>
      <x:c r="T1699" s="0"/>
      <x:c r="U1699" s="0"/>
      <x:c r="V1699" s="0"/>
      <x:c r="W1699" s="0"/>
      <x:c r="X1699" t="str" s="2">
        <x:v>8303851403</x:v>
      </x:c>
      <x:c r="Y1699" t="str" s="2">
        <x:v>No@no.com</x:v>
      </x:c>
      <x:c r="Z1699" s="6">
        <x:v>46296.91729695602</x:v>
      </x:c>
      <x:c r="AA1699" t="str" s="2">
        <x:v>Stephen Sanders</x:v>
      </x:c>
      <x:c r="AB1699" s="6">
        <x:v>46289.84269305556</x:v>
      </x:c>
      <x:c r="AC1699" t="n" s="2">
        <x:v>40343</x:v>
      </x:c>
      <x:c r="AD1699" s="0"/>
      <x:c r="AE1699" s="0"/>
      <x:c r="AF1699" s="0"/>
      <x:c r="AG1699" s="0"/>
      <x:c r="AH1699" s="0"/>
      <x:c r="AI1699" s="0"/>
      <x:c r="AJ1699" s="0"/>
      <x:c r="AK1699" s="0"/>
    </x:row>
    <x:row r="1700">
      <x:c r="A1700" t="str" s="2">
        <x:f>=HYPERLINK("https://rsms.futurehomex.com/lead/40344", "April Lawless")</x:f>
      </x:c>
      <x:c r="B1700" t="n" s="2">
        <x:v>19</x:v>
      </x:c>
      <x:c r="C1700" t="str" s="2">
        <x:v/>
      </x:c>
      <x:c r="D1700" t="str" s="2">
        <x:f>=""</x:f>
      </x:c>
      <x:c r="E1700" s="0"/>
      <x:c r="F1700" t="str" s="2">
        <x:v>Walk-in</x:v>
      </x:c>
      <x:c r="G1700" t="str" s="2">
        <x:v>Heritage Housing of Asheboro</x:v>
      </x:c>
      <x:c r="H1700" t="str" s="2">
        <x:v>Kate Gutierrez</x:v>
      </x:c>
      <x:c r="I1700" s="0"/>
      <x:c r="J1700" s="0"/>
      <x:c r="K1700" t="n" s="2">
        <x:v>21</x:v>
      </x:c>
      <x:c r="L1700" t="str" s="2">
        <x:v>2.1</x:v>
      </x:c>
      <x:c r="M1700" t="str" s="2">
        <x:v>Tentative</x:v>
      </x:c>
      <x:c r="N1700" t="str" s="2">
        <x:v>Qualified</x:v>
      </x:c>
      <x:c r="O1700" s="0"/>
      <x:c r="P1700" s="6">
        <x:v>46289</x:v>
      </x:c>
      <x:c r="Q1700" s="6">
        <x:v>46289.851129710645</x:v>
      </x:c>
      <x:c r="R1700" s="0"/>
      <x:c r="S1700" s="0"/>
      <x:c r="T1700" s="0"/>
      <x:c r="U1700" s="0"/>
      <x:c r="V1700" s="0"/>
      <x:c r="W1700" s="0"/>
      <x:c r="X1700" t="str" s="2">
        <x:v>7432090460</x:v>
      </x:c>
      <x:c r="Y1700" t="str" s="2">
        <x:v>adlawless88@gmail.com</x:v>
      </x:c>
      <x:c r="Z1700" s="6">
        <x:v>46289.88067056713</x:v>
      </x:c>
      <x:c r="AA1700" t="str" s="2">
        <x:v>Kate Gutierrez</x:v>
      </x:c>
      <x:c r="AB1700" s="6">
        <x:v>46289.845377164354</x:v>
      </x:c>
      <x:c r="AC1700" t="n" s="2">
        <x:v>40344</x:v>
      </x:c>
      <x:c r="AD1700" s="0"/>
      <x:c r="AE1700" s="0"/>
      <x:c r="AF1700" s="0"/>
      <x:c r="AG1700" s="0"/>
      <x:c r="AH1700" s="0"/>
      <x:c r="AI1700" s="0"/>
      <x:c r="AJ1700" s="0"/>
      <x:c r="AK1700" s="0"/>
    </x:row>
    <x:row r="1701">
      <x:c r="A1701" t="str" s="2">
        <x:f>=HYPERLINK("https://rsms.futurehomex.com/lead/40345", "Michael Delcour")</x:f>
      </x:c>
      <x:c r="B1701" t="n" s="2">
        <x:v>19</x:v>
      </x:c>
      <x:c r="C1701" t="str" s="2">
        <x:v/>
      </x:c>
      <x:c r="D1701" t="str" s="2">
        <x:f>=""</x:f>
      </x:c>
      <x:c r="E1701" s="0"/>
      <x:c r="F1701" t="str" s="2">
        <x:v>Financing Form</x:v>
      </x:c>
      <x:c r="G1701" t="str" s="2">
        <x:v>Heritage Housing of Tulsa</x:v>
      </x:c>
      <x:c r="H1701" t="str" s="2">
        <x:v>Jenna Fransisco</x:v>
      </x:c>
      <x:c r="I1701" s="0"/>
      <x:c r="J1701" t="str" s="2">
        <x:v>Derek Searcy</x:v>
      </x:c>
      <x:c r="K1701" t="n" s="2">
        <x:v>34</x:v>
      </x:c>
      <x:c r="L1701" t="str" s="2">
        <x:v>2.4</x:v>
      </x:c>
      <x:c r="M1701" t="str" s="2">
        <x:v>Tentative</x:v>
      </x:c>
      <x:c r="N1701" t="str" s="2">
        <x:v>Deal approval</x:v>
      </x:c>
      <x:c r="O1701" s="0"/>
      <x:c r="P1701" s="6">
        <x:v>46289</x:v>
      </x:c>
      <x:c r="Q1701" s="6">
        <x:v>46289.86005771991</x:v>
      </x:c>
      <x:c r="R1701" s="0"/>
      <x:c r="S1701" s="0"/>
      <x:c r="T1701" s="0"/>
      <x:c r="U1701" s="0"/>
      <x:c r="V1701" s="0"/>
      <x:c r="W1701" s="0"/>
      <x:c r="X1701" t="str" s="2">
        <x:v>4179010235</x:v>
      </x:c>
      <x:c r="Y1701" t="str" s="2">
        <x:v>delcour652@gmail.com</x:v>
      </x:c>
      <x:c r="Z1701" s="6">
        <x:v>46289.85780899305</x:v>
      </x:c>
      <x:c r="AA1701" t="str" s="2">
        <x:v>Derek Searcy</x:v>
      </x:c>
      <x:c r="AB1701" s="6">
        <x:v>46289.85524806713</x:v>
      </x:c>
      <x:c r="AC1701" t="n" s="2">
        <x:v>40345</x:v>
      </x:c>
      <x:c r="AD1701" t="str" s="2">
        <x:v>Singlewide</x:v>
      </x:c>
      <x:c r="AE1701" s="0"/>
      <x:c r="AF1701" s="0"/>
      <x:c r="AG1701" s="0"/>
      <x:c r="AH1701" s="0"/>
      <x:c r="AI1701" s="0"/>
      <x:c r="AJ1701" s="0"/>
      <x:c r="AK1701" s="0"/>
    </x:row>
    <x:row r="1702">
      <x:c r="A1702" t="str" s="2">
        <x:f>=HYPERLINK("https://rsms.futurehomex.com/lead/40346", "Mayra Hernandez")</x:f>
      </x:c>
      <x:c r="B1702" t="n" s="2">
        <x:v>19</x:v>
      </x:c>
      <x:c r="C1702" t="str" s="2">
        <x:v/>
      </x:c>
      <x:c r="D1702" t="str" s="2">
        <x:f>=""</x:f>
      </x:c>
      <x:c r="E1702" s="0"/>
      <x:c r="F1702" t="str" s="2">
        <x:v>Financing Form</x:v>
      </x:c>
      <x:c r="G1702" t="str" s="2">
        <x:v>Heritage Housing of Oklahoma City</x:v>
      </x:c>
      <x:c r="H1702" t="str" s="2">
        <x:v>Alejandra Calderon</x:v>
      </x:c>
      <x:c r="I1702" t="str" s="2">
        <x:v>Karol Romero</x:v>
      </x:c>
      <x:c r="J1702" t="str" s="2">
        <x:v>Alejandra Calderon</x:v>
      </x:c>
      <x:c r="K1702" t="n" s="2">
        <x:v>5</x:v>
      </x:c>
      <x:c r="L1702" t="str" s="2">
        <x:v>1.1</x:v>
      </x:c>
      <x:c r="M1702" t="str" s="2">
        <x:v>Tentative</x:v>
      </x:c>
      <x:c r="N1702" t="str" s="2">
        <x:v>Deal Created</x:v>
      </x:c>
      <x:c r="O1702" s="0"/>
      <x:c r="P1702" s="6">
        <x:v>46289</x:v>
      </x:c>
      <x:c r="Q1702" s="6">
        <x:v>46289.86036716435</x:v>
      </x:c>
      <x:c r="R1702" s="0"/>
      <x:c r="S1702" s="0"/>
      <x:c r="T1702" s="0"/>
      <x:c r="U1702" s="0"/>
      <x:c r="V1702" s="0"/>
      <x:c r="W1702" s="0"/>
      <x:c r="X1702" t="str" s="2">
        <x:v>4055409201</x:v>
      </x:c>
      <x:c r="Y1702" t="str" s="2">
        <x:v>jocelynjh31@gmail.com</x:v>
      </x:c>
      <x:c r="Z1702" s="0"/>
      <x:c r="AA1702" s="0"/>
      <x:c r="AB1702" s="6">
        <x:v>46289.86036762731</x:v>
      </x:c>
      <x:c r="AC1702" t="n" s="2">
        <x:v>40346</x:v>
      </x:c>
      <x:c r="AD1702" s="0"/>
      <x:c r="AE1702" s="0"/>
      <x:c r="AF1702" s="0"/>
      <x:c r="AG1702" s="0"/>
      <x:c r="AH1702" s="0"/>
      <x:c r="AI1702" s="0"/>
      <x:c r="AJ1702" s="0"/>
      <x:c r="AK1702" s="0"/>
    </x:row>
    <x:row r="1703">
      <x:c r="A1703" t="str" s="2">
        <x:f>=HYPERLINK("https://rsms.futurehomex.com/lead/40347", "Jack Chatfield")</x:f>
      </x:c>
      <x:c r="B1703" t="n" s="2">
        <x:v>19</x:v>
      </x:c>
      <x:c r="C1703" t="str" s="2">
        <x:v/>
      </x:c>
      <x:c r="D1703" t="str" s="2">
        <x:f>=""</x:f>
      </x:c>
      <x:c r="E1703" s="0"/>
      <x:c r="F1703" t="str" s="2">
        <x:v>Walk-in</x:v>
      </x:c>
      <x:c r="G1703" t="str" s="2">
        <x:v>Heritage Housing of Albany</x:v>
      </x:c>
      <x:c r="H1703" t="str" s="2">
        <x:v>Alexander Bryant</x:v>
      </x:c>
      <x:c r="I1703" s="0"/>
      <x:c r="J1703" s="0"/>
      <x:c r="K1703" t="n" s="2">
        <x:v>5</x:v>
      </x:c>
      <x:c r="L1703" t="str" s="2">
        <x:v>1.1</x:v>
      </x:c>
      <x:c r="M1703" t="str" s="2">
        <x:v>Tentative</x:v>
      </x:c>
      <x:c r="N1703" t="str" s="2">
        <x:v>Prospect</x:v>
      </x:c>
      <x:c r="O1703" s="0"/>
      <x:c r="P1703" s="6">
        <x:v>46289</x:v>
      </x:c>
      <x:c r="Q1703" s="6">
        <x:v>46289.90537920139</x:v>
      </x:c>
      <x:c r="R1703" s="0"/>
      <x:c r="S1703" s="0"/>
      <x:c r="T1703" s="0"/>
      <x:c r="U1703" s="0"/>
      <x:c r="V1703" s="0"/>
      <x:c r="W1703" s="0"/>
      <x:c r="X1703" t="str" s="2">
        <x:v>4782878510</x:v>
      </x:c>
      <x:c r="Y1703" t="str" s="2">
        <x:v>chatfieldj5@gmail.com</x:v>
      </x:c>
      <x:c r="Z1703" s="0"/>
      <x:c r="AA1703" s="0"/>
      <x:c r="AB1703" s="6">
        <x:v>46289.90538043981</x:v>
      </x:c>
      <x:c r="AC1703" t="n" s="2">
        <x:v>40347</x:v>
      </x:c>
      <x:c r="AD1703" s="0"/>
      <x:c r="AE1703" s="0"/>
      <x:c r="AF1703" s="0"/>
      <x:c r="AG1703" s="0"/>
      <x:c r="AH1703" s="0"/>
      <x:c r="AI1703" s="0"/>
      <x:c r="AJ1703" s="0"/>
      <x:c r="AK1703" s="0"/>
    </x:row>
    <x:row r="1704">
      <x:c r="A1704" t="str" s="2">
        <x:f>=HYPERLINK("https://rsms.futurehomex.com/lead/40349", "Ken Mealor")</x:f>
      </x:c>
      <x:c r="B1704" t="n" s="2">
        <x:v>19</x:v>
      </x:c>
      <x:c r="C1704" t="str" s="2">
        <x:v/>
      </x:c>
      <x:c r="D1704" t="str" s="2">
        <x:f>=""</x:f>
      </x:c>
      <x:c r="E1704" s="0"/>
      <x:c r="F1704" t="str" s="2">
        <x:v>Walk-in</x:v>
      </x:c>
      <x:c r="G1704" t="str" s="2">
        <x:v>Heritage Housing of Athens</x:v>
      </x:c>
      <x:c r="H1704" t="str" s="2">
        <x:v>Ethan Fossett</x:v>
      </x:c>
      <x:c r="I1704" s="0"/>
      <x:c r="J1704" s="0"/>
      <x:c r="K1704" t="n" s="2">
        <x:v>5</x:v>
      </x:c>
      <x:c r="L1704" t="str" s="2">
        <x:v>1.1</x:v>
      </x:c>
      <x:c r="M1704" t="str" s="2">
        <x:v>Active</x:v>
      </x:c>
      <x:c r="N1704" t="str" s="2">
        <x:v>Prospect</x:v>
      </x:c>
      <x:c r="O1704" s="0"/>
      <x:c r="P1704" s="6">
        <x:v>46289</x:v>
      </x:c>
      <x:c r="Q1704" s="6">
        <x:v>46296.80618190972</x:v>
      </x:c>
      <x:c r="R1704" s="0"/>
      <x:c r="S1704" s="6">
        <x:v>46323</x:v>
      </x:c>
      <x:c r="T1704" s="0"/>
      <x:c r="U1704" s="0"/>
      <x:c r="V1704" s="0"/>
      <x:c r="W1704" s="0"/>
      <x:c r="X1704" t="str" s="2">
        <x:v>8509741582</x:v>
      </x:c>
      <x:c r="Y1704" t="str" s="2">
        <x:v>mnek1@yahoo.com</x:v>
      </x:c>
      <x:c r="Z1704" s="6">
        <x:v>46296.70454467593</x:v>
      </x:c>
      <x:c r="AA1704" t="str" s="2">
        <x:v>Ethan Fossett</x:v>
      </x:c>
      <x:c r="AB1704" s="6">
        <x:v>46289.92471180556</x:v>
      </x:c>
      <x:c r="AC1704" t="n" s="2">
        <x:v>40349</x:v>
      </x:c>
      <x:c r="AD1704" s="0"/>
      <x:c r="AE1704" s="0"/>
      <x:c r="AF1704" s="0"/>
      <x:c r="AG1704" s="0"/>
      <x:c r="AH1704" s="0"/>
      <x:c r="AI1704" s="0"/>
      <x:c r="AJ1704" s="0"/>
      <x:c r="AK1704" s="0"/>
    </x:row>
    <x:row r="1705">
      <x:c r="A1705" t="str" s="2">
        <x:f>=HYPERLINK("https://rsms.futurehomex.com/lead/40350", "Shameika Turner")</x:f>
      </x:c>
      <x:c r="B1705" t="n" s="2">
        <x:v>19</x:v>
      </x:c>
      <x:c r="C1705" t="str" s="2">
        <x:v>0/2</x:v>
      </x:c>
      <x:c r="D1705" t="str" s="2">
        <x:f>=""</x:f>
      </x:c>
      <x:c r="E1705" s="0"/>
      <x:c r="F1705" t="str" s="2">
        <x:v>Website</x:v>
      </x:c>
      <x:c r="G1705" t="str" s="2">
        <x:v>Heritage Housing of Minden</x:v>
      </x:c>
      <x:c r="H1705" t="str" s="2">
        <x:v>Patrick Schuchart</x:v>
      </x:c>
      <x:c r="I1705" t="str" s="2">
        <x:v>Karol Romero</x:v>
      </x:c>
      <x:c r="J1705" t="str" s="2">
        <x:v>Patrick Schuchart</x:v>
      </x:c>
      <x:c r="K1705" t="n" s="2">
        <x:v>5</x:v>
      </x:c>
      <x:c r="L1705" t="str" s="2">
        <x:v>1.1</x:v>
      </x:c>
      <x:c r="M1705" t="str" s="2">
        <x:v>Tentative</x:v>
      </x:c>
      <x:c r="N1705" t="str" s="2">
        <x:v>Prospect</x:v>
      </x:c>
      <x:c r="O1705" s="0"/>
      <x:c r="P1705" s="6">
        <x:v>46289</x:v>
      </x:c>
      <x:c r="Q1705" s="6">
        <x:v>46294.9099621875</x:v>
      </x:c>
      <x:c r="R1705" t="str" s="2">
        <x:v>Patrick Schuchart</x:v>
      </x:c>
      <x:c r="S1705" s="0"/>
      <x:c r="T1705" s="0"/>
      <x:c r="U1705" s="0"/>
      <x:c r="V1705" s="0"/>
      <x:c r="W1705" s="0"/>
      <x:c r="X1705" t="str" s="2">
        <x:v>3186072570</x:v>
      </x:c>
      <x:c r="Y1705" t="str" s="2">
        <x:v>jadeddesign1971llc@gmail.com</x:v>
      </x:c>
      <x:c r="Z1705" s="6">
        <x:v>46302.60622646991</x:v>
      </x:c>
      <x:c r="AA1705" t="str" s="2">
        <x:v>Kyla Brown</x:v>
      </x:c>
      <x:c r="AB1705" s="6">
        <x:v>46289.93915216435</x:v>
      </x:c>
      <x:c r="AC1705" t="n" s="2">
        <x:v>40350</x:v>
      </x:c>
      <x:c r="AD1705" s="0"/>
      <x:c r="AE1705" s="0"/>
      <x:c r="AF1705" s="0"/>
      <x:c r="AG1705" s="0"/>
      <x:c r="AH1705" s="0"/>
      <x:c r="AI1705" s="0"/>
      <x:c r="AJ1705" s="0"/>
      <x:c r="AK1705" s="0"/>
    </x:row>
    <x:row r="1706">
      <x:c r="A1706" t="str" s="2">
        <x:f>=HYPERLINK("https://rsms.futurehomex.com/lead/40351", "Brooklynn Williams")</x:f>
      </x:c>
      <x:c r="B1706" t="n" s="2">
        <x:v>18</x:v>
      </x:c>
      <x:c r="C1706" t="str" s="2">
        <x:v>0/1</x:v>
      </x:c>
      <x:c r="D1706" t="str" s="2">
        <x:f>=""</x:f>
      </x:c>
      <x:c r="E1706" s="0"/>
      <x:c r="F1706" t="str" s="2">
        <x:v>Financing Form</x:v>
      </x:c>
      <x:c r="G1706" t="str" s="2">
        <x:v>Heritage Housing of Oklahoma City</x:v>
      </x:c>
      <x:c r="H1706" t="str" s="2">
        <x:v>Steve Castell</x:v>
      </x:c>
      <x:c r="I1706" s="0"/>
      <x:c r="J1706" t="str" s="2">
        <x:v>Steve Castell</x:v>
      </x:c>
      <x:c r="K1706" t="n" s="2">
        <x:v>5</x:v>
      </x:c>
      <x:c r="L1706" t="str" s="2">
        <x:v>1.1</x:v>
      </x:c>
      <x:c r="M1706" t="str" s="2">
        <x:v>Dead</x:v>
      </x:c>
      <x:c r="N1706" t="str" s="2">
        <x:v>Deal Created</x:v>
      </x:c>
      <x:c r="O1706" s="0"/>
      <x:c r="P1706" s="6">
        <x:v>46290</x:v>
      </x:c>
      <x:c r="Q1706" s="6">
        <x:v>46290.10044834491</x:v>
      </x:c>
      <x:c r="R1706" s="0"/>
      <x:c r="S1706" s="0"/>
      <x:c r="T1706" s="0"/>
      <x:c r="U1706" s="0"/>
      <x:c r="V1706" s="0"/>
      <x:c r="W1706" s="0"/>
      <x:c r="X1706" t="str" s="2">
        <x:v>4056175354</x:v>
      </x:c>
      <x:c r="Y1706" t="str" s="2">
        <x:v>rubylouise0205@icloud.com</x:v>
      </x:c>
      <x:c r="Z1706" s="6">
        <x:v>46290.98728703704</x:v>
      </x:c>
      <x:c r="AA1706" t="str" s="2">
        <x:v>Steve Castell</x:v>
      </x:c>
      <x:c r="AB1706" s="6">
        <x:v>46290.10044884259</x:v>
      </x:c>
      <x:c r="AC1706" t="n" s="2">
        <x:v>40351</x:v>
      </x:c>
      <x:c r="AD1706" s="0"/>
      <x:c r="AE1706" s="0"/>
      <x:c r="AF1706" s="0"/>
      <x:c r="AG1706" s="0"/>
      <x:c r="AH1706" s="0"/>
      <x:c r="AI1706" s="0"/>
      <x:c r="AJ1706" s="0"/>
      <x:c r="AK1706" s="0"/>
    </x:row>
    <x:row r="1707">
      <x:c r="A1707" t="str" s="2">
        <x:f>=HYPERLINK("https://rsms.futurehomex.com/lead/40352", "BENJAMIN POWERS")</x:f>
      </x:c>
      <x:c r="B1707" t="n" s="2">
        <x:v>18</x:v>
      </x:c>
      <x:c r="C1707" t="str" s="2">
        <x:v/>
      </x:c>
      <x:c r="D1707" t="str" s="2">
        <x:f>=""</x:f>
      </x:c>
      <x:c r="E1707" s="0"/>
      <x:c r="F1707" t="str" s="2">
        <x:v>Financing Form</x:v>
      </x:c>
      <x:c r="G1707" t="str" s="2">
        <x:v>Heritage Housing of Asheboro</x:v>
      </x:c>
      <x:c r="H1707" t="str" s="2">
        <x:v>Kate Gutierrez</x:v>
      </x:c>
      <x:c r="I1707" s="0"/>
      <x:c r="J1707" t="str" s="2">
        <x:v>Kate Gutierrez</x:v>
      </x:c>
      <x:c r="K1707" t="n" s="2">
        <x:v>21</x:v>
      </x:c>
      <x:c r="L1707" t="str" s="2">
        <x:v>2.1</x:v>
      </x:c>
      <x:c r="M1707" t="str" s="2">
        <x:v>Tentative</x:v>
      </x:c>
      <x:c r="N1707" t="str" s="2">
        <x:v>Qualified</x:v>
      </x:c>
      <x:c r="O1707" s="0"/>
      <x:c r="P1707" s="6">
        <x:v>46290</x:v>
      </x:c>
      <x:c r="Q1707" s="6">
        <x:v>46293.587098958335</x:v>
      </x:c>
      <x:c r="R1707" s="0"/>
      <x:c r="S1707" s="0"/>
      <x:c r="T1707" s="0"/>
      <x:c r="U1707" s="0"/>
      <x:c r="V1707" s="0"/>
      <x:c r="W1707" s="0"/>
      <x:c r="X1707" t="str" s="2">
        <x:v>3364705372</x:v>
      </x:c>
      <x:c r="Y1707" t="str" s="2">
        <x:v>BENJAMINREED2000@YAHOO.COM</x:v>
      </x:c>
      <x:c r="Z1707" s="6">
        <x:v>46293.58708660879</x:v>
      </x:c>
      <x:c r="AA1707" t="str" s="2">
        <x:v>Jeremy Jacques</x:v>
      </x:c>
      <x:c r="AB1707" s="6">
        <x:v>46290.527105092595</x:v>
      </x:c>
      <x:c r="AC1707" t="n" s="2">
        <x:v>40352</x:v>
      </x:c>
      <x:c r="AD1707" s="0"/>
      <x:c r="AE1707" s="0"/>
      <x:c r="AF1707" s="0"/>
      <x:c r="AG1707" s="0"/>
      <x:c r="AH1707" s="0"/>
      <x:c r="AI1707" s="0"/>
      <x:c r="AJ1707" s="0"/>
      <x:c r="AK1707" s="0"/>
    </x:row>
    <x:row r="1708">
      <x:c r="A1708" t="str" s="2">
        <x:f>=HYPERLINK("https://rsms.futurehomex.com/lead/40353", "Delia Griselda-De Santiago")</x:f>
      </x:c>
      <x:c r="B1708" t="n" s="2">
        <x:v>18</x:v>
      </x:c>
      <x:c r="C1708" t="str" s="2">
        <x:v/>
      </x:c>
      <x:c r="D1708" t="str" s="2">
        <x:f>=""</x:f>
      </x:c>
      <x:c r="E1708" t="str" s="2">
        <x:v>Rodolfo Alamilla Gonzalez</x:v>
      </x:c>
      <x:c r="F1708" t="str" s="2">
        <x:v>Facebook Messenger</x:v>
      </x:c>
      <x:c r="G1708" t="str" s="2">
        <x:v>Heritage Housing of Greenville</x:v>
      </x:c>
      <x:c r="H1708" t="str" s="2">
        <x:v>Ana Garcia</x:v>
      </x:c>
      <x:c r="I1708" s="0"/>
      <x:c r="J1708" t="str" s="2">
        <x:v>Ana Garcia</x:v>
      </x:c>
      <x:c r="K1708" t="n" s="2">
        <x:v>9</x:v>
      </x:c>
      <x:c r="L1708" t="str" s="2">
        <x:v>1.2</x:v>
      </x:c>
      <x:c r="M1708" t="str" s="2">
        <x:v>Dead</x:v>
      </x:c>
      <x:c r="N1708" t="str" s="2">
        <x:v>Prospect</x:v>
      </x:c>
      <x:c r="O1708" s="0"/>
      <x:c r="P1708" s="6">
        <x:v>46290</x:v>
      </x:c>
      <x:c r="Q1708" s="6">
        <x:v>46290.5582037037</x:v>
      </x:c>
      <x:c r="R1708" s="0"/>
      <x:c r="S1708" s="6">
        <x:v>46289</x:v>
      </x:c>
      <x:c r="T1708" s="6">
        <x:v>46289</x:v>
      </x:c>
      <x:c r="U1708" s="6">
        <x:v>46290</x:v>
      </x:c>
      <x:c r="V1708" s="0"/>
      <x:c r="W1708" s="0"/>
      <x:c r="X1708" t="str" s="2">
        <x:v>2144297576</x:v>
      </x:c>
      <x:c r="Y1708" t="str" s="2">
        <x:v>alamilladelia@gmail.com</x:v>
      </x:c>
      <x:c r="Z1708" s="0"/>
      <x:c r="AA1708" s="0"/>
      <x:c r="AB1708" s="6">
        <x:v>46290.53689710648</x:v>
      </x:c>
      <x:c r="AC1708" t="n" s="2">
        <x:v>40353</x:v>
      </x:c>
      <x:c r="AD1708" s="0"/>
      <x:c r="AE1708" s="0"/>
      <x:c r="AF1708" s="0"/>
      <x:c r="AG1708" s="7">
        <x:v>4500</x:v>
      </x:c>
      <x:c r="AH1708" s="0"/>
      <x:c r="AI1708" s="0"/>
      <x:c r="AJ1708" s="0"/>
      <x:c r="AK1708" s="0"/>
    </x:row>
    <x:row r="1709">
      <x:c r="A1709" t="str" s="2">
        <x:f>=HYPERLINK("https://rsms.futurehomex.com/lead/40355", "Tiffany Reel")</x:f>
      </x:c>
      <x:c r="B1709" t="n" s="2">
        <x:v>18</x:v>
      </x:c>
      <x:c r="C1709" t="str" s="2">
        <x:v/>
      </x:c>
      <x:c r="D1709" t="str" s="2">
        <x:f>=""</x:f>
      </x:c>
      <x:c r="E1709" s="0"/>
      <x:c r="F1709" t="str" s="2">
        <x:v>Walk-in</x:v>
      </x:c>
      <x:c r="G1709" t="str" s="2">
        <x:v>Heritage Housing of Asheboro</x:v>
      </x:c>
      <x:c r="H1709" t="str" s="2">
        <x:v>Kate Gutierrez</x:v>
      </x:c>
      <x:c r="I1709" s="0"/>
      <x:c r="J1709" s="0"/>
      <x:c r="K1709" t="n" s="2">
        <x:v>21</x:v>
      </x:c>
      <x:c r="L1709" t="str" s="2">
        <x:v>2.1</x:v>
      </x:c>
      <x:c r="M1709" t="str" s="2">
        <x:v>Tentative</x:v>
      </x:c>
      <x:c r="N1709" t="str" s="2">
        <x:v>Qualified</x:v>
      </x:c>
      <x:c r="O1709" s="0"/>
      <x:c r="P1709" s="6">
        <x:v>46290</x:v>
      </x:c>
      <x:c r="Q1709" s="6">
        <x:v>46293.587529780096</x:v>
      </x:c>
      <x:c r="R1709" s="0"/>
      <x:c r="S1709" s="0"/>
      <x:c r="T1709" s="0"/>
      <x:c r="U1709" s="0"/>
      <x:c r="V1709" s="0"/>
      <x:c r="W1709" s="0"/>
      <x:c r="X1709" t="str" s="2">
        <x:v>3362635823</x:v>
      </x:c>
      <x:c r="Y1709" t="str" s="2">
        <x:v>tiffany.reel@yahoo.com</x:v>
      </x:c>
      <x:c r="Z1709" s="6">
        <x:v>46293.5875184375</x:v>
      </x:c>
      <x:c r="AA1709" t="str" s="2">
        <x:v>Jeremy Jacques</x:v>
      </x:c>
      <x:c r="AB1709" s="6">
        <x:v>46290.55228491898</x:v>
      </x:c>
      <x:c r="AC1709" t="n" s="2">
        <x:v>40355</x:v>
      </x:c>
      <x:c r="AD1709" s="0"/>
      <x:c r="AE1709" s="0"/>
      <x:c r="AF1709" s="0"/>
      <x:c r="AG1709" s="0"/>
      <x:c r="AH1709" s="0"/>
      <x:c r="AI1709" s="0"/>
      <x:c r="AJ1709" s="0"/>
      <x:c r="AK1709" s="0"/>
    </x:row>
    <x:row r="1710">
      <x:c r="A1710" t="str" s="2">
        <x:f>=HYPERLINK("https://rsms.futurehomex.com/lead/40356", "Wendy Colon")</x:f>
      </x:c>
      <x:c r="B1710" t="n" s="2">
        <x:v>18</x:v>
      </x:c>
      <x:c r="C1710" t="str" s="2">
        <x:v/>
      </x:c>
      <x:c r="D1710" t="str" s="2">
        <x:f>=""</x:f>
      </x:c>
      <x:c r="E1710" s="0"/>
      <x:c r="F1710" t="str" s="2">
        <x:v>Landing_BPM</x:v>
      </x:c>
      <x:c r="G1710" t="str" s="2">
        <x:v>Heritage Housing Gainesville</x:v>
      </x:c>
      <x:c r="H1710" t="str" s="2">
        <x:v>Kelly Ford</x:v>
      </x:c>
      <x:c r="I1710" s="0"/>
      <x:c r="J1710" t="str" s="2">
        <x:v>Kelly Ford</x:v>
      </x:c>
      <x:c r="K1710" t="n" s="2">
        <x:v>5</x:v>
      </x:c>
      <x:c r="L1710" t="str" s="2">
        <x:v>1.1</x:v>
      </x:c>
      <x:c r="M1710" t="str" s="2">
        <x:v>Tentative</x:v>
      </x:c>
      <x:c r="N1710" t="str" s="2">
        <x:v>Prospect</x:v>
      </x:c>
      <x:c r="O1710" s="0"/>
      <x:c r="P1710" s="6">
        <x:v>46290</x:v>
      </x:c>
      <x:c r="Q1710" s="6">
        <x:v>46290.57765960648</x:v>
      </x:c>
      <x:c r="R1710" s="0"/>
      <x:c r="S1710" s="0"/>
      <x:c r="T1710" s="0"/>
      <x:c r="U1710" s="0"/>
      <x:c r="V1710" s="0"/>
      <x:c r="W1710" s="0"/>
      <x:c r="X1710" t="str" s="2">
        <x:v>2144168584</x:v>
      </x:c>
      <x:c r="Y1710" t="str" s="2">
        <x:v>wcolond7@gmail.com</x:v>
      </x:c>
      <x:c r="Z1710" s="0"/>
      <x:c r="AA1710" s="0"/>
      <x:c r="AB1710" s="6">
        <x:v>46290.577660069444</x:v>
      </x:c>
      <x:c r="AC1710" t="n" s="2">
        <x:v>40356</x:v>
      </x:c>
      <x:c r="AD1710" s="0"/>
      <x:c r="AE1710" s="0"/>
      <x:c r="AF1710" s="0"/>
      <x:c r="AG1710" s="0"/>
      <x:c r="AH1710" s="0"/>
      <x:c r="AI1710" s="0"/>
      <x:c r="AJ1710" s="0"/>
      <x:c r="AK1710" s="0"/>
    </x:row>
    <x:row r="1711">
      <x:c r="A1711" t="str" s="2">
        <x:f>=HYPERLINK("https://rsms.futurehomex.com/lead/40357", "Joan Bennett")</x:f>
      </x:c>
      <x:c r="B1711" t="n" s="2">
        <x:v>18</x:v>
      </x:c>
      <x:c r="C1711" t="str" s="2">
        <x:v/>
      </x:c>
      <x:c r="D1711" t="str" s="2">
        <x:f>=""</x:f>
      </x:c>
      <x:c r="E1711" s="0"/>
      <x:c r="F1711" t="str" s="2">
        <x:v>Landing_BPM</x:v>
      </x:c>
      <x:c r="G1711" t="str" s="2">
        <x:v>Heritage Housing Gainesville</x:v>
      </x:c>
      <x:c r="H1711" t="str" s="2">
        <x:v>Jeniffer Arellano</x:v>
      </x:c>
      <x:c r="I1711" s="0"/>
      <x:c r="J1711" t="str" s="2">
        <x:v>Kelly Ford</x:v>
      </x:c>
      <x:c r="K1711" t="n" s="2">
        <x:v>5</x:v>
      </x:c>
      <x:c r="L1711" t="str" s="2">
        <x:v>1.1</x:v>
      </x:c>
      <x:c r="M1711" t="str" s="2">
        <x:v>Tentative</x:v>
      </x:c>
      <x:c r="N1711" t="str" s="2">
        <x:v>Prospect</x:v>
      </x:c>
      <x:c r="O1711" s="0"/>
      <x:c r="P1711" s="6">
        <x:v>46290</x:v>
      </x:c>
      <x:c r="Q1711" s="6">
        <x:v>46290.595222222226</x:v>
      </x:c>
      <x:c r="R1711" s="0"/>
      <x:c r="S1711" s="0"/>
      <x:c r="T1711" s="0"/>
      <x:c r="U1711" s="0"/>
      <x:c r="V1711" s="0"/>
      <x:c r="W1711" s="0"/>
      <x:c r="X1711" t="str" s="2">
        <x:v>9409104274</x:v>
      </x:c>
      <x:c r="Y1711" t="str" s="2">
        <x:v>joanbennett66@gmail.com</x:v>
      </x:c>
      <x:c r="Z1711" s="0"/>
      <x:c r="AA1711" s="0"/>
      <x:c r="AB1711" s="6">
        <x:v>46290.59522283565</x:v>
      </x:c>
      <x:c r="AC1711" t="n" s="2">
        <x:v>40357</x:v>
      </x:c>
      <x:c r="AD1711" s="0"/>
      <x:c r="AE1711" s="0"/>
      <x:c r="AF1711" s="0"/>
      <x:c r="AG1711" s="0"/>
      <x:c r="AH1711" s="0"/>
      <x:c r="AI1711" s="0"/>
      <x:c r="AJ1711" s="0"/>
      <x:c r="AK1711" s="0"/>
    </x:row>
    <x:row r="1712">
      <x:c r="A1712" t="str" s="2">
        <x:f>=HYPERLINK("https://rsms.futurehomex.com/lead/40358", "Tyiesha Palmer")</x:f>
      </x:c>
      <x:c r="B1712" t="n" s="2">
        <x:v>18</x:v>
      </x:c>
      <x:c r="C1712" t="str" s="2">
        <x:v/>
      </x:c>
      <x:c r="D1712" t="str" s="2">
        <x:f>=""</x:f>
      </x:c>
      <x:c r="E1712" s="0"/>
      <x:c r="F1712" t="str" s="2">
        <x:v>Youtube</x:v>
      </x:c>
      <x:c r="G1712" t="str" s="2">
        <x:v>Heritage Housing of Augusta</x:v>
      </x:c>
      <x:c r="H1712" t="str" s="2">
        <x:v>Jennifer Johnson</x:v>
      </x:c>
      <x:c r="I1712" s="0"/>
      <x:c r="J1712" t="str" s="2">
        <x:v>Jennifer Johnson</x:v>
      </x:c>
      <x:c r="K1712" t="n" s="2">
        <x:v>5</x:v>
      </x:c>
      <x:c r="L1712" t="str" s="2">
        <x:v>1.1</x:v>
      </x:c>
      <x:c r="M1712" t="str" s="2">
        <x:v>Active</x:v>
      </x:c>
      <x:c r="N1712" t="str" s="2">
        <x:v>Prospect</x:v>
      </x:c>
      <x:c r="O1712" s="0"/>
      <x:c r="P1712" s="6">
        <x:v>46290</x:v>
      </x:c>
      <x:c r="Q1712" s="6">
        <x:v>46304.60458128472</x:v>
      </x:c>
      <x:c r="R1712" t="str" s="2">
        <x:v>Jennifer Johnson</x:v>
      </x:c>
      <x:c r="S1712" s="6">
        <x:v>46290</x:v>
      </x:c>
      <x:c r="T1712" s="0"/>
      <x:c r="U1712" s="0"/>
      <x:c r="V1712" s="0"/>
      <x:c r="W1712" s="0"/>
      <x:c r="X1712" t="str" s="2">
        <x:v>7065648431</x:v>
      </x:c>
      <x:c r="Y1712" t="str" s="2">
        <x:v>Ty.palmer16@gmail.com</x:v>
      </x:c>
      <x:c r="Z1712" s="6">
        <x:v>46298.5824241088</x:v>
      </x:c>
      <x:c r="AA1712" t="str" s="2">
        <x:v>Jennifer Johnson</x:v>
      </x:c>
      <x:c r="AB1712" s="6">
        <x:v>46290.5984409375</x:v>
      </x:c>
      <x:c r="AC1712" t="n" s="2">
        <x:v>40358</x:v>
      </x:c>
      <x:c r="AD1712" s="0"/>
      <x:c r="AE1712" s="0"/>
      <x:c r="AF1712" s="0"/>
      <x:c r="AG1712" s="7">
        <x:v>500</x:v>
      </x:c>
      <x:c r="AH1712" s="0"/>
      <x:c r="AI1712" t="str" s="2">
        <x:v>469</x:v>
      </x:c>
      <x:c r="AJ1712" s="0"/>
      <x:c r="AK1712" s="0"/>
    </x:row>
    <x:row r="1713">
      <x:c r="A1713" t="str" s="2">
        <x:f>=HYPERLINK("https://rsms.futurehomex.com/lead/40359", "Celia Lee")</x:f>
      </x:c>
      <x:c r="B1713" t="n" s="2">
        <x:v>18</x:v>
      </x:c>
      <x:c r="C1713" t="str" s="2">
        <x:v/>
      </x:c>
      <x:c r="D1713" t="str" s="2">
        <x:f>=""</x:f>
      </x:c>
      <x:c r="E1713" s="0"/>
      <x:c r="F1713" t="str" s="2">
        <x:v>Landing_BPM</x:v>
      </x:c>
      <x:c r="G1713" t="str" s="2">
        <x:v>Heritage Housing Gainesville</x:v>
      </x:c>
      <x:c r="H1713" t="str" s="2">
        <x:v>Kelly Ford</x:v>
      </x:c>
      <x:c r="I1713" s="0"/>
      <x:c r="J1713" t="str" s="2">
        <x:v>Kelly Ford</x:v>
      </x:c>
      <x:c r="K1713" t="n" s="2">
        <x:v>5</x:v>
      </x:c>
      <x:c r="L1713" t="str" s="2">
        <x:v>1.1</x:v>
      </x:c>
      <x:c r="M1713" t="str" s="2">
        <x:v>Tentative</x:v>
      </x:c>
      <x:c r="N1713" t="str" s="2">
        <x:v>Prospect</x:v>
      </x:c>
      <x:c r="O1713" s="0"/>
      <x:c r="P1713" s="6">
        <x:v>46290</x:v>
      </x:c>
      <x:c r="Q1713" s="6">
        <x:v>46290.60805231481</x:v>
      </x:c>
      <x:c r="R1713" s="0"/>
      <x:c r="S1713" s="0"/>
      <x:c r="T1713" s="0"/>
      <x:c r="U1713" s="0"/>
      <x:c r="V1713" s="0"/>
      <x:c r="W1713" s="0"/>
      <x:c r="X1713" t="str" s="2">
        <x:v>8176090592</x:v>
      </x:c>
      <x:c r="Y1713" t="str" s="2">
        <x:v>misslee48@gmail.comm</x:v>
      </x:c>
      <x:c r="Z1713" s="0"/>
      <x:c r="AA1713" s="0"/>
      <x:c r="AB1713" s="6">
        <x:v>46290.60805277778</x:v>
      </x:c>
      <x:c r="AC1713" t="n" s="2">
        <x:v>40359</x:v>
      </x:c>
      <x:c r="AD1713" s="0"/>
      <x:c r="AE1713" s="0"/>
      <x:c r="AF1713" s="0"/>
      <x:c r="AG1713" s="0"/>
      <x:c r="AH1713" s="0"/>
      <x:c r="AI1713" s="0"/>
      <x:c r="AJ1713" s="0"/>
      <x:c r="AK1713" s="0"/>
    </x:row>
    <x:row r="1714">
      <x:c r="A1714" t="str" s="2">
        <x:f>=HYPERLINK("https://rsms.futurehomex.com/lead/40360", "Leslie Walker")</x:f>
      </x:c>
      <x:c r="B1714" t="n" s="2">
        <x:v>18</x:v>
      </x:c>
      <x:c r="C1714" t="str" s="2">
        <x:v/>
      </x:c>
      <x:c r="D1714" t="str" s="2">
        <x:f>=""</x:f>
      </x:c>
      <x:c r="E1714" s="0"/>
      <x:c r="F1714" t="str" s="2">
        <x:v>Referrals</x:v>
      </x:c>
      <x:c r="G1714" t="str" s="2">
        <x:v>Heritage Housing Marble Falls</x:v>
      </x:c>
      <x:c r="H1714" t="str" s="2">
        <x:v>Garrett Riedesel</x:v>
      </x:c>
      <x:c r="I1714" s="0"/>
      <x:c r="J1714" t="str" s="2">
        <x:v>Garrett Riedesel</x:v>
      </x:c>
      <x:c r="K1714" t="n" s="2">
        <x:v>5</x:v>
      </x:c>
      <x:c r="L1714" t="str" s="2">
        <x:v>1.1</x:v>
      </x:c>
      <x:c r="M1714" t="str" s="2">
        <x:v>Tentative</x:v>
      </x:c>
      <x:c r="N1714" t="str" s="2">
        <x:v>Prospect</x:v>
      </x:c>
      <x:c r="O1714" s="0"/>
      <x:c r="P1714" s="6">
        <x:v>46290</x:v>
      </x:c>
      <x:c r="Q1714" s="6">
        <x:v>46290.629888854164</x:v>
      </x:c>
      <x:c r="R1714" s="0"/>
      <x:c r="S1714" s="0"/>
      <x:c r="T1714" s="0"/>
      <x:c r="U1714" s="0"/>
      <x:c r="V1714" s="0"/>
      <x:c r="W1714" s="0"/>
      <x:c r="X1714" t="str" s="2">
        <x:v>3612544828</x:v>
      </x:c>
      <x:c r="Y1714" t="str" s="2">
        <x:v>3612544828</x:v>
      </x:c>
      <x:c r="Z1714" s="0"/>
      <x:c r="AA1714" s="0"/>
      <x:c r="AB1714" s="6">
        <x:v>46290.62988943287</x:v>
      </x:c>
      <x:c r="AC1714" t="n" s="2">
        <x:v>40360</x:v>
      </x:c>
      <x:c r="AD1714" s="0"/>
      <x:c r="AE1714" s="0"/>
      <x:c r="AF1714" s="0"/>
      <x:c r="AG1714" s="0"/>
      <x:c r="AH1714" s="0"/>
      <x:c r="AI1714" s="0"/>
      <x:c r="AJ1714" s="0"/>
      <x:c r="AK1714" s="0"/>
    </x:row>
    <x:row r="1715">
      <x:c r="A1715" t="str" s="2">
        <x:f>=HYPERLINK("https://rsms.futurehomex.com/lead/40361", "Mary flores")</x:f>
      </x:c>
      <x:c r="B1715" t="n" s="2">
        <x:v>18</x:v>
      </x:c>
      <x:c r="C1715" t="str" s="2">
        <x:v/>
      </x:c>
      <x:c r="D1715" t="str" s="2">
        <x:f>=""</x:f>
      </x:c>
      <x:c r="E1715" s="0"/>
      <x:c r="F1715" t="str" s="2">
        <x:v>Meta Ads - Forms</x:v>
      </x:c>
      <x:c r="G1715" t="str" s="2">
        <x:v>Heritage Housing Marble Falls</x:v>
      </x:c>
      <x:c r="H1715" t="str" s="2">
        <x:v>Garrett Riedesel</x:v>
      </x:c>
      <x:c r="I1715" s="0"/>
      <x:c r="J1715" t="str" s="2">
        <x:v>Garrett Riedesel</x:v>
      </x:c>
      <x:c r="K1715" t="n" s="2">
        <x:v>5</x:v>
      </x:c>
      <x:c r="L1715" t="str" s="2">
        <x:v>1.1</x:v>
      </x:c>
      <x:c r="M1715" t="str" s="2">
        <x:v>Tentative</x:v>
      </x:c>
      <x:c r="N1715" t="str" s="2">
        <x:v>Prospect</x:v>
      </x:c>
      <x:c r="O1715" s="0"/>
      <x:c r="P1715" s="6">
        <x:v>46290</x:v>
      </x:c>
      <x:c r="Q1715" s="6">
        <x:v>46290.63096388889</x:v>
      </x:c>
      <x:c r="R1715" s="0"/>
      <x:c r="S1715" s="0"/>
      <x:c r="T1715" s="0"/>
      <x:c r="U1715" s="0"/>
      <x:c r="V1715" s="0"/>
      <x:c r="W1715" s="0"/>
      <x:c r="X1715" t="str" s="2">
        <x:v>3253968447</x:v>
      </x:c>
      <x:c r="Y1715" t="str" s="2">
        <x:v>Maryflores1932@yahoo.com</x:v>
      </x:c>
      <x:c r="Z1715" s="0"/>
      <x:c r="AA1715" s="0"/>
      <x:c r="AB1715" s="6">
        <x:v>46290.630964351854</x:v>
      </x:c>
      <x:c r="AC1715" t="n" s="2">
        <x:v>40361</x:v>
      </x:c>
      <x:c r="AD1715" s="0"/>
      <x:c r="AE1715" s="0"/>
      <x:c r="AF1715" s="0"/>
      <x:c r="AG1715" s="0"/>
      <x:c r="AH1715" s="0"/>
      <x:c r="AI1715" s="0"/>
      <x:c r="AJ1715" s="0"/>
      <x:c r="AK1715" s="0"/>
    </x:row>
    <x:row r="1716">
      <x:c r="A1716" t="str" s="2">
        <x:f>=HYPERLINK("https://rsms.futurehomex.com/lead/40362", "Llanet Martinez")</x:f>
      </x:c>
      <x:c r="B1716" t="n" s="2">
        <x:v>18</x:v>
      </x:c>
      <x:c r="C1716" t="str" s="2">
        <x:v/>
      </x:c>
      <x:c r="D1716" t="str" s="2">
        <x:f>=""</x:f>
      </x:c>
      <x:c r="E1716" s="0"/>
      <x:c r="F1716" t="str" s="2">
        <x:v>Walk-in</x:v>
      </x:c>
      <x:c r="G1716" t="str" s="2">
        <x:v>Heritage Housing of Asheboro</x:v>
      </x:c>
      <x:c r="H1716" t="str" s="2">
        <x:v>Maria Lopez</x:v>
      </x:c>
      <x:c r="I1716" s="0"/>
      <x:c r="J1716" s="0"/>
      <x:c r="K1716" t="n" s="2">
        <x:v>21</x:v>
      </x:c>
      <x:c r="L1716" t="str" s="2">
        <x:v>2.1</x:v>
      </x:c>
      <x:c r="M1716" t="str" s="2">
        <x:v>Dead</x:v>
      </x:c>
      <x:c r="N1716" t="str" s="2">
        <x:v>Qualified</x:v>
      </x:c>
      <x:c r="O1716" s="0"/>
      <x:c r="P1716" s="6">
        <x:v>46290</x:v>
      </x:c>
      <x:c r="Q1716" s="6">
        <x:v>46293.587767164354</x:v>
      </x:c>
      <x:c r="R1716" s="0"/>
      <x:c r="S1716" s="0"/>
      <x:c r="T1716" s="0"/>
      <x:c r="U1716" s="0"/>
      <x:c r="V1716" s="0"/>
      <x:c r="W1716" s="0"/>
      <x:c r="X1716" t="str" s="2">
        <x:v>7432674556</x:v>
      </x:c>
      <x:c r="Y1716" t="str" s="2">
        <x:v>llanetmtz82@gmail.com</x:v>
      </x:c>
      <x:c r="Z1716" s="6">
        <x:v>46297.72467650463</x:v>
      </x:c>
      <x:c r="AA1716" t="str" s="2">
        <x:v>Maria Lopez</x:v>
      </x:c>
      <x:c r="AB1716" s="6">
        <x:v>46290.65146971065</x:v>
      </x:c>
      <x:c r="AC1716" t="n" s="2">
        <x:v>40362</x:v>
      </x:c>
      <x:c r="AD1716" s="0"/>
      <x:c r="AE1716" s="0"/>
      <x:c r="AF1716" s="0"/>
      <x:c r="AG1716" s="0"/>
      <x:c r="AH1716" s="0"/>
      <x:c r="AI1716" s="0"/>
      <x:c r="AJ1716" s="0"/>
      <x:c r="AK1716" s="0"/>
    </x:row>
    <x:row r="1717">
      <x:c r="A1717" t="str" s="2">
        <x:f>=HYPERLINK("https://rsms.futurehomex.com/lead/40363", "Rosa granados granados")</x:f>
      </x:c>
      <x:c r="B1717" t="n" s="2">
        <x:v>18</x:v>
      </x:c>
      <x:c r="C1717" t="str" s="2">
        <x:v/>
      </x:c>
      <x:c r="D1717" t="str" s="2">
        <x:f>=""</x:f>
      </x:c>
      <x:c r="E1717" s="0"/>
      <x:c r="F1717" t="str" s="2">
        <x:v>Landing_BPM</x:v>
      </x:c>
      <x:c r="G1717" t="str" s="2">
        <x:v>Heritage Housing of Asheboro</x:v>
      </x:c>
      <x:c r="H1717" t="str" s="2">
        <x:v>Kate Gutierrez</x:v>
      </x:c>
      <x:c r="I1717" s="0"/>
      <x:c r="J1717" t="str" s="2">
        <x:v>Kate Gutierrez</x:v>
      </x:c>
      <x:c r="K1717" t="n" s="2">
        <x:v>21</x:v>
      </x:c>
      <x:c r="L1717" t="str" s="2">
        <x:v>2.1</x:v>
      </x:c>
      <x:c r="M1717" t="str" s="2">
        <x:v>Tentative</x:v>
      </x:c>
      <x:c r="N1717" t="str" s="2">
        <x:v>Qualified</x:v>
      </x:c>
      <x:c r="O1717" s="0"/>
      <x:c r="P1717" s="6">
        <x:v>46290</x:v>
      </x:c>
      <x:c r="Q1717" s="6">
        <x:v>46303.55700925926</x:v>
      </x:c>
      <x:c r="R1717" s="0"/>
      <x:c r="S1717" s="0"/>
      <x:c r="T1717" s="0"/>
      <x:c r="U1717" s="0"/>
      <x:c r="V1717" s="0"/>
      <x:c r="W1717" s="0"/>
      <x:c r="X1717" t="str" s="2">
        <x:v>9106279614</x:v>
      </x:c>
      <x:c r="Y1717" t="str" s="2">
        <x:v>rszbl94@gmail.com</x:v>
      </x:c>
      <x:c r="Z1717" s="6">
        <x:v>46303.556994872684</x:v>
      </x:c>
      <x:c r="AA1717" t="str" s="2">
        <x:v>Jeremy Jacques</x:v>
      </x:c>
      <x:c r="AB1717" s="6">
        <x:v>46290.66949626157</x:v>
      </x:c>
      <x:c r="AC1717" t="n" s="2">
        <x:v>40363</x:v>
      </x:c>
      <x:c r="AD1717" s="0"/>
      <x:c r="AE1717" s="0"/>
      <x:c r="AF1717" s="0"/>
      <x:c r="AG1717" s="0"/>
      <x:c r="AH1717" s="0"/>
      <x:c r="AI1717" s="0"/>
      <x:c r="AJ1717" s="0"/>
      <x:c r="AK1717" s="0"/>
    </x:row>
    <x:row r="1718">
      <x:c r="A1718" t="str" s="2">
        <x:f>=HYPERLINK("https://rsms.futurehomex.com/lead/40364", "Taylor Kimball")</x:f>
      </x:c>
      <x:c r="B1718" t="n" s="2">
        <x:v>18</x:v>
      </x:c>
      <x:c r="C1718" t="str" s="2">
        <x:v>1/1</x:v>
      </x:c>
      <x:c r="D1718" t="str" s="2">
        <x:f>=""</x:f>
      </x:c>
      <x:c r="E1718" s="0"/>
      <x:c r="F1718" t="str" s="2">
        <x:v>Landing_BPM</x:v>
      </x:c>
      <x:c r="G1718" t="str" s="2">
        <x:v>Heritage Housing of Jennings</x:v>
      </x:c>
      <x:c r="H1718" t="str" s="2">
        <x:v>Clint O'Neal</x:v>
      </x:c>
      <x:c r="I1718" s="0"/>
      <x:c r="J1718" t="str" s="2">
        <x:v>Clint O'Neal</x:v>
      </x:c>
      <x:c r="K1718" t="n" s="2">
        <x:v>5</x:v>
      </x:c>
      <x:c r="L1718" t="str" s="2">
        <x:v>1.1</x:v>
      </x:c>
      <x:c r="M1718" t="str" s="2">
        <x:v>Tentative</x:v>
      </x:c>
      <x:c r="N1718" t="str" s="2">
        <x:v>Deal Created</x:v>
      </x:c>
      <x:c r="O1718" s="0"/>
      <x:c r="P1718" s="6">
        <x:v>46290</x:v>
      </x:c>
      <x:c r="Q1718" s="6">
        <x:v>46290.675024965276</x:v>
      </x:c>
      <x:c r="R1718" s="0"/>
      <x:c r="S1718" s="0"/>
      <x:c r="T1718" s="0"/>
      <x:c r="U1718" s="0"/>
      <x:c r="V1718" s="0"/>
      <x:c r="W1718" s="0"/>
      <x:c r="X1718" t="str" s="2">
        <x:v>5099362830</x:v>
      </x:c>
      <x:c r="Y1718" t="str" s="2">
        <x:v>littlebird9619@gmail.com</x:v>
      </x:c>
      <x:c r="Z1718" s="6">
        <x:v>46290.675657025466</x:v>
      </x:c>
      <x:c r="AA1718" t="str" s="2">
        <x:v>Clint O'Neal</x:v>
      </x:c>
      <x:c r="AB1718" s="6">
        <x:v>46290.675025462966</x:v>
      </x:c>
      <x:c r="AC1718" t="n" s="2">
        <x:v>40364</x:v>
      </x:c>
      <x:c r="AD1718" s="0"/>
      <x:c r="AE1718" s="0"/>
      <x:c r="AF1718" s="0"/>
      <x:c r="AG1718" s="0"/>
      <x:c r="AH1718" s="0"/>
      <x:c r="AI1718" s="0"/>
      <x:c r="AJ1718" s="0"/>
      <x:c r="AK1718" s="0"/>
    </x:row>
    <x:row r="1719">
      <x:c r="A1719" t="str" s="2">
        <x:f>=HYPERLINK("https://rsms.futurehomex.com/lead/40366", "Pam Thompson")</x:f>
      </x:c>
      <x:c r="B1719" t="n" s="2">
        <x:v>18</x:v>
      </x:c>
      <x:c r="C1719" t="str" s="2">
        <x:v/>
      </x:c>
      <x:c r="D1719" t="str" s="2">
        <x:f>=""</x:f>
      </x:c>
      <x:c r="E1719" s="0"/>
      <x:c r="F1719" t="str" s="2">
        <x:v>Walk-in</x:v>
      </x:c>
      <x:c r="G1719" t="str" s="2">
        <x:v>Heritage Housing of Oklahoma City</x:v>
      </x:c>
      <x:c r="H1719" t="str" s="2">
        <x:v>Devon McCoy</x:v>
      </x:c>
      <x:c r="I1719" t="str" s="2">
        <x:v>Karol Romero</x:v>
      </x:c>
      <x:c r="J1719" t="str" s="2">
        <x:v>Devon McCoy</x:v>
      </x:c>
      <x:c r="K1719" t="n" s="2">
        <x:v>5</x:v>
      </x:c>
      <x:c r="L1719" t="str" s="2">
        <x:v>1.1</x:v>
      </x:c>
      <x:c r="M1719" t="str" s="2">
        <x:v>Dead</x:v>
      </x:c>
      <x:c r="N1719" t="str" s="2">
        <x:v>Deal Created</x:v>
      </x:c>
      <x:c r="O1719" s="0"/>
      <x:c r="P1719" s="6">
        <x:v>46290</x:v>
      </x:c>
      <x:c r="Q1719" s="6">
        <x:v>46290.695386342595</x:v>
      </x:c>
      <x:c r="R1719" s="0"/>
      <x:c r="S1719" s="6">
        <x:v>46290</x:v>
      </x:c>
      <x:c r="T1719" s="0"/>
      <x:c r="U1719" s="0"/>
      <x:c r="V1719" s="0"/>
      <x:c r="W1719" s="0"/>
      <x:c r="X1719" t="str" s="2">
        <x:v>4053201540</x:v>
      </x:c>
      <x:c r="Y1719" t="str" s="2">
        <x:v>pamthompson8@gmail.com</x:v>
      </x:c>
      <x:c r="Z1719" s="6">
        <x:v>46290.69573503472</x:v>
      </x:c>
      <x:c r="AA1719" t="str" s="2">
        <x:v>Devon McCoy</x:v>
      </x:c>
      <x:c r="AB1719" s="6">
        <x:v>46290.69446142361</x:v>
      </x:c>
      <x:c r="AC1719" t="n" s="2">
        <x:v>40366</x:v>
      </x:c>
      <x:c r="AD1719" s="0"/>
      <x:c r="AE1719" s="0"/>
      <x:c r="AF1719" s="0"/>
      <x:c r="AG1719" s="0"/>
      <x:c r="AH1719" s="0"/>
      <x:c r="AI1719" s="0"/>
      <x:c r="AJ1719" s="0"/>
      <x:c r="AK1719" s="0"/>
    </x:row>
    <x:row r="1720">
      <x:c r="A1720" t="str" s="2">
        <x:f>=HYPERLINK("https://rsms.futurehomex.com/lead/40367", "Dorantes Jesus")</x:f>
      </x:c>
      <x:c r="B1720" t="n" s="2">
        <x:v>18</x:v>
      </x:c>
      <x:c r="C1720" t="str" s="2">
        <x:v/>
      </x:c>
      <x:c r="D1720" t="str" s="2">
        <x:f>=""</x:f>
      </x:c>
      <x:c r="E1720" s="0"/>
      <x:c r="F1720" t="str" s="2">
        <x:v>Walk-in</x:v>
      </x:c>
      <x:c r="G1720" t="str" s="2">
        <x:v>Heritage Housing of Athens</x:v>
      </x:c>
      <x:c r="H1720" t="str" s="2">
        <x:v>Ethan Fossett</x:v>
      </x:c>
      <x:c r="I1720" s="0"/>
      <x:c r="J1720" s="0"/>
      <x:c r="K1720" t="n" s="2">
        <x:v>5</x:v>
      </x:c>
      <x:c r="L1720" t="str" s="2">
        <x:v>1.1</x:v>
      </x:c>
      <x:c r="M1720" t="str" s="2">
        <x:v>Active</x:v>
      </x:c>
      <x:c r="N1720" t="str" s="2">
        <x:v>Prospect</x:v>
      </x:c>
      <x:c r="O1720" s="0"/>
      <x:c r="P1720" s="6">
        <x:v>46290</x:v>
      </x:c>
      <x:c r="Q1720" s="6">
        <x:v>46290.70102025463</x:v>
      </x:c>
      <x:c r="R1720" s="0"/>
      <x:c r="S1720" s="6">
        <x:v>46317</x:v>
      </x:c>
      <x:c r="T1720" s="0"/>
      <x:c r="U1720" s="0"/>
      <x:c r="V1720" s="0"/>
      <x:c r="W1720" s="0"/>
      <x:c r="X1720" t="str" s="2">
        <x:v>7623103286</x:v>
      </x:c>
      <x:c r="Y1720" t="str" s="2">
        <x:v>jesusdorantes531@gmail.com</x:v>
      </x:c>
      <x:c r="Z1720" s="0"/>
      <x:c r="AA1720" s="0"/>
      <x:c r="AB1720" s="6">
        <x:v>46290.70102079861</x:v>
      </x:c>
      <x:c r="AC1720" t="n" s="2">
        <x:v>40367</x:v>
      </x:c>
      <x:c r="AD1720" s="0"/>
      <x:c r="AE1720" s="0"/>
      <x:c r="AF1720" s="0"/>
      <x:c r="AG1720" s="0"/>
      <x:c r="AH1720" s="0"/>
      <x:c r="AI1720" s="0"/>
      <x:c r="AJ1720" s="0"/>
      <x:c r="AK1720" s="0"/>
    </x:row>
    <x:row r="1721">
      <x:c r="A1721" t="str" s="2">
        <x:f>=HYPERLINK("https://rsms.futurehomex.com/lead/40369", "Therese Howell")</x:f>
      </x:c>
      <x:c r="B1721" t="n" s="2">
        <x:v>18</x:v>
      </x:c>
      <x:c r="C1721" t="str" s="2">
        <x:v/>
      </x:c>
      <x:c r="D1721" t="str" s="2">
        <x:f>=""</x:f>
      </x:c>
      <x:c r="E1721" s="0"/>
      <x:c r="F1721" t="str" s="2">
        <x:v>Website</x:v>
      </x:c>
      <x:c r="G1721" t="str" s="2">
        <x:v>Heritage Housing Gainesville</x:v>
      </x:c>
      <x:c r="H1721" t="str" s="2">
        <x:v>Kelly Ford</x:v>
      </x:c>
      <x:c r="I1721" s="0"/>
      <x:c r="J1721" t="str" s="2">
        <x:v>Jeniffer Arellano</x:v>
      </x:c>
      <x:c r="K1721" t="n" s="2">
        <x:v>5</x:v>
      </x:c>
      <x:c r="L1721" t="str" s="2">
        <x:v>1.1</x:v>
      </x:c>
      <x:c r="M1721" t="str" s="2">
        <x:v>Tentative</x:v>
      </x:c>
      <x:c r="N1721" t="str" s="2">
        <x:v>Prospect</x:v>
      </x:c>
      <x:c r="O1721" s="0"/>
      <x:c r="P1721" s="6">
        <x:v>46290</x:v>
      </x:c>
      <x:c r="Q1721" s="6">
        <x:v>46290.88527572917</x:v>
      </x:c>
      <x:c r="R1721" s="0"/>
      <x:c r="S1721" s="0"/>
      <x:c r="T1721" s="0"/>
      <x:c r="U1721" s="0"/>
      <x:c r="V1721" s="0"/>
      <x:c r="W1721" s="0"/>
      <x:c r="X1721" t="str" s="2">
        <x:v>9039210622</x:v>
      </x:c>
      <x:c r="Y1721" t="str" s="2">
        <x:v>howelltherese576@gmail.com</x:v>
      </x:c>
      <x:c r="Z1721" s="6">
        <x:v>46290.8931534375</x:v>
      </x:c>
      <x:c r="AA1721" t="str" s="2">
        <x:v>Kelly Ford</x:v>
      </x:c>
      <x:c r="AB1721" s="6">
        <x:v>46290.76416230324</x:v>
      </x:c>
      <x:c r="AC1721" t="n" s="2">
        <x:v>40369</x:v>
      </x:c>
      <x:c r="AD1721" s="0"/>
      <x:c r="AE1721" s="0"/>
      <x:c r="AF1721" s="0"/>
      <x:c r="AG1721" s="0"/>
      <x:c r="AH1721" s="0"/>
      <x:c r="AI1721" s="0"/>
      <x:c r="AJ1721" s="0"/>
      <x:c r="AK1721" s="0"/>
    </x:row>
    <x:row r="1722">
      <x:c r="A1722" t="str" s="2">
        <x:f>=HYPERLINK("https://rsms.futurehomex.com/lead/40370", "Lenora Lewis")</x:f>
      </x:c>
      <x:c r="B1722" t="n" s="2">
        <x:v>18</x:v>
      </x:c>
      <x:c r="C1722" t="str" s="2">
        <x:v>0/1</x:v>
      </x:c>
      <x:c r="D1722" t="str" s="2">
        <x:f>=""</x:f>
      </x:c>
      <x:c r="E1722" s="0"/>
      <x:c r="F1722" t="str" s="2">
        <x:v>Walk-in</x:v>
      </x:c>
      <x:c r="G1722" t="str" s="2">
        <x:v>Heritage Housing of Minden</x:v>
      </x:c>
      <x:c r="H1722" t="str" s="2">
        <x:v>Patrick Schuchart</x:v>
      </x:c>
      <x:c r="I1722" t="str" s="2">
        <x:v>Karol Romero</x:v>
      </x:c>
      <x:c r="J1722" t="str" s="2">
        <x:v>Patrick Schuchart</x:v>
      </x:c>
      <x:c r="K1722" t="n" s="2">
        <x:v>5</x:v>
      </x:c>
      <x:c r="L1722" t="str" s="2">
        <x:v>1.1</x:v>
      </x:c>
      <x:c r="M1722" t="str" s="2">
        <x:v>Tentative</x:v>
      </x:c>
      <x:c r="N1722" t="str" s="2">
        <x:v>Deal Created</x:v>
      </x:c>
      <x:c r="O1722" s="0"/>
      <x:c r="P1722" s="6">
        <x:v>46290</x:v>
      </x:c>
      <x:c r="Q1722" s="6">
        <x:v>46290.77761658565</x:v>
      </x:c>
      <x:c r="R1722" t="str" s="2">
        <x:v>Patrick Schuchart</x:v>
      </x:c>
      <x:c r="S1722" s="0"/>
      <x:c r="T1722" s="0"/>
      <x:c r="U1722" s="0"/>
      <x:c r="V1722" s="0"/>
      <x:c r="W1722" s="0"/>
      <x:c r="X1722" t="str" s="2">
        <x:v>3108196116</x:v>
      </x:c>
      <x:c r="Y1722" t="str" s="2">
        <x:v>3108196116</x:v>
      </x:c>
      <x:c r="Z1722" s="6">
        <x:v>46297.91848769676</x:v>
      </x:c>
      <x:c r="AA1722" t="str" s="2">
        <x:v>Kyla Brown</x:v>
      </x:c>
      <x:c r="AB1722" s="6">
        <x:v>46290.77761871528</x:v>
      </x:c>
      <x:c r="AC1722" t="n" s="2">
        <x:v>40370</x:v>
      </x:c>
      <x:c r="AD1722" s="0"/>
      <x:c r="AE1722" s="0"/>
      <x:c r="AF1722" s="0"/>
      <x:c r="AG1722" s="0"/>
      <x:c r="AH1722" s="0"/>
      <x:c r="AI1722" s="0"/>
      <x:c r="AJ1722" s="0"/>
      <x:c r="AK1722" s="0"/>
    </x:row>
    <x:row r="1723">
      <x:c r="A1723" t="str" s="2">
        <x:f>=HYPERLINK("https://rsms.futurehomex.com/lead/40371", "Austin Sallas")</x:f>
      </x:c>
      <x:c r="B1723" t="n" s="2">
        <x:v>18</x:v>
      </x:c>
      <x:c r="C1723" t="str" s="2">
        <x:v/>
      </x:c>
      <x:c r="D1723" t="str" s="2">
        <x:f>=""</x:f>
      </x:c>
      <x:c r="E1723" s="0"/>
      <x:c r="F1723" t="str" s="2">
        <x:v>Walk-in</x:v>
      </x:c>
      <x:c r="G1723" t="str" s="2">
        <x:v>Heritage Housing of Tulsa</x:v>
      </x:c>
      <x:c r="H1723" t="str" s="2">
        <x:v>Jenna Fransisco</x:v>
      </x:c>
      <x:c r="I1723" s="0"/>
      <x:c r="J1723" s="0"/>
      <x:c r="K1723" t="n" s="2">
        <x:v>5</x:v>
      </x:c>
      <x:c r="L1723" t="str" s="2">
        <x:v>1.1</x:v>
      </x:c>
      <x:c r="M1723" t="str" s="2">
        <x:v>Tentative</x:v>
      </x:c>
      <x:c r="N1723" t="str" s="2">
        <x:v>Prospect</x:v>
      </x:c>
      <x:c r="O1723" s="0"/>
      <x:c r="P1723" s="6">
        <x:v>46290</x:v>
      </x:c>
      <x:c r="Q1723" s="6">
        <x:v>46290.801715775466</x:v>
      </x:c>
      <x:c r="R1723" s="0"/>
      <x:c r="S1723" s="0"/>
      <x:c r="T1723" s="0"/>
      <x:c r="U1723" s="0"/>
      <x:c r="V1723" s="0"/>
      <x:c r="W1723" s="0"/>
      <x:c r="X1723" t="str" s="2">
        <x:v>9187120456</x:v>
      </x:c>
      <x:c r="Y1723" t="str" s="2">
        <x:v>austinbsallas@gmail.com</x:v>
      </x:c>
      <x:c r="Z1723" s="6">
        <x:v>46290.80266574074</x:v>
      </x:c>
      <x:c r="AA1723" t="str" s="2">
        <x:v>Jenna Fransisco</x:v>
      </x:c>
      <x:c r="AB1723" s="6">
        <x:v>46290.801716284725</x:v>
      </x:c>
      <x:c r="AC1723" t="n" s="2">
        <x:v>40371</x:v>
      </x:c>
      <x:c r="AD1723" s="0"/>
      <x:c r="AE1723" s="0"/>
      <x:c r="AF1723" s="0"/>
      <x:c r="AG1723" s="0"/>
      <x:c r="AH1723" s="0"/>
      <x:c r="AI1723" s="0"/>
      <x:c r="AJ1723" s="0"/>
      <x:c r="AK1723" s="0"/>
    </x:row>
    <x:row r="1724">
      <x:c r="A1724" t="str" s="2">
        <x:f>=HYPERLINK("https://rsms.futurehomex.com/lead/40372", "Craig Monroe")</x:f>
      </x:c>
      <x:c r="B1724" t="n" s="2">
        <x:v>18</x:v>
      </x:c>
      <x:c r="C1724" t="str" s="2">
        <x:v/>
      </x:c>
      <x:c r="D1724" t="str" s="2">
        <x:f>=""</x:f>
      </x:c>
      <x:c r="E1724" s="0"/>
      <x:c r="F1724" t="str" s="2">
        <x:v>Walk-in</x:v>
      </x:c>
      <x:c r="G1724" t="str" s="2">
        <x:v>Heritage Housing of Albany</x:v>
      </x:c>
      <x:c r="H1724" t="str" s="2">
        <x:v>Justin Johnson</x:v>
      </x:c>
      <x:c r="I1724" s="0"/>
      <x:c r="J1724" s="0"/>
      <x:c r="K1724" t="n" s="2">
        <x:v>5</x:v>
      </x:c>
      <x:c r="L1724" t="str" s="2">
        <x:v>1.1</x:v>
      </x:c>
      <x:c r="M1724" t="str" s="2">
        <x:v>Tentative</x:v>
      </x:c>
      <x:c r="N1724" t="str" s="2">
        <x:v>Prospect</x:v>
      </x:c>
      <x:c r="O1724" s="0"/>
      <x:c r="P1724" s="6">
        <x:v>46290</x:v>
      </x:c>
      <x:c r="Q1724" s="6">
        <x:v>46290.83713850695</x:v>
      </x:c>
      <x:c r="R1724" s="0"/>
      <x:c r="S1724" s="0"/>
      <x:c r="T1724" s="0"/>
      <x:c r="U1724" s="0"/>
      <x:c r="V1724" s="0"/>
      <x:c r="W1724" s="0"/>
      <x:c r="X1724" t="str" s="2">
        <x:v>3862188015</x:v>
      </x:c>
      <x:c r="Y1724" t="str" s="2">
        <x:v>monroecraig1@gmail.com</x:v>
      </x:c>
      <x:c r="Z1724" s="0"/>
      <x:c r="AA1724" s="0"/>
      <x:c r="AB1724" s="6">
        <x:v>46290.83713903935</x:v>
      </x:c>
      <x:c r="AC1724" t="n" s="2">
        <x:v>40372</x:v>
      </x:c>
      <x:c r="AD1724" s="0"/>
      <x:c r="AE1724" s="0"/>
      <x:c r="AF1724" s="0"/>
      <x:c r="AG1724" s="0"/>
      <x:c r="AH1724" s="0"/>
      <x:c r="AI1724" s="0"/>
      <x:c r="AJ1724" s="0"/>
      <x:c r="AK1724" s="0"/>
    </x:row>
    <x:row r="1725">
      <x:c r="A1725" t="str" s="2">
        <x:f>=HYPERLINK("https://rsms.futurehomex.com/lead/40375", "Donna Solter")</x:f>
      </x:c>
      <x:c r="B1725" t="n" s="2">
        <x:v>18</x:v>
      </x:c>
      <x:c r="C1725" t="str" s="2">
        <x:v>0/1</x:v>
      </x:c>
      <x:c r="D1725" t="str" s="2">
        <x:f>=""</x:f>
      </x:c>
      <x:c r="E1725" s="0"/>
      <x:c r="F1725" t="str" s="2">
        <x:v>Walk-in</x:v>
      </x:c>
      <x:c r="G1725" t="str" s="2">
        <x:v>Heritage Housing of Minden</x:v>
      </x:c>
      <x:c r="H1725" t="str" s="2">
        <x:v>Patrick Schuchart</x:v>
      </x:c>
      <x:c r="I1725" t="str" s="2">
        <x:v>Karol Romero</x:v>
      </x:c>
      <x:c r="J1725" t="str" s="2">
        <x:v>Patrick Schuchart</x:v>
      </x:c>
      <x:c r="K1725" t="n" s="2">
        <x:v>5</x:v>
      </x:c>
      <x:c r="L1725" t="str" s="2">
        <x:v>1.1</x:v>
      </x:c>
      <x:c r="M1725" t="str" s="2">
        <x:v>Tentative</x:v>
      </x:c>
      <x:c r="N1725" t="str" s="2">
        <x:v>Deal Created</x:v>
      </x:c>
      <x:c r="O1725" s="0"/>
      <x:c r="P1725" s="6">
        <x:v>46290</x:v>
      </x:c>
      <x:c r="Q1725" s="6">
        <x:v>46290.9396366088</x:v>
      </x:c>
      <x:c r="R1725" t="str" s="2">
        <x:v>Patrick Schuchart</x:v>
      </x:c>
      <x:c r="S1725" s="0"/>
      <x:c r="T1725" s="0"/>
      <x:c r="U1725" s="0"/>
      <x:c r="V1725" s="0"/>
      <x:c r="W1725" s="0"/>
      <x:c r="X1725" t="str" s="2">
        <x:v>3185605972</x:v>
      </x:c>
      <x:c r="Y1725" t="str" s="2">
        <x:v>3185605972</x:v>
      </x:c>
      <x:c r="Z1725" s="6">
        <x:v>46302.60630436343</x:v>
      </x:c>
      <x:c r="AA1725" t="str" s="2">
        <x:v>Kyla Brown</x:v>
      </x:c>
      <x:c r="AB1725" s="6">
        <x:v>46290.93963842592</x:v>
      </x:c>
      <x:c r="AC1725" t="n" s="2">
        <x:v>40375</x:v>
      </x:c>
      <x:c r="AD1725" s="0"/>
      <x:c r="AE1725" s="0"/>
      <x:c r="AF1725" s="0"/>
      <x:c r="AG1725" s="0"/>
      <x:c r="AH1725" s="0"/>
      <x:c r="AI1725" s="0"/>
      <x:c r="AJ1725" s="0"/>
      <x:c r="AK1725" s="0"/>
    </x:row>
    <x:row r="1726">
      <x:c r="A1726" t="str" s="2">
        <x:f>=HYPERLINK("https://rsms.futurehomex.com/lead/40376", "Justin Tugmon")</x:f>
      </x:c>
      <x:c r="B1726" t="n" s="2">
        <x:v>18</x:v>
      </x:c>
      <x:c r="C1726" t="str" s="2">
        <x:v>0/5</x:v>
      </x:c>
      <x:c r="D1726" t="str" s="2">
        <x:f>=""</x:f>
      </x:c>
      <x:c r="E1726" s="0"/>
      <x:c r="F1726" t="str" s="2">
        <x:v>Website</x:v>
      </x:c>
      <x:c r="G1726" t="str" s="2">
        <x:v>Heritage Housing of Oklahoma City</x:v>
      </x:c>
      <x:c r="H1726" t="str" s="2">
        <x:v>Devon McCoy</x:v>
      </x:c>
      <x:c r="I1726" s="0"/>
      <x:c r="J1726" t="str" s="2">
        <x:v>Devon McCoy</x:v>
      </x:c>
      <x:c r="K1726" t="n" s="2">
        <x:v>5</x:v>
      </x:c>
      <x:c r="L1726" t="str" s="2">
        <x:v>1.1</x:v>
      </x:c>
      <x:c r="M1726" t="str" s="2">
        <x:v>Tentative</x:v>
      </x:c>
      <x:c r="N1726" t="str" s="2">
        <x:v>Deal Created</x:v>
      </x:c>
      <x:c r="O1726" s="0"/>
      <x:c r="P1726" s="6">
        <x:v>46290</x:v>
      </x:c>
      <x:c r="Q1726" s="6">
        <x:v>46290.99196655092</x:v>
      </x:c>
      <x:c r="R1726" s="0"/>
      <x:c r="S1726" s="0"/>
      <x:c r="T1726" s="0"/>
      <x:c r="U1726" s="0"/>
      <x:c r="V1726" s="0"/>
      <x:c r="W1726" s="0"/>
      <x:c r="X1726" t="str" s="2">
        <x:v>5806566005</x:v>
      </x:c>
      <x:c r="Y1726" t="str" s="2">
        <x:v>justintugmon7@gmail.com</x:v>
      </x:c>
      <x:c r="Z1726" s="6">
        <x:v>46301.58307172453</x:v>
      </x:c>
      <x:c r="AA1726" t="str" s="2">
        <x:v>Devon McCoy</x:v>
      </x:c>
      <x:c r="AB1726" s="6">
        <x:v>46290.9941568287</x:v>
      </x:c>
      <x:c r="AC1726" t="n" s="2">
        <x:v>40376</x:v>
      </x:c>
      <x:c r="AD1726" s="0"/>
      <x:c r="AE1726" s="0"/>
      <x:c r="AF1726" s="0"/>
      <x:c r="AG1726" s="0"/>
      <x:c r="AH1726" s="0"/>
      <x:c r="AI1726" s="0"/>
      <x:c r="AJ1726" s="0"/>
      <x:c r="AK1726" s="0"/>
    </x:row>
    <x:row r="1727">
      <x:c r="A1727" t="str" s="2">
        <x:f>=HYPERLINK("https://rsms.futurehomex.com/lead/40377", "Tucker Beaston")</x:f>
      </x:c>
      <x:c r="B1727" t="n" s="2">
        <x:v>18</x:v>
      </x:c>
      <x:c r="C1727" t="str" s="2">
        <x:v>0/2</x:v>
      </x:c>
      <x:c r="D1727" t="str" s="2">
        <x:f>=""</x:f>
      </x:c>
      <x:c r="E1727" s="0"/>
      <x:c r="F1727" t="str" s="2">
        <x:v>Facebook Messenger</x:v>
      </x:c>
      <x:c r="G1727" t="str" s="2">
        <x:v>Heritage Housing of Oklahoma City</x:v>
      </x:c>
      <x:c r="H1727" t="str" s="2">
        <x:v>Devon McCoy</x:v>
      </x:c>
      <x:c r="I1727" s="0"/>
      <x:c r="J1727" s="0"/>
      <x:c r="K1727" t="n" s="2">
        <x:v>5</x:v>
      </x:c>
      <x:c r="L1727" t="str" s="2">
        <x:v>1.1</x:v>
      </x:c>
      <x:c r="M1727" t="str" s="2">
        <x:v>Tentative</x:v>
      </x:c>
      <x:c r="N1727" t="str" s="2">
        <x:v>Deal Created</x:v>
      </x:c>
      <x:c r="O1727" s="0"/>
      <x:c r="P1727" s="6">
        <x:v>46290</x:v>
      </x:c>
      <x:c r="Q1727" s="6">
        <x:v>46290.99763232639</x:v>
      </x:c>
      <x:c r="R1727" s="0"/>
      <x:c r="S1727" s="0"/>
      <x:c r="T1727" s="0"/>
      <x:c r="U1727" s="0"/>
      <x:c r="V1727" s="0"/>
      <x:c r="W1727" s="0"/>
      <x:c r="X1727" t="str" s="2">
        <x:v>5803048038</x:v>
      </x:c>
      <x:c r="Y1727" t="str" s="2">
        <x:v>tuckerbeaston80@gmail.com</x:v>
      </x:c>
      <x:c r="Z1727" s="6">
        <x:v>46294.60940277778</x:v>
      </x:c>
      <x:c r="AA1727" t="str" s="2">
        <x:v>Kristin Breedlove</x:v>
      </x:c>
      <x:c r="AB1727" s="6">
        <x:v>46290.99763275463</x:v>
      </x:c>
      <x:c r="AC1727" t="n" s="2">
        <x:v>40377</x:v>
      </x:c>
      <x:c r="AD1727" s="0"/>
      <x:c r="AE1727" s="0"/>
      <x:c r="AF1727" s="0"/>
      <x:c r="AG1727" s="0"/>
      <x:c r="AH1727" s="0"/>
      <x:c r="AI1727" s="0"/>
      <x:c r="AJ1727" s="0"/>
      <x:c r="AK1727" s="0"/>
    </x:row>
    <x:row r="1728">
      <x:c r="A1728" t="str" s="2">
        <x:f>=HYPERLINK("https://rsms.futurehomex.com/lead/40378", "Lee Kinzer")</x:f>
      </x:c>
      <x:c r="B1728" t="n" s="2">
        <x:v>17</x:v>
      </x:c>
      <x:c r="C1728" t="str" s="2">
        <x:v>1/3</x:v>
      </x:c>
      <x:c r="D1728" t="str" s="2">
        <x:f>=""</x:f>
      </x:c>
      <x:c r="E1728" s="0"/>
      <x:c r="F1728" t="str" s="2">
        <x:v>Landing_BPM</x:v>
      </x:c>
      <x:c r="G1728" t="str" s="2">
        <x:v>Heritage Housing Mt Pleasant</x:v>
      </x:c>
      <x:c r="H1728" t="str" s="2">
        <x:v>Elias Gallardo</x:v>
      </x:c>
      <x:c r="I1728" s="0"/>
      <x:c r="J1728" t="str" s="2">
        <x:v>Elias Gallardo</x:v>
      </x:c>
      <x:c r="K1728" t="n" s="2">
        <x:v>59</x:v>
      </x:c>
      <x:c r="L1728" t="str" s="2">
        <x:v>4.3</x:v>
      </x:c>
      <x:c r="M1728" t="str" s="2">
        <x:v>Dead</x:v>
      </x:c>
      <x:c r="N1728" t="str" s="2">
        <x:v>Loan Approved</x:v>
      </x:c>
      <x:c r="O1728" s="6">
        <x:v>46326</x:v>
      </x:c>
      <x:c r="P1728" s="6">
        <x:v>46291</x:v>
      </x:c>
      <x:c r="Q1728" s="6">
        <x:v>46296.700740740744</x:v>
      </x:c>
      <x:c r="R1728" s="0"/>
      <x:c r="S1728" s="6">
        <x:v>46291</x:v>
      </x:c>
      <x:c r="T1728" s="6">
        <x:v>46293</x:v>
      </x:c>
      <x:c r="U1728" s="6">
        <x:v>46293</x:v>
      </x:c>
      <x:c r="V1728" s="6">
        <x:v>46296</x:v>
      </x:c>
      <x:c r="W1728" s="0"/>
      <x:c r="X1728" t="str" s="2">
        <x:v>9033473629</x:v>
      </x:c>
      <x:c r="Y1728" t="str" s="2">
        <x:v>ecm053021@gmail.com</x:v>
      </x:c>
      <x:c r="Z1728" s="6">
        <x:v>46296.67704552083</x:v>
      </x:c>
      <x:c r="AA1728" t="str" s="2">
        <x:v>Sarahi Vazquez</x:v>
      </x:c>
      <x:c r="AB1728" s="6">
        <x:v>46291.61468677083</x:v>
      </x:c>
      <x:c r="AC1728" t="n" s="2">
        <x:v>40378</x:v>
      </x:c>
      <x:c r="AD1728" t="str" s="2">
        <x:v>Singlewide</x:v>
      </x:c>
      <x:c r="AE1728" t="str" s="2">
        <x:v>Legacy Housing Corporation</x:v>
      </x:c>
      <x:c r="AF1728" s="7">
        <x:v>25000</x:v>
      </x:c>
      <x:c r="AG1728" s="7">
        <x:v>25000</x:v>
      </x:c>
      <x:c r="AH1728" s="0"/>
      <x:c r="AI1728" s="0"/>
      <x:c r="AJ1728" s="0"/>
      <x:c r="AK1728" s="0"/>
    </x:row>
    <x:row r="1729">
      <x:c r="A1729" t="str" s="2">
        <x:f>=HYPERLINK("https://rsms.futurehomex.com/lead/40379", "Anthony Kortright")</x:f>
      </x:c>
      <x:c r="B1729" t="n" s="2">
        <x:v>17</x:v>
      </x:c>
      <x:c r="C1729" t="str" s="2">
        <x:v>1/1</x:v>
      </x:c>
      <x:c r="D1729" t="str" s="2">
        <x:f>=""</x:f>
      </x:c>
      <x:c r="E1729" s="0"/>
      <x:c r="F1729" t="str" s="2">
        <x:v>Landing_BPM</x:v>
      </x:c>
      <x:c r="G1729" t="str" s="2">
        <x:v>Heritage Housing of Oklahoma City</x:v>
      </x:c>
      <x:c r="H1729" t="str" s="2">
        <x:v>Trey Rixleben</x:v>
      </x:c>
      <x:c r="I1729" s="0"/>
      <x:c r="J1729" t="str" s="2">
        <x:v>Trey Rixleben</x:v>
      </x:c>
      <x:c r="K1729" t="n" s="2">
        <x:v>5</x:v>
      </x:c>
      <x:c r="L1729" t="str" s="2">
        <x:v>1.1</x:v>
      </x:c>
      <x:c r="M1729" t="str" s="2">
        <x:v>Tentative</x:v>
      </x:c>
      <x:c r="N1729" t="str" s="2">
        <x:v>Deal Created</x:v>
      </x:c>
      <x:c r="O1729" s="0"/>
      <x:c r="P1729" s="6">
        <x:v>46291</x:v>
      </x:c>
      <x:c r="Q1729" s="6">
        <x:v>46300.992177465276</x:v>
      </x:c>
      <x:c r="R1729" s="0"/>
      <x:c r="S1729" s="0"/>
      <x:c r="T1729" s="0"/>
      <x:c r="U1729" s="0"/>
      <x:c r="V1729" s="0"/>
      <x:c r="W1729" s="0"/>
      <x:c r="X1729" t="str" s="2">
        <x:v>4059169744</x:v>
      </x:c>
      <x:c r="Y1729" t="str" s="2">
        <x:v>Anthony837@yahoo.com</x:v>
      </x:c>
      <x:c r="Z1729" s="6">
        <x:v>46300.99435084491</x:v>
      </x:c>
      <x:c r="AA1729" t="str" s="2">
        <x:v>Trey Rixleben</x:v>
      </x:c>
      <x:c r="AB1729" s="6">
        <x:v>46291.62822318287</x:v>
      </x:c>
      <x:c r="AC1729" t="n" s="2">
        <x:v>40379</x:v>
      </x:c>
      <x:c r="AD1729" s="0"/>
      <x:c r="AE1729" s="0"/>
      <x:c r="AF1729" s="0"/>
      <x:c r="AG1729" s="0"/>
      <x:c r="AH1729" s="0"/>
      <x:c r="AI1729" s="0"/>
      <x:c r="AJ1729" s="0"/>
      <x:c r="AK1729" s="0"/>
    </x:row>
    <x:row r="1730">
      <x:c r="A1730" t="str" s="2">
        <x:f>=HYPERLINK("https://rsms.futurehomex.com/lead/40380", "Jonathan Kennedy")</x:f>
      </x:c>
      <x:c r="B1730" t="n" s="2">
        <x:v>17</x:v>
      </x:c>
      <x:c r="C1730" t="str" s="2">
        <x:v/>
      </x:c>
      <x:c r="D1730" t="str" s="2">
        <x:f>=""</x:f>
      </x:c>
      <x:c r="E1730" s="0"/>
      <x:c r="F1730" t="str" s="2">
        <x:v>Walk-in</x:v>
      </x:c>
      <x:c r="G1730" t="str" s="2">
        <x:v>Heritage Housing of Asheboro</x:v>
      </x:c>
      <x:c r="H1730" t="str" s="2">
        <x:v>Maria Lopez</x:v>
      </x:c>
      <x:c r="I1730" s="0"/>
      <x:c r="J1730" s="0"/>
      <x:c r="K1730" t="n" s="2">
        <x:v>21</x:v>
      </x:c>
      <x:c r="L1730" t="str" s="2">
        <x:v>2.1</x:v>
      </x:c>
      <x:c r="M1730" t="str" s="2">
        <x:v>Tentative</x:v>
      </x:c>
      <x:c r="N1730" t="str" s="2">
        <x:v>Qualified</x:v>
      </x:c>
      <x:c r="O1730" s="0"/>
      <x:c r="P1730" s="6">
        <x:v>46291</x:v>
      </x:c>
      <x:c r="Q1730" s="6">
        <x:v>46293.583305520835</x:v>
      </x:c>
      <x:c r="R1730" s="0"/>
      <x:c r="S1730" s="0"/>
      <x:c r="T1730" s="0"/>
      <x:c r="U1730" s="0"/>
      <x:c r="V1730" s="0"/>
      <x:c r="W1730" s="0"/>
      <x:c r="X1730" t="str" s="2">
        <x:v>3365139968</x:v>
      </x:c>
      <x:c r="Y1730" t="str" s="2">
        <x:v>kennedyjohn23n@gmail.com</x:v>
      </x:c>
      <x:c r="Z1730" s="6">
        <x:v>46293.58329074074</x:v>
      </x:c>
      <x:c r="AA1730" t="str" s="2">
        <x:v>Jeremy Jacques</x:v>
      </x:c>
      <x:c r="AB1730" s="6">
        <x:v>46291.64209641203</x:v>
      </x:c>
      <x:c r="AC1730" t="n" s="2">
        <x:v>40380</x:v>
      </x:c>
      <x:c r="AD1730" s="0"/>
      <x:c r="AE1730" s="0"/>
      <x:c r="AF1730" s="0"/>
      <x:c r="AG1730" s="0"/>
      <x:c r="AH1730" s="0"/>
      <x:c r="AI1730" s="0"/>
      <x:c r="AJ1730" s="0"/>
      <x:c r="AK1730" s="0"/>
    </x:row>
    <x:row r="1731">
      <x:c r="A1731" t="str" s="2">
        <x:f>=HYPERLINK("https://rsms.futurehomex.com/lead/40381", "Richard Wills")</x:f>
      </x:c>
      <x:c r="B1731" t="n" s="2">
        <x:v>17</x:v>
      </x:c>
      <x:c r="C1731" t="str" s="2">
        <x:v>0/1</x:v>
      </x:c>
      <x:c r="D1731" t="str" s="2">
        <x:f>=""</x:f>
      </x:c>
      <x:c r="E1731" s="0"/>
      <x:c r="F1731" t="str" s="2">
        <x:v>Walk-in</x:v>
      </x:c>
      <x:c r="G1731" t="str" s="2">
        <x:v>Heritage Housing of Athens</x:v>
      </x:c>
      <x:c r="H1731" t="str" s="2">
        <x:v>Nathan Bishop</x:v>
      </x:c>
      <x:c r="I1731" s="0"/>
      <x:c r="J1731" s="0"/>
      <x:c r="K1731" t="n" s="2">
        <x:v>5</x:v>
      </x:c>
      <x:c r="L1731" t="str" s="2">
        <x:v>1.1</x:v>
      </x:c>
      <x:c r="M1731" t="str" s="2">
        <x:v>Tentative</x:v>
      </x:c>
      <x:c r="N1731" t="str" s="2">
        <x:v>Prospect</x:v>
      </x:c>
      <x:c r="O1731" s="0"/>
      <x:c r="P1731" s="6">
        <x:v>46291</x:v>
      </x:c>
      <x:c r="Q1731" s="6">
        <x:v>46297.77874903935</x:v>
      </x:c>
      <x:c r="R1731" s="0"/>
      <x:c r="S1731" s="6">
        <x:v>46291</x:v>
      </x:c>
      <x:c r="T1731" s="0"/>
      <x:c r="U1731" s="0"/>
      <x:c r="V1731" s="0"/>
      <x:c r="W1731" s="0"/>
      <x:c r="X1731" t="str" s="2">
        <x:v>7066120420</x:v>
      </x:c>
      <x:c r="Y1731" t="str" s="2">
        <x:v>arickwills@icloud.com</x:v>
      </x:c>
      <x:c r="Z1731" s="6">
        <x:v>46302.68039424768</x:v>
      </x:c>
      <x:c r="AA1731" t="str" s="2">
        <x:v>Nathan Bishop</x:v>
      </x:c>
      <x:c r="AB1731" s="6">
        <x:v>46291.64700512731</x:v>
      </x:c>
      <x:c r="AC1731" t="n" s="2">
        <x:v>40381</x:v>
      </x:c>
      <x:c r="AD1731" s="0"/>
      <x:c r="AE1731" s="0"/>
      <x:c r="AF1731" s="0"/>
      <x:c r="AG1731" s="0"/>
      <x:c r="AH1731" s="0"/>
      <x:c r="AI1731" s="0"/>
      <x:c r="AJ1731" s="0"/>
      <x:c r="AK1731" s="0"/>
    </x:row>
    <x:row r="1732">
      <x:c r="A1732" t="str" s="2">
        <x:f>=HYPERLINK("https://rsms.futurehomex.com/lead/40382", "Isis Barnett")</x:f>
      </x:c>
      <x:c r="B1732" t="n" s="2">
        <x:v>17</x:v>
      </x:c>
      <x:c r="C1732" t="str" s="2">
        <x:v>0/8</x:v>
      </x:c>
      <x:c r="D1732" t="str" s="2">
        <x:f>=""</x:f>
      </x:c>
      <x:c r="E1732" s="0"/>
      <x:c r="F1732" t="str" s="2">
        <x:v>Landing_BPM</x:v>
      </x:c>
      <x:c r="G1732" t="str" s="2">
        <x:v>Heritage Housing of Oklahoma City</x:v>
      </x:c>
      <x:c r="H1732" t="str" s="2">
        <x:v>Devon McCoy</x:v>
      </x:c>
      <x:c r="I1732" s="0"/>
      <x:c r="J1732" t="str" s="2">
        <x:v>Devon McCoy</x:v>
      </x:c>
      <x:c r="K1732" t="n" s="2">
        <x:v>5</x:v>
      </x:c>
      <x:c r="L1732" t="str" s="2">
        <x:v>1.1</x:v>
      </x:c>
      <x:c r="M1732" t="str" s="2">
        <x:v>Tentative</x:v>
      </x:c>
      <x:c r="N1732" t="str" s="2">
        <x:v>Deal Created</x:v>
      </x:c>
      <x:c r="O1732" s="0"/>
      <x:c r="P1732" s="6">
        <x:v>46291</x:v>
      </x:c>
      <x:c r="Q1732" s="6">
        <x:v>46291.65116674769</x:v>
      </x:c>
      <x:c r="R1732" s="0"/>
      <x:c r="S1732" s="0"/>
      <x:c r="T1732" s="0"/>
      <x:c r="U1732" s="0"/>
      <x:c r="V1732" s="0"/>
      <x:c r="W1732" s="0"/>
      <x:c r="X1732" t="str" s="2">
        <x:v>4058857635</x:v>
      </x:c>
      <x:c r="Y1732" t="str" s="2">
        <x:v>isisbarnett215@gmail.com</x:v>
      </x:c>
      <x:c r="Z1732" s="6">
        <x:v>46304.99253125</x:v>
      </x:c>
      <x:c r="AA1732" t="str" s="2">
        <x:v>Devon McCoy</x:v>
      </x:c>
      <x:c r="AB1732" s="6">
        <x:v>46291.65116724537</x:v>
      </x:c>
      <x:c r="AC1732" t="n" s="2">
        <x:v>40382</x:v>
      </x:c>
      <x:c r="AD1732" s="0"/>
      <x:c r="AE1732" s="0"/>
      <x:c r="AF1732" s="0"/>
      <x:c r="AG1732" s="0"/>
      <x:c r="AH1732" s="0"/>
      <x:c r="AI1732" s="0"/>
      <x:c r="AJ1732" s="0"/>
      <x:c r="AK1732" s="0"/>
    </x:row>
    <x:row r="1733">
      <x:c r="A1733" t="str" s="2">
        <x:f>=HYPERLINK("https://rsms.futurehomex.com/lead/40384", "Alexx Jones")</x:f>
      </x:c>
      <x:c r="B1733" t="n" s="2">
        <x:v>17</x:v>
      </x:c>
      <x:c r="C1733" t="str" s="2">
        <x:v/>
      </x:c>
      <x:c r="D1733" t="str" s="2">
        <x:f>=""</x:f>
      </x:c>
      <x:c r="E1733" s="0"/>
      <x:c r="F1733" t="str" s="2">
        <x:v>Walk-in</x:v>
      </x:c>
      <x:c r="G1733" t="str" s="2">
        <x:v>Heritage Housing of Athens</x:v>
      </x:c>
      <x:c r="H1733" t="str" s="2">
        <x:v>Ethan Fossett</x:v>
      </x:c>
      <x:c r="I1733" s="0"/>
      <x:c r="J1733" s="0"/>
      <x:c r="K1733" t="n" s="2">
        <x:v>5</x:v>
      </x:c>
      <x:c r="L1733" t="str" s="2">
        <x:v>1.1</x:v>
      </x:c>
      <x:c r="M1733" t="str" s="2">
        <x:v>Tentative</x:v>
      </x:c>
      <x:c r="N1733" t="str" s="2">
        <x:v>Prospect</x:v>
      </x:c>
      <x:c r="O1733" s="0"/>
      <x:c r="P1733" s="6">
        <x:v>46291</x:v>
      </x:c>
      <x:c r="Q1733" s="6">
        <x:v>46291.65321408565</x:v>
      </x:c>
      <x:c r="R1733" s="0"/>
      <x:c r="S1733" s="6">
        <x:v>46291</x:v>
      </x:c>
      <x:c r="T1733" s="0"/>
      <x:c r="U1733" s="0"/>
      <x:c r="V1733" s="0"/>
      <x:c r="W1733" s="0"/>
      <x:c r="X1733" t="str" s="2">
        <x:v>4043908493</x:v>
      </x:c>
      <x:c r="Y1733" t="str" s="2">
        <x:v>rjones5359@gmail.com</x:v>
      </x:c>
      <x:c r="Z1733" s="6">
        <x:v>46293.57795690972</x:v>
      </x:c>
      <x:c r="AA1733" t="str" s="2">
        <x:v>Ethan Fossett</x:v>
      </x:c>
      <x:c r="AB1733" s="6">
        <x:v>46291.653214467595</x:v>
      </x:c>
      <x:c r="AC1733" t="n" s="2">
        <x:v>40384</x:v>
      </x:c>
      <x:c r="AD1733" s="0"/>
      <x:c r="AE1733" s="0"/>
      <x:c r="AF1733" s="0"/>
      <x:c r="AG1733" s="0"/>
      <x:c r="AH1733" s="0"/>
      <x:c r="AI1733" s="0"/>
      <x:c r="AJ1733" s="0"/>
      <x:c r="AK1733" s="0"/>
    </x:row>
    <x:row r="1734">
      <x:c r="A1734" t="str" s="2">
        <x:f>=HYPERLINK("https://rsms.futurehomex.com/lead/40385", "Michelle Michelle")</x:f>
      </x:c>
      <x:c r="B1734" t="n" s="2">
        <x:v>17</x:v>
      </x:c>
      <x:c r="C1734" t="str" s="2">
        <x:v>1/3</x:v>
      </x:c>
      <x:c r="D1734" t="str" s="2">
        <x:f>=""</x:f>
      </x:c>
      <x:c r="E1734" s="0"/>
      <x:c r="F1734" t="str" s="2">
        <x:v>Meta Ads - Messenger</x:v>
      </x:c>
      <x:c r="G1734" t="str" s="2">
        <x:v>Heritage Housing of Oklahoma City</x:v>
      </x:c>
      <x:c r="H1734" t="str" s="2">
        <x:v>Alejandra Calderon</x:v>
      </x:c>
      <x:c r="I1734" t="str" s="2">
        <x:v>Karol Romero</x:v>
      </x:c>
      <x:c r="J1734" t="str" s="2">
        <x:v>Alejandra Calderon</x:v>
      </x:c>
      <x:c r="K1734" t="n" s="2">
        <x:v>5</x:v>
      </x:c>
      <x:c r="L1734" t="str" s="2">
        <x:v>1.1</x:v>
      </x:c>
      <x:c r="M1734" t="str" s="2">
        <x:v>Tentative</x:v>
      </x:c>
      <x:c r="N1734" t="str" s="2">
        <x:v>Deal Created</x:v>
      </x:c>
      <x:c r="O1734" s="0"/>
      <x:c r="P1734" s="6">
        <x:v>46291</x:v>
      </x:c>
      <x:c r="Q1734" s="6">
        <x:v>46291.65583700231</x:v>
      </x:c>
      <x:c r="R1734" s="0"/>
      <x:c r="S1734" s="0"/>
      <x:c r="T1734" s="0"/>
      <x:c r="U1734" s="0"/>
      <x:c r="V1734" s="0"/>
      <x:c r="W1734" s="0"/>
      <x:c r="X1734" t="str" s="2">
        <x:v>4055107537</x:v>
      </x:c>
      <x:c r="Y1734" t="str" s="2">
        <x:v>4055107537</x:v>
      </x:c>
      <x:c r="Z1734" s="6">
        <x:v>46296.712718055554</x:v>
      </x:c>
      <x:c r="AA1734" t="str" s="2">
        <x:v>Alejandra Calderon</x:v>
      </x:c>
      <x:c r="AB1734" s="6">
        <x:v>46291.655838425926</x:v>
      </x:c>
      <x:c r="AC1734" t="n" s="2">
        <x:v>40385</x:v>
      </x:c>
      <x:c r="AD1734" s="0"/>
      <x:c r="AE1734" s="0"/>
      <x:c r="AF1734" s="0"/>
      <x:c r="AG1734" s="0"/>
      <x:c r="AH1734" s="0"/>
      <x:c r="AI1734" s="0"/>
      <x:c r="AJ1734" s="0"/>
      <x:c r="AK1734" s="0"/>
    </x:row>
    <x:row r="1735">
      <x:c r="A1735" t="str" s="2">
        <x:f>=HYPERLINK("https://rsms.futurehomex.com/lead/40386", "Jonathan White")</x:f>
      </x:c>
      <x:c r="B1735" t="n" s="2">
        <x:v>17</x:v>
      </x:c>
      <x:c r="C1735" t="str" s="2">
        <x:v>0/2</x:v>
      </x:c>
      <x:c r="D1735" t="str" s="2">
        <x:f>=""</x:f>
      </x:c>
      <x:c r="E1735" s="0"/>
      <x:c r="F1735" t="str" s="2">
        <x:v>Landing_BPM</x:v>
      </x:c>
      <x:c r="G1735" t="str" s="2">
        <x:v>Heritage Housing of Oklahoma City</x:v>
      </x:c>
      <x:c r="H1735" t="str" s="2">
        <x:v>Trey Rixleben</x:v>
      </x:c>
      <x:c r="I1735" s="0"/>
      <x:c r="J1735" t="str" s="2">
        <x:v>Trey Rixleben</x:v>
      </x:c>
      <x:c r="K1735" t="n" s="2">
        <x:v>5</x:v>
      </x:c>
      <x:c r="L1735" t="str" s="2">
        <x:v>1.1</x:v>
      </x:c>
      <x:c r="M1735" t="str" s="2">
        <x:v>Dead</x:v>
      </x:c>
      <x:c r="N1735" t="str" s="2">
        <x:v>Deal Created</x:v>
      </x:c>
      <x:c r="O1735" s="0"/>
      <x:c r="P1735" s="6">
        <x:v>46291</x:v>
      </x:c>
      <x:c r="Q1735" s="6">
        <x:v>46291.66108133102</x:v>
      </x:c>
      <x:c r="R1735" s="0"/>
      <x:c r="S1735" s="0"/>
      <x:c r="T1735" s="0"/>
      <x:c r="U1735" s="0"/>
      <x:c r="V1735" s="0"/>
      <x:c r="W1735" s="0"/>
      <x:c r="X1735" t="str" s="2">
        <x:v>4056951582</x:v>
      </x:c>
      <x:c r="Y1735" t="str" s="2">
        <x:v>rougedruid7@gmail.com</x:v>
      </x:c>
      <x:c r="Z1735" s="6">
        <x:v>46298.749170601855</x:v>
      </x:c>
      <x:c r="AA1735" t="str" s="2">
        <x:v>Richard Bell</x:v>
      </x:c>
      <x:c r="AB1735" s="6">
        <x:v>46296.67622858796</x:v>
      </x:c>
      <x:c r="AC1735" t="n" s="2">
        <x:v>40386</x:v>
      </x:c>
      <x:c r="AD1735" s="0"/>
      <x:c r="AE1735" s="0"/>
      <x:c r="AF1735" s="0"/>
      <x:c r="AG1735" s="0"/>
      <x:c r="AH1735" s="0"/>
      <x:c r="AI1735" s="0"/>
      <x:c r="AJ1735" s="0"/>
      <x:c r="AK1735" s="0"/>
    </x:row>
    <x:row r="1736">
      <x:c r="A1736" t="str" s="2">
        <x:f>=HYPERLINK("https://rsms.futurehomex.com/lead/40387", "Valentin Trujillo")</x:f>
      </x:c>
      <x:c r="B1736" t="n" s="2">
        <x:v>17</x:v>
      </x:c>
      <x:c r="C1736" t="str" s="2">
        <x:v>1/4</x:v>
      </x:c>
      <x:c r="D1736" t="str" s="2">
        <x:f>=""</x:f>
      </x:c>
      <x:c r="E1736" s="0"/>
      <x:c r="F1736" t="str" s="2">
        <x:v>Meta Ads - Traffic</x:v>
      </x:c>
      <x:c r="G1736" t="str" s="2">
        <x:v>Heritage Housing Marble Falls</x:v>
      </x:c>
      <x:c r="H1736" t="str" s="2">
        <x:v>Stephen Sanders</x:v>
      </x:c>
      <x:c r="I1736" t="str" s="2">
        <x:v>Karol Romero</x:v>
      </x:c>
      <x:c r="J1736" t="str" s="2">
        <x:v>Stephen Sanders</x:v>
      </x:c>
      <x:c r="K1736" t="n" s="2">
        <x:v>59</x:v>
      </x:c>
      <x:c r="L1736" t="str" s="2">
        <x:v>4.3</x:v>
      </x:c>
      <x:c r="M1736" t="str" s="2">
        <x:v>Active</x:v>
      </x:c>
      <x:c r="N1736" t="str" s="2">
        <x:v>Loan Approved</x:v>
      </x:c>
      <x:c r="O1736" s="6">
        <x:v>46326</x:v>
      </x:c>
      <x:c r="P1736" s="6">
        <x:v>46291</x:v>
      </x:c>
      <x:c r="Q1736" s="6">
        <x:v>46295.687385150464</x:v>
      </x:c>
      <x:c r="R1736" s="0"/>
      <x:c r="S1736" s="6">
        <x:v>46291</x:v>
      </x:c>
      <x:c r="T1736" s="6">
        <x:v>46291</x:v>
      </x:c>
      <x:c r="U1736" s="6">
        <x:v>46293</x:v>
      </x:c>
      <x:c r="V1736" s="6">
        <x:v>46293</x:v>
      </x:c>
      <x:c r="W1736" s="0"/>
      <x:c r="X1736" t="str" s="2">
        <x:v>15123799159</x:v>
      </x:c>
      <x:c r="Y1736" t="str" s="2">
        <x:v>valentintrujillo437@ymail.com</x:v>
      </x:c>
      <x:c r="Z1736" s="6">
        <x:v>46293.99785910879</x:v>
      </x:c>
      <x:c r="AA1736" t="str" s="2">
        <x:v>Sarahi Vazquez</x:v>
      </x:c>
      <x:c r="AB1736" s="6">
        <x:v>46291.66151346065</x:v>
      </x:c>
      <x:c r="AC1736" t="n" s="2">
        <x:v>40387</x:v>
      </x:c>
      <x:c r="AD1736" t="str" s="2">
        <x:v>Doublewide</x:v>
      </x:c>
      <x:c r="AE1736" t="str" s="2">
        <x:v>Legacy Housing Corporation</x:v>
      </x:c>
      <x:c r="AF1736" s="7">
        <x:v>37164</x:v>
      </x:c>
      <x:c r="AG1736" s="7">
        <x:v>15000</x:v>
      </x:c>
      <x:c r="AH1736" s="0"/>
      <x:c r="AI1736" t="str" s="2">
        <x:v>653</x:v>
      </x:c>
      <x:c r="AJ1736" s="0"/>
      <x:c r="AK1736" s="0"/>
    </x:row>
    <x:row r="1737">
      <x:c r="A1737" t="str" s="2">
        <x:f>=HYPERLINK("https://rsms.futurehomex.com/lead/40388", "Amie Mainus")</x:f>
      </x:c>
      <x:c r="B1737" t="n" s="2">
        <x:v>17</x:v>
      </x:c>
      <x:c r="C1737" t="str" s="2">
        <x:v>0/5</x:v>
      </x:c>
      <x:c r="D1737" t="str" s="2">
        <x:f>=""</x:f>
      </x:c>
      <x:c r="E1737" s="0"/>
      <x:c r="F1737" t="str" s="2">
        <x:v>Landing_BPM</x:v>
      </x:c>
      <x:c r="G1737" t="str" s="2">
        <x:v>Heritage Housing of Oklahoma City</x:v>
      </x:c>
      <x:c r="H1737" t="str" s="2">
        <x:v>Devon McCoy</x:v>
      </x:c>
      <x:c r="I1737" s="0"/>
      <x:c r="J1737" s="0"/>
      <x:c r="K1737" t="n" s="2">
        <x:v>5</x:v>
      </x:c>
      <x:c r="L1737" t="str" s="2">
        <x:v>1.1</x:v>
      </x:c>
      <x:c r="M1737" t="str" s="2">
        <x:v>Tentative</x:v>
      </x:c>
      <x:c r="N1737" t="str" s="2">
        <x:v>Deal Created</x:v>
      </x:c>
      <x:c r="O1737" s="0"/>
      <x:c r="P1737" s="6">
        <x:v>46291</x:v>
      </x:c>
      <x:c r="Q1737" s="6">
        <x:v>46291.66680709491</x:v>
      </x:c>
      <x:c r="R1737" s="0"/>
      <x:c r="S1737" s="0"/>
      <x:c r="T1737" s="0"/>
      <x:c r="U1737" s="0"/>
      <x:c r="V1737" s="0"/>
      <x:c r="W1737" s="0"/>
      <x:c r="X1737" t="str" s="2">
        <x:v>4057654565</x:v>
      </x:c>
      <x:c r="Y1737" t="str" s="2">
        <x:v>amiemainus66@gmail.com</x:v>
      </x:c>
      <x:c r="Z1737" s="6">
        <x:v>46301.58537881944</x:v>
      </x:c>
      <x:c r="AA1737" t="str" s="2">
        <x:v>Devon McCoy</x:v>
      </x:c>
      <x:c r="AB1737" s="6">
        <x:v>46291.66680760417</x:v>
      </x:c>
      <x:c r="AC1737" t="n" s="2">
        <x:v>40388</x:v>
      </x:c>
      <x:c r="AD1737" s="0"/>
      <x:c r="AE1737" s="0"/>
      <x:c r="AF1737" s="0"/>
      <x:c r="AG1737" s="0"/>
      <x:c r="AH1737" s="0"/>
      <x:c r="AI1737" s="0"/>
      <x:c r="AJ1737" s="0"/>
      <x:c r="AK1737" s="0"/>
    </x:row>
    <x:row r="1738">
      <x:c r="A1738" t="str" s="2">
        <x:f>=HYPERLINK("https://rsms.futurehomex.com/lead/40389", "Jacqueline Payne")</x:f>
      </x:c>
      <x:c r="B1738" t="n" s="2">
        <x:v>17</x:v>
      </x:c>
      <x:c r="C1738" t="str" s="2">
        <x:v>0/5</x:v>
      </x:c>
      <x:c r="D1738" t="str" s="2">
        <x:f>=""</x:f>
      </x:c>
      <x:c r="E1738" s="0"/>
      <x:c r="F1738" t="str" s="2">
        <x:v>Landing_BPM</x:v>
      </x:c>
      <x:c r="G1738" t="str" s="2">
        <x:v>Heritage Housing of Oklahoma City</x:v>
      </x:c>
      <x:c r="H1738" t="str" s="2">
        <x:v>Devon McCoy</x:v>
      </x:c>
      <x:c r="I1738" s="0"/>
      <x:c r="J1738" t="str" s="2">
        <x:v>Devon McCoy</x:v>
      </x:c>
      <x:c r="K1738" t="n" s="2">
        <x:v>5</x:v>
      </x:c>
      <x:c r="L1738" t="str" s="2">
        <x:v>1.1</x:v>
      </x:c>
      <x:c r="M1738" t="str" s="2">
        <x:v>Tentative</x:v>
      </x:c>
      <x:c r="N1738" t="str" s="2">
        <x:v>Deal Created</x:v>
      </x:c>
      <x:c r="O1738" s="0"/>
      <x:c r="P1738" s="6">
        <x:v>46291</x:v>
      </x:c>
      <x:c r="Q1738" s="6">
        <x:v>46291.667424618056</x:v>
      </x:c>
      <x:c r="R1738" s="0"/>
      <x:c r="S1738" s="0"/>
      <x:c r="T1738" s="0"/>
      <x:c r="U1738" s="0"/>
      <x:c r="V1738" s="0"/>
      <x:c r="W1738" s="0"/>
      <x:c r="X1738" t="str" s="2">
        <x:v>5392569058</x:v>
      </x:c>
      <x:c r="Y1738" t="str" s="2">
        <x:v>jacquelinepayne2020@gmail.com</x:v>
      </x:c>
      <x:c r="Z1738" s="6">
        <x:v>46304.639800543984</x:v>
      </x:c>
      <x:c r="AA1738" t="str" s="2">
        <x:v>Devon McCoy</x:v>
      </x:c>
      <x:c r="AB1738" s="6">
        <x:v>46291.667425196756</x:v>
      </x:c>
      <x:c r="AC1738" t="n" s="2">
        <x:v>40389</x:v>
      </x:c>
      <x:c r="AD1738" s="0"/>
      <x:c r="AE1738" s="0"/>
      <x:c r="AF1738" s="0"/>
      <x:c r="AG1738" s="0"/>
      <x:c r="AH1738" s="0"/>
      <x:c r="AI1738" s="0"/>
      <x:c r="AJ1738" s="0"/>
      <x:c r="AK1738" s="0"/>
    </x:row>
    <x:row r="1739">
      <x:c r="A1739" t="str" s="2">
        <x:f>=HYPERLINK("https://rsms.futurehomex.com/lead/40390", "Matthew Hall")</x:f>
      </x:c>
      <x:c r="B1739" t="n" s="2">
        <x:v>17</x:v>
      </x:c>
      <x:c r="C1739" t="str" s="2">
        <x:v/>
      </x:c>
      <x:c r="D1739" t="str" s="2">
        <x:f>=""</x:f>
      </x:c>
      <x:c r="E1739" s="0"/>
      <x:c r="F1739" t="str" s="2">
        <x:v>Walk-in</x:v>
      </x:c>
      <x:c r="G1739" t="str" s="2">
        <x:v>Heritage Housing of Tulsa</x:v>
      </x:c>
      <x:c r="H1739" t="str" s="2">
        <x:v>Jenna Fransisco</x:v>
      </x:c>
      <x:c r="I1739" s="0"/>
      <x:c r="J1739" s="0"/>
      <x:c r="K1739" t="n" s="2">
        <x:v>5</x:v>
      </x:c>
      <x:c r="L1739" t="str" s="2">
        <x:v>1.1</x:v>
      </x:c>
      <x:c r="M1739" t="str" s="2">
        <x:v>Tentative</x:v>
      </x:c>
      <x:c r="N1739" t="str" s="2">
        <x:v>Prospect</x:v>
      </x:c>
      <x:c r="O1739" s="0"/>
      <x:c r="P1739" s="6">
        <x:v>46291</x:v>
      </x:c>
      <x:c r="Q1739" s="6">
        <x:v>46291.67269409722</x:v>
      </x:c>
      <x:c r="R1739" s="0"/>
      <x:c r="S1739" s="0"/>
      <x:c r="T1739" s="0"/>
      <x:c r="U1739" s="0"/>
      <x:c r="V1739" s="0"/>
      <x:c r="W1739" s="0"/>
      <x:c r="X1739" t="str" s="2">
        <x:v>9188552791</x:v>
      </x:c>
      <x:c r="Y1739" t="str" s="2">
        <x:v>matt.hal.04@icloud.com</x:v>
      </x:c>
      <x:c r="Z1739" s="0"/>
      <x:c r="AA1739" s="0"/>
      <x:c r="AB1739" s="6">
        <x:v>46291.672694560184</x:v>
      </x:c>
      <x:c r="AC1739" t="n" s="2">
        <x:v>40390</x:v>
      </x:c>
      <x:c r="AD1739" s="0"/>
      <x:c r="AE1739" s="0"/>
      <x:c r="AF1739" s="0"/>
      <x:c r="AG1739" s="0"/>
      <x:c r="AH1739" s="0"/>
      <x:c r="AI1739" s="0"/>
      <x:c r="AJ1739" s="0"/>
      <x:c r="AK1739" s="0"/>
    </x:row>
    <x:row r="1740">
      <x:c r="A1740" t="str" s="2">
        <x:f>=HYPERLINK("https://rsms.futurehomex.com/lead/40391", "Nancy Ortiz")</x:f>
      </x:c>
      <x:c r="B1740" t="n" s="2">
        <x:v>17</x:v>
      </x:c>
      <x:c r="C1740" t="str" s="2">
        <x:v>1/1</x:v>
      </x:c>
      <x:c r="D1740" t="str" s="2">
        <x:f>=""</x:f>
      </x:c>
      <x:c r="E1740" s="0"/>
      <x:c r="F1740" t="str" s="2">
        <x:v>Walk-in</x:v>
      </x:c>
      <x:c r="G1740" t="str" s="2">
        <x:v>Legacy Housing Corp. DBA Americasa</x:v>
      </x:c>
      <x:c r="H1740" t="str" s="2">
        <x:v>Angelica Mendoza </x:v>
      </x:c>
      <x:c r="I1740" t="str" s="2">
        <x:v>Karol Romero</x:v>
      </x:c>
      <x:c r="J1740" s="0"/>
      <x:c r="K1740" t="n" s="2">
        <x:v>5</x:v>
      </x:c>
      <x:c r="L1740" t="str" s="2">
        <x:v>1.1</x:v>
      </x:c>
      <x:c r="M1740" t="str" s="2">
        <x:v>Tentative</x:v>
      </x:c>
      <x:c r="N1740" t="str" s="2">
        <x:v>Prospect</x:v>
      </x:c>
      <x:c r="O1740" s="0"/>
      <x:c r="P1740" s="6">
        <x:v>46291</x:v>
      </x:c>
      <x:c r="Q1740" s="6">
        <x:v>46291.7171721412</x:v>
      </x:c>
      <x:c r="R1740" s="0"/>
      <x:c r="S1740" s="6">
        <x:v>46291</x:v>
      </x:c>
      <x:c r="T1740" s="0"/>
      <x:c r="U1740" s="0"/>
      <x:c r="V1740" s="0"/>
      <x:c r="W1740" s="0"/>
      <x:c r="X1740" t="str" s="2">
        <x:v>8328872684</x:v>
      </x:c>
      <x:c r="Y1740" t="str" s="2">
        <x:v>8328872684</x:v>
      </x:c>
      <x:c r="Z1740" s="6">
        <x:v>46302.863023645834</x:v>
      </x:c>
      <x:c r="AA1740" t="str" s="2">
        <x:v>Angelica Mendoza </x:v>
      </x:c>
      <x:c r="AB1740" s="6">
        <x:v>46291.717174224534</x:v>
      </x:c>
      <x:c r="AC1740" t="n" s="2">
        <x:v>40391</x:v>
      </x:c>
      <x:c r="AD1740" s="0"/>
      <x:c r="AE1740" s="0"/>
      <x:c r="AF1740" s="0"/>
      <x:c r="AG1740" s="0"/>
      <x:c r="AH1740" s="0"/>
      <x:c r="AI1740" s="0"/>
      <x:c r="AJ1740" s="0"/>
      <x:c r="AK1740" s="0"/>
    </x:row>
    <x:row r="1741">
      <x:c r="A1741" t="str" s="2">
        <x:f>=HYPERLINK("https://rsms.futurehomex.com/lead/40392", "Debbie Brooks")</x:f>
      </x:c>
      <x:c r="B1741" t="n" s="2">
        <x:v>17</x:v>
      </x:c>
      <x:c r="C1741" t="str" s="2">
        <x:v/>
      </x:c>
      <x:c r="D1741" t="str" s="2">
        <x:f>=""</x:f>
      </x:c>
      <x:c r="E1741" s="0"/>
      <x:c r="F1741" t="str" s="2">
        <x:v>Walk-in</x:v>
      </x:c>
      <x:c r="G1741" t="str" s="2">
        <x:v>Heritage Housing of Athens</x:v>
      </x:c>
      <x:c r="H1741" t="str" s="2">
        <x:v>Ethan Fossett</x:v>
      </x:c>
      <x:c r="I1741" s="0"/>
      <x:c r="J1741" s="0"/>
      <x:c r="K1741" t="n" s="2">
        <x:v>5</x:v>
      </x:c>
      <x:c r="L1741" t="str" s="2">
        <x:v>1.1</x:v>
      </x:c>
      <x:c r="M1741" t="str" s="2">
        <x:v>Dead</x:v>
      </x:c>
      <x:c r="N1741" t="str" s="2">
        <x:v>Prospect</x:v>
      </x:c>
      <x:c r="O1741" s="0"/>
      <x:c r="P1741" s="6">
        <x:v>46291</x:v>
      </x:c>
      <x:c r="Q1741" s="6">
        <x:v>46291.717769525465</x:v>
      </x:c>
      <x:c r="R1741" s="0"/>
      <x:c r="S1741" s="0"/>
      <x:c r="T1741" s="0"/>
      <x:c r="U1741" s="0"/>
      <x:c r="V1741" s="0"/>
      <x:c r="W1741" s="0"/>
      <x:c r="X1741" t="str" s="2">
        <x:v>7062559443</x:v>
      </x:c>
      <x:c r="Y1741" t="str" s="2">
        <x:v>brooks.randy69@gmail.com</x:v>
      </x:c>
      <x:c r="Z1741" s="6">
        <x:v>46293.577162118054</x:v>
      </x:c>
      <x:c r="AA1741" t="str" s="2">
        <x:v>Ethan Fossett</x:v>
      </x:c>
      <x:c r="AB1741" s="6">
        <x:v>46291.71776994213</x:v>
      </x:c>
      <x:c r="AC1741" t="n" s="2">
        <x:v>40392</x:v>
      </x:c>
      <x:c r="AD1741" s="0"/>
      <x:c r="AE1741" s="0"/>
      <x:c r="AF1741" s="0"/>
      <x:c r="AG1741" s="0"/>
      <x:c r="AH1741" s="0"/>
      <x:c r="AI1741" s="0"/>
      <x:c r="AJ1741" s="0"/>
      <x:c r="AK1741" s="0"/>
    </x:row>
    <x:row r="1742">
      <x:c r="A1742" t="str" s="2">
        <x:f>=HYPERLINK("https://rsms.futurehomex.com/lead/40393", "Monika Woods")</x:f>
      </x:c>
      <x:c r="B1742" t="n" s="2">
        <x:v>17</x:v>
      </x:c>
      <x:c r="C1742" t="str" s="2">
        <x:v/>
      </x:c>
      <x:c r="D1742" t="str" s="2">
        <x:f>=""</x:f>
      </x:c>
      <x:c r="E1742" s="0"/>
      <x:c r="F1742" t="str" s="2">
        <x:v>Walk-in</x:v>
      </x:c>
      <x:c r="G1742" t="str" s="2">
        <x:v>Heritage Housing of Athens</x:v>
      </x:c>
      <x:c r="H1742" t="str" s="2">
        <x:v>Nathan Bishop</x:v>
      </x:c>
      <x:c r="I1742" s="0"/>
      <x:c r="J1742" s="0"/>
      <x:c r="K1742" t="n" s="2">
        <x:v>21</x:v>
      </x:c>
      <x:c r="L1742" t="str" s="2">
        <x:v>2.1</x:v>
      </x:c>
      <x:c r="M1742" t="str" s="2">
        <x:v>Active</x:v>
      </x:c>
      <x:c r="N1742" t="str" s="2">
        <x:v>Qualified</x:v>
      </x:c>
      <x:c r="O1742" s="0"/>
      <x:c r="P1742" s="6">
        <x:v>46291</x:v>
      </x:c>
      <x:c r="Q1742" s="6">
        <x:v>46293.65568668982</x:v>
      </x:c>
      <x:c r="R1742" s="0"/>
      <x:c r="S1742" s="6">
        <x:v>46291</x:v>
      </x:c>
      <x:c r="T1742" s="0"/>
      <x:c r="U1742" s="0"/>
      <x:c r="V1742" s="0"/>
      <x:c r="W1742" s="0"/>
      <x:c r="X1742" t="str" s="2">
        <x:v>7064912806</x:v>
      </x:c>
      <x:c r="Y1742" t="str" s="2">
        <x:v>mmmwoods@gmail.com</x:v>
      </x:c>
      <x:c r="Z1742" s="6">
        <x:v>46293.671050150464</x:v>
      </x:c>
      <x:c r="AA1742" t="str" s="2">
        <x:v>Nathan Bishop</x:v>
      </x:c>
      <x:c r="AB1742" s="6">
        <x:v>46291.722845833334</x:v>
      </x:c>
      <x:c r="AC1742" t="n" s="2">
        <x:v>40393</x:v>
      </x:c>
      <x:c r="AD1742" s="0"/>
      <x:c r="AE1742" s="0"/>
      <x:c r="AF1742" s="0"/>
      <x:c r="AG1742" s="0"/>
      <x:c r="AH1742" s="0"/>
      <x:c r="AI1742" s="0"/>
      <x:c r="AJ1742" s="0"/>
      <x:c r="AK1742" s="0"/>
    </x:row>
    <x:row r="1743">
      <x:c r="A1743" t="str" s="2">
        <x:f>=HYPERLINK("https://rsms.futurehomex.com/lead/40394", "Geneciss Vasquez")</x:f>
      </x:c>
      <x:c r="B1743" t="n" s="2">
        <x:v>17</x:v>
      </x:c>
      <x:c r="C1743" t="str" s="2">
        <x:v/>
      </x:c>
      <x:c r="D1743" t="str" s="2">
        <x:f>=""</x:f>
      </x:c>
      <x:c r="E1743" t="str" s="2">
        <x:v/>
      </x:c>
      <x:c r="F1743" t="str" s="2">
        <x:v>Walk-in</x:v>
      </x:c>
      <x:c r="G1743" t="str" s="2">
        <x:v>Heritage Housing of Athens</x:v>
      </x:c>
      <x:c r="H1743" t="str" s="2">
        <x:v>Ethan Fossett</x:v>
      </x:c>
      <x:c r="I1743" s="0"/>
      <x:c r="J1743" s="0"/>
      <x:c r="K1743" t="n" s="2">
        <x:v>5</x:v>
      </x:c>
      <x:c r="L1743" t="str" s="2">
        <x:v>1.1</x:v>
      </x:c>
      <x:c r="M1743" t="str" s="2">
        <x:v>Active</x:v>
      </x:c>
      <x:c r="N1743" t="str" s="2">
        <x:v>Prospect</x:v>
      </x:c>
      <x:c r="O1743" s="0"/>
      <x:c r="P1743" s="6">
        <x:v>46291</x:v>
      </x:c>
      <x:c r="Q1743" s="6">
        <x:v>46301.01911929398</x:v>
      </x:c>
      <x:c r="R1743" s="0"/>
      <x:c r="S1743" s="6">
        <x:v>46291</x:v>
      </x:c>
      <x:c r="T1743" s="0"/>
      <x:c r="U1743" s="0"/>
      <x:c r="V1743" s="0"/>
      <x:c r="W1743" s="0"/>
      <x:c r="X1743" t="str" s="2">
        <x:v>6787697785</x:v>
      </x:c>
      <x:c r="Y1743" t="str" s="2">
        <x:v>geneciss.hernandez@yahoo.com</x:v>
      </x:c>
      <x:c r="Z1743" s="0"/>
      <x:c r="AA1743" s="0"/>
      <x:c r="AB1743" s="6">
        <x:v>46291.72583634259</x:v>
      </x:c>
      <x:c r="AC1743" t="n" s="2">
        <x:v>40394</x:v>
      </x:c>
      <x:c r="AD1743" s="0"/>
      <x:c r="AE1743" s="0"/>
      <x:c r="AF1743" s="0"/>
      <x:c r="AG1743" s="0"/>
      <x:c r="AH1743" s="0"/>
      <x:c r="AI1743" s="0"/>
      <x:c r="AJ1743" s="0"/>
      <x:c r="AK1743" s="0"/>
    </x:row>
    <x:row r="1744">
      <x:c r="A1744" t="str" s="2">
        <x:f>=HYPERLINK("https://rsms.futurehomex.com/lead/40395", "jamontie Belton")</x:f>
      </x:c>
      <x:c r="B1744" t="n" s="2">
        <x:v>17</x:v>
      </x:c>
      <x:c r="C1744" t="str" s="2">
        <x:v>0/6</x:v>
      </x:c>
      <x:c r="D1744" t="str" s="2">
        <x:f>=""</x:f>
      </x:c>
      <x:c r="E1744" s="0"/>
      <x:c r="F1744" t="str" s="2">
        <x:v>Landing_BPM</x:v>
      </x:c>
      <x:c r="G1744" t="str" s="2">
        <x:v>Heritage Housing of Oklahoma City</x:v>
      </x:c>
      <x:c r="H1744" t="str" s="2">
        <x:v>Devon McCoy</x:v>
      </x:c>
      <x:c r="I1744" s="0"/>
      <x:c r="J1744" s="0"/>
      <x:c r="K1744" t="n" s="2">
        <x:v>5</x:v>
      </x:c>
      <x:c r="L1744" t="str" s="2">
        <x:v>1.1</x:v>
      </x:c>
      <x:c r="M1744" t="str" s="2">
        <x:v>Tentative</x:v>
      </x:c>
      <x:c r="N1744" t="str" s="2">
        <x:v>Deal Created</x:v>
      </x:c>
      <x:c r="O1744" s="0"/>
      <x:c r="P1744" s="6">
        <x:v>46291</x:v>
      </x:c>
      <x:c r="Q1744" s="6">
        <x:v>46291.7416212963</x:v>
      </x:c>
      <x:c r="R1744" s="0"/>
      <x:c r="S1744" s="0"/>
      <x:c r="T1744" s="0"/>
      <x:c r="U1744" s="0"/>
      <x:c r="V1744" s="0"/>
      <x:c r="W1744" s="0"/>
      <x:c r="X1744" t="str" s="2">
        <x:v>4056338138</x:v>
      </x:c>
      <x:c r="Y1744" t="str" s="2">
        <x:v>jamontieb@gmail.com</x:v>
      </x:c>
      <x:c r="Z1744" s="6">
        <x:v>46301.58632480324</x:v>
      </x:c>
      <x:c r="AA1744" t="str" s="2">
        <x:v>Devon McCoy</x:v>
      </x:c>
      <x:c r="AB1744" s="6">
        <x:v>46291.74162175926</x:v>
      </x:c>
      <x:c r="AC1744" t="n" s="2">
        <x:v>40395</x:v>
      </x:c>
      <x:c r="AD1744" s="0"/>
      <x:c r="AE1744" s="0"/>
      <x:c r="AF1744" s="0"/>
      <x:c r="AG1744" s="0"/>
      <x:c r="AH1744" s="0"/>
      <x:c r="AI1744" s="0"/>
      <x:c r="AJ1744" s="0"/>
      <x:c r="AK1744" s="0"/>
    </x:row>
    <x:row r="1745">
      <x:c r="A1745" t="str" s="2">
        <x:f>=HYPERLINK("https://rsms.futurehomex.com/lead/40396", "Devin Mabry")</x:f>
      </x:c>
      <x:c r="B1745" t="n" s="2">
        <x:v>17</x:v>
      </x:c>
      <x:c r="C1745" t="str" s="2">
        <x:v>1/1</x:v>
      </x:c>
      <x:c r="D1745" t="str" s="2">
        <x:f>=""</x:f>
      </x:c>
      <x:c r="E1745" s="0"/>
      <x:c r="F1745" t="str" s="2">
        <x:v>Walk-in</x:v>
      </x:c>
      <x:c r="G1745" t="str" s="2">
        <x:v>Heritage Housing of Oklahoma City</x:v>
      </x:c>
      <x:c r="H1745" t="str" s="2">
        <x:v>Trey Rixleben</x:v>
      </x:c>
      <x:c r="I1745" s="0"/>
      <x:c r="J1745" s="0"/>
      <x:c r="K1745" t="n" s="2">
        <x:v>5</x:v>
      </x:c>
      <x:c r="L1745" t="str" s="2">
        <x:v>1.1</x:v>
      </x:c>
      <x:c r="M1745" t="str" s="2">
        <x:v>Tentative</x:v>
      </x:c>
      <x:c r="N1745" t="str" s="2">
        <x:v>Prospect</x:v>
      </x:c>
      <x:c r="O1745" s="0"/>
      <x:c r="P1745" s="6">
        <x:v>46291</x:v>
      </x:c>
      <x:c r="Q1745" s="6">
        <x:v>46291.74583090278</x:v>
      </x:c>
      <x:c r="R1745" s="0"/>
      <x:c r="S1745" s="6">
        <x:v>46291</x:v>
      </x:c>
      <x:c r="T1745" s="0"/>
      <x:c r="U1745" s="0"/>
      <x:c r="V1745" s="0"/>
      <x:c r="W1745" s="0"/>
      <x:c r="X1745" t="str" s="2">
        <x:v>4055746820</x:v>
      </x:c>
      <x:c r="Y1745" t="str" s="2">
        <x:v>devinmabry@yahoo.com</x:v>
      </x:c>
      <x:c r="Z1745" s="6">
        <x:v>46291.75342364583</x:v>
      </x:c>
      <x:c r="AA1745" t="str" s="2">
        <x:v>Eva Misheva</x:v>
      </x:c>
      <x:c r="AB1745" s="6">
        <x:v>46300.81448298611</x:v>
      </x:c>
      <x:c r="AC1745" t="n" s="2">
        <x:v>40396</x:v>
      </x:c>
      <x:c r="AD1745" s="0"/>
      <x:c r="AE1745" s="0"/>
      <x:c r="AF1745" s="0"/>
      <x:c r="AG1745" s="0"/>
      <x:c r="AH1745" s="0"/>
      <x:c r="AI1745" s="0"/>
      <x:c r="AJ1745" s="0"/>
      <x:c r="AK1745" s="0"/>
    </x:row>
    <x:row r="1746">
      <x:c r="A1746" t="str" s="2">
        <x:f>=HYPERLINK("https://rsms.futurehomex.com/lead/40397", "Amber Atyia")</x:f>
      </x:c>
      <x:c r="B1746" t="n" s="2">
        <x:v>17</x:v>
      </x:c>
      <x:c r="C1746" t="str" s="2">
        <x:v>1/2</x:v>
      </x:c>
      <x:c r="D1746" t="str" s="2">
        <x:f>=""</x:f>
      </x:c>
      <x:c r="E1746" s="0"/>
      <x:c r="F1746" t="str" s="2">
        <x:v>Walk-in</x:v>
      </x:c>
      <x:c r="G1746" t="str" s="2">
        <x:v>Heritage Housing of Oklahoma City</x:v>
      </x:c>
      <x:c r="H1746" t="str" s="2">
        <x:v>Steve Castell</x:v>
      </x:c>
      <x:c r="I1746" s="0"/>
      <x:c r="J1746" t="str" s="2">
        <x:v>Steve Castell</x:v>
      </x:c>
      <x:c r="K1746" t="n" s="2">
        <x:v>5</x:v>
      </x:c>
      <x:c r="L1746" t="str" s="2">
        <x:v>1.1</x:v>
      </x:c>
      <x:c r="M1746" t="str" s="2">
        <x:v>Tentative</x:v>
      </x:c>
      <x:c r="N1746" t="str" s="2">
        <x:v>Deal Created</x:v>
      </x:c>
      <x:c r="O1746" s="0"/>
      <x:c r="P1746" s="6">
        <x:v>46291</x:v>
      </x:c>
      <x:c r="Q1746" s="6">
        <x:v>46291.7890977662</x:v>
      </x:c>
      <x:c r="R1746" s="0"/>
      <x:c r="S1746" s="0"/>
      <x:c r="T1746" s="0"/>
      <x:c r="U1746" s="0"/>
      <x:c r="V1746" s="0"/>
      <x:c r="W1746" s="0"/>
      <x:c r="X1746" t="str" s="2">
        <x:v>4055841503</x:v>
      </x:c>
      <x:c r="Y1746" t="str" s="2">
        <x:v>amberatyia@yahoo.com</x:v>
      </x:c>
      <x:c r="Z1746" s="6">
        <x:v>46294.946746180554</x:v>
      </x:c>
      <x:c r="AA1746" t="str" s="2">
        <x:v>Steve Castell</x:v>
      </x:c>
      <x:c r="AB1746" s="6">
        <x:v>46291.789099270834</x:v>
      </x:c>
      <x:c r="AC1746" t="n" s="2">
        <x:v>40397</x:v>
      </x:c>
      <x:c r="AD1746" s="0"/>
      <x:c r="AE1746" s="0"/>
      <x:c r="AF1746" s="0"/>
      <x:c r="AG1746" s="0"/>
      <x:c r="AH1746" s="0"/>
      <x:c r="AI1746" s="0"/>
      <x:c r="AJ1746" s="0"/>
      <x:c r="AK1746" s="0"/>
    </x:row>
    <x:row r="1747">
      <x:c r="A1747" t="str" s="2">
        <x:f>=HYPERLINK("https://rsms.futurehomex.com/lead/40398", "Ashley Linares")</x:f>
      </x:c>
      <x:c r="B1747" t="n" s="2">
        <x:v>17</x:v>
      </x:c>
      <x:c r="C1747" t="str" s="2">
        <x:v>1/1</x:v>
      </x:c>
      <x:c r="D1747" t="str" s="2">
        <x:f>=""</x:f>
      </x:c>
      <x:c r="E1747" s="0"/>
      <x:c r="F1747" t="str" s="2">
        <x:v>Other</x:v>
      </x:c>
      <x:c r="G1747" t="str" s="2">
        <x:v>Legacy Housing Corp. DBA Americasa</x:v>
      </x:c>
      <x:c r="H1747" t="str" s="2">
        <x:v>Joey Marquez</x:v>
      </x:c>
      <x:c r="I1747" s="0"/>
      <x:c r="J1747" t="str" s="2">
        <x:v>Joey Marquez</x:v>
      </x:c>
      <x:c r="K1747" t="n" s="2">
        <x:v>5</x:v>
      </x:c>
      <x:c r="L1747" t="str" s="2">
        <x:v>1.1</x:v>
      </x:c>
      <x:c r="M1747" t="str" s="2">
        <x:v>Tentative</x:v>
      </x:c>
      <x:c r="N1747" t="str" s="2">
        <x:v>Deal Created</x:v>
      </x:c>
      <x:c r="O1747" s="0"/>
      <x:c r="P1747" s="6">
        <x:v>46291</x:v>
      </x:c>
      <x:c r="Q1747" s="6">
        <x:v>46291.79016149305</x:v>
      </x:c>
      <x:c r="R1747" s="0"/>
      <x:c r="S1747" s="0"/>
      <x:c r="T1747" s="0"/>
      <x:c r="U1747" s="0"/>
      <x:c r="V1747" s="0"/>
      <x:c r="W1747" s="0"/>
      <x:c r="X1747" t="str" s="2">
        <x:v>8324680237</x:v>
      </x:c>
      <x:c r="Y1747" t="str" s="2">
        <x:v>8324680237</x:v>
      </x:c>
      <x:c r="Z1747" s="6">
        <x:v>46291.81502256945</x:v>
      </x:c>
      <x:c r="AA1747" t="str" s="2">
        <x:v>Joey Marquez</x:v>
      </x:c>
      <x:c r="AB1747" s="6">
        <x:v>46291.79016273148</x:v>
      </x:c>
      <x:c r="AC1747" t="n" s="2">
        <x:v>40398</x:v>
      </x:c>
      <x:c r="AD1747" s="0"/>
      <x:c r="AE1747" s="0"/>
      <x:c r="AF1747" s="0"/>
      <x:c r="AG1747" s="0"/>
      <x:c r="AH1747" s="0"/>
      <x:c r="AI1747" s="0"/>
      <x:c r="AJ1747" s="0"/>
      <x:c r="AK1747" s="0"/>
    </x:row>
    <x:row r="1748">
      <x:c r="A1748" t="str" s="2">
        <x:f>=HYPERLINK("https://rsms.futurehomex.com/lead/40399", "Joshawa Wilkerson")</x:f>
      </x:c>
      <x:c r="B1748" t="n" s="2">
        <x:v>17</x:v>
      </x:c>
      <x:c r="C1748" t="str" s="2">
        <x:v>1/2</x:v>
      </x:c>
      <x:c r="D1748" t="str" s="2">
        <x:f>=""</x:f>
      </x:c>
      <x:c r="E1748" s="0"/>
      <x:c r="F1748" t="str" s="2">
        <x:v>Walk-in</x:v>
      </x:c>
      <x:c r="G1748" t="str" s="2">
        <x:v>Heritage Housing of Jennings</x:v>
      </x:c>
      <x:c r="H1748" t="str" s="2">
        <x:v>Mervin Leslie Smith</x:v>
      </x:c>
      <x:c r="I1748" t="str" s="2">
        <x:v>Karol Romero</x:v>
      </x:c>
      <x:c r="J1748" t="str" s="2">
        <x:v>Mervin Leslie Smith</x:v>
      </x:c>
      <x:c r="K1748" t="n" s="2">
        <x:v>5</x:v>
      </x:c>
      <x:c r="L1748" t="str" s="2">
        <x:v>1.1</x:v>
      </x:c>
      <x:c r="M1748" t="str" s="2">
        <x:v>Inactive</x:v>
      </x:c>
      <x:c r="N1748" t="str" s="2">
        <x:v>Deal Created</x:v>
      </x:c>
      <x:c r="O1748" s="0"/>
      <x:c r="P1748" s="6">
        <x:v>46291</x:v>
      </x:c>
      <x:c r="Q1748" s="6">
        <x:v>46291.83206813657</x:v>
      </x:c>
      <x:c r="R1748" s="0"/>
      <x:c r="S1748" s="0"/>
      <x:c r="T1748" s="0"/>
      <x:c r="U1748" s="0"/>
      <x:c r="V1748" s="0"/>
      <x:c r="W1748" s="0"/>
      <x:c r="X1748" t="str" s="2">
        <x:v>9857720575</x:v>
      </x:c>
      <x:c r="Y1748" t="str" s="2">
        <x:v>joshwilkerson@yahoo.com</x:v>
      </x:c>
      <x:c r="Z1748" s="6">
        <x:v>46293.86250517361</x:v>
      </x:c>
      <x:c r="AA1748" t="str" s="2">
        <x:v>Mervin Leslie Smith</x:v>
      </x:c>
      <x:c r="AB1748" s="6">
        <x:v>46291.83206956019</x:v>
      </x:c>
      <x:c r="AC1748" t="n" s="2">
        <x:v>40399</x:v>
      </x:c>
      <x:c r="AD1748" s="0"/>
      <x:c r="AE1748" s="0"/>
      <x:c r="AF1748" s="0"/>
      <x:c r="AG1748" s="0"/>
      <x:c r="AH1748" s="0"/>
      <x:c r="AI1748" s="0"/>
      <x:c r="AJ1748" s="0"/>
      <x:c r="AK1748" s="0"/>
    </x:row>
    <x:row r="1749">
      <x:c r="A1749" t="str" s="2">
        <x:f>=HYPERLINK("https://rsms.futurehomex.com/lead/40400", "Kevin Hays")</x:f>
      </x:c>
      <x:c r="B1749" t="n" s="2">
        <x:v>17</x:v>
      </x:c>
      <x:c r="C1749" t="str" s="2">
        <x:v/>
      </x:c>
      <x:c r="D1749" t="str" s="2">
        <x:f>=""</x:f>
      </x:c>
      <x:c r="E1749" s="0"/>
      <x:c r="F1749" t="str" s="2">
        <x:v>Walk-in</x:v>
      </x:c>
      <x:c r="G1749" t="str" s="2">
        <x:v>Heritage Housing of Athens</x:v>
      </x:c>
      <x:c r="H1749" t="str" s="2">
        <x:v>Ethan Fossett</x:v>
      </x:c>
      <x:c r="I1749" s="0"/>
      <x:c r="J1749" s="0"/>
      <x:c r="K1749" t="n" s="2">
        <x:v>5</x:v>
      </x:c>
      <x:c r="L1749" t="str" s="2">
        <x:v>1.1</x:v>
      </x:c>
      <x:c r="M1749" t="str" s="2">
        <x:v>Tentative</x:v>
      </x:c>
      <x:c r="N1749" t="str" s="2">
        <x:v>Prospect</x:v>
      </x:c>
      <x:c r="O1749" s="0"/>
      <x:c r="P1749" s="6">
        <x:v>46291</x:v>
      </x:c>
      <x:c r="Q1749" s="6">
        <x:v>46291.84005818287</x:v>
      </x:c>
      <x:c r="R1749" s="0"/>
      <x:c r="S1749" s="0"/>
      <x:c r="T1749" s="0"/>
      <x:c r="U1749" s="0"/>
      <x:c r="V1749" s="0"/>
      <x:c r="W1749" s="0"/>
      <x:c r="X1749" t="str" s="2">
        <x:v>6783878821</x:v>
      </x:c>
      <x:c r="Y1749" t="str" s="2">
        <x:v>kevinhays@outlook.com</x:v>
      </x:c>
      <x:c r="Z1749" s="0"/>
      <x:c r="AA1749" s="0"/>
      <x:c r="AB1749" s="6">
        <x:v>46291.84005859954</x:v>
      </x:c>
      <x:c r="AC1749" t="n" s="2">
        <x:v>40400</x:v>
      </x:c>
      <x:c r="AD1749" s="0"/>
      <x:c r="AE1749" s="0"/>
      <x:c r="AF1749" s="0"/>
      <x:c r="AG1749" s="0"/>
      <x:c r="AH1749" s="0"/>
      <x:c r="AI1749" s="0"/>
      <x:c r="AJ1749" s="0"/>
      <x:c r="AK1749" s="0"/>
    </x:row>
    <x:row r="1750">
      <x:c r="A1750" t="str" s="2">
        <x:f>=HYPERLINK("https://rsms.futurehomex.com/lead/40401", "Mary flores")</x:f>
      </x:c>
      <x:c r="B1750" t="n" s="2">
        <x:v>17</x:v>
      </x:c>
      <x:c r="C1750" t="str" s="2">
        <x:v/>
      </x:c>
      <x:c r="D1750" t="str" s="2">
        <x:f>=""</x:f>
      </x:c>
      <x:c r="E1750" s="0"/>
      <x:c r="F1750" t="str" s="2">
        <x:v>Meta Ads - Forms</x:v>
      </x:c>
      <x:c r="G1750" t="str" s="2">
        <x:v>Heritage Housing Marble Falls</x:v>
      </x:c>
      <x:c r="H1750" t="str" s="2">
        <x:v>Stephen Sanders</x:v>
      </x:c>
      <x:c r="I1750" t="str" s="2">
        <x:v>Karol Romero</x:v>
      </x:c>
      <x:c r="J1750" s="0"/>
      <x:c r="K1750" t="n" s="2">
        <x:v>5</x:v>
      </x:c>
      <x:c r="L1750" t="str" s="2">
        <x:v>1.1</x:v>
      </x:c>
      <x:c r="M1750" t="str" s="2">
        <x:v>Tentative</x:v>
      </x:c>
      <x:c r="N1750" t="str" s="2">
        <x:v>Prospect</x:v>
      </x:c>
      <x:c r="O1750" s="0"/>
      <x:c r="P1750" s="6">
        <x:v>46291</x:v>
      </x:c>
      <x:c r="Q1750" s="6">
        <x:v>46291.85249818287</x:v>
      </x:c>
      <x:c r="R1750" t="str" s="2">
        <x:v>Garrett Riedesel</x:v>
      </x:c>
      <x:c r="S1750" s="0"/>
      <x:c r="T1750" s="0"/>
      <x:c r="U1750" s="0"/>
      <x:c r="V1750" s="0"/>
      <x:c r="W1750" s="0"/>
      <x:c r="X1750" t="str" s="2">
        <x:v>3253968447</x:v>
      </x:c>
      <x:c r="Y1750" t="str" s="2">
        <x:v>Maryflores1932@yahoo.com</x:v>
      </x:c>
      <x:c r="Z1750" s="0"/>
      <x:c r="AA1750" s="0"/>
      <x:c r="AB1750" s="6">
        <x:v>46291.852499155095</x:v>
      </x:c>
      <x:c r="AC1750" t="n" s="2">
        <x:v>40401</x:v>
      </x:c>
      <x:c r="AD1750" s="0"/>
      <x:c r="AE1750" s="0"/>
      <x:c r="AF1750" s="0"/>
      <x:c r="AG1750" s="0"/>
      <x:c r="AH1750" s="0"/>
      <x:c r="AI1750" s="0"/>
      <x:c r="AJ1750" s="0"/>
      <x:c r="AK1750" s="0"/>
    </x:row>
    <x:row r="1751">
      <x:c r="A1751" t="str" s="2">
        <x:f>=HYPERLINK("https://rsms.futurehomex.com/lead/40402", "Angie Cassidy")</x:f>
      </x:c>
      <x:c r="B1751" t="n" s="2">
        <x:v>17</x:v>
      </x:c>
      <x:c r="C1751" t="str" s="2">
        <x:v/>
      </x:c>
      <x:c r="D1751" t="str" s="2">
        <x:f>=""</x:f>
      </x:c>
      <x:c r="E1751" s="0"/>
      <x:c r="F1751" t="str" s="2">
        <x:v>Walk-in</x:v>
      </x:c>
      <x:c r="G1751" t="str" s="2">
        <x:v>Heritage Housing of Athens</x:v>
      </x:c>
      <x:c r="H1751" t="str" s="2">
        <x:v>Nathan Bishop</x:v>
      </x:c>
      <x:c r="I1751" s="0"/>
      <x:c r="J1751" s="0"/>
      <x:c r="K1751" t="n" s="2">
        <x:v>5</x:v>
      </x:c>
      <x:c r="L1751" t="str" s="2">
        <x:v>1.1</x:v>
      </x:c>
      <x:c r="M1751" t="str" s="2">
        <x:v>Tentative</x:v>
      </x:c>
      <x:c r="N1751" t="str" s="2">
        <x:v>Prospect</x:v>
      </x:c>
      <x:c r="O1751" s="0"/>
      <x:c r="P1751" s="6">
        <x:v>46291</x:v>
      </x:c>
      <x:c r="Q1751" s="6">
        <x:v>46291.86101975694</x:v>
      </x:c>
      <x:c r="R1751" s="0"/>
      <x:c r="S1751" s="0"/>
      <x:c r="T1751" s="0"/>
      <x:c r="U1751" s="0"/>
      <x:c r="V1751" s="0"/>
      <x:c r="W1751" s="0"/>
      <x:c r="X1751" t="str" s="2">
        <x:v>7068051137</x:v>
      </x:c>
      <x:c r="Y1751" t="str" s="2">
        <x:v>seans1honey@yahoo.com</x:v>
      </x:c>
      <x:c r="Z1751" s="0"/>
      <x:c r="AA1751" s="0"/>
      <x:c r="AB1751" s="6">
        <x:v>46291.861020254626</x:v>
      </x:c>
      <x:c r="AC1751" t="n" s="2">
        <x:v>40402</x:v>
      </x:c>
      <x:c r="AD1751" s="0"/>
      <x:c r="AE1751" s="0"/>
      <x:c r="AF1751" s="0"/>
      <x:c r="AG1751" s="0"/>
      <x:c r="AH1751" s="0"/>
      <x:c r="AI1751" s="0"/>
      <x:c r="AJ1751" s="0"/>
      <x:c r="AK1751" s="0"/>
    </x:row>
    <x:row r="1752">
      <x:c r="A1752" t="str" s="2">
        <x:f>=HYPERLINK("https://rsms.futurehomex.com/lead/40403", "Joyce Bowman")</x:f>
      </x:c>
      <x:c r="B1752" t="n" s="2">
        <x:v>17</x:v>
      </x:c>
      <x:c r="C1752" t="str" s="2">
        <x:v>0/1</x:v>
      </x:c>
      <x:c r="D1752" t="str" s="2">
        <x:f>=""</x:f>
      </x:c>
      <x:c r="E1752" s="0"/>
      <x:c r="F1752" t="str" s="2">
        <x:v>Walk-in</x:v>
      </x:c>
      <x:c r="G1752" t="str" s="2">
        <x:v>Heritage Housing of Minden</x:v>
      </x:c>
      <x:c r="H1752" t="str" s="2">
        <x:v>Patrick Schuchart</x:v>
      </x:c>
      <x:c r="I1752" s="0"/>
      <x:c r="J1752" t="str" s="2">
        <x:v>Patrick Schuchart</x:v>
      </x:c>
      <x:c r="K1752" t="n" s="2">
        <x:v>5</x:v>
      </x:c>
      <x:c r="L1752" t="str" s="2">
        <x:v>1.1</x:v>
      </x:c>
      <x:c r="M1752" t="str" s="2">
        <x:v>Tentative</x:v>
      </x:c>
      <x:c r="N1752" t="str" s="2">
        <x:v>Prospect</x:v>
      </x:c>
      <x:c r="O1752" s="0"/>
      <x:c r="P1752" s="6">
        <x:v>46291</x:v>
      </x:c>
      <x:c r="Q1752" s="6">
        <x:v>46291.9006309375</x:v>
      </x:c>
      <x:c r="R1752" t="str" s="2">
        <x:v>Patrick Schuchart</x:v>
      </x:c>
      <x:c r="S1752" s="0"/>
      <x:c r="T1752" s="0"/>
      <x:c r="U1752" s="0"/>
      <x:c r="V1752" s="0"/>
      <x:c r="W1752" s="0"/>
      <x:c r="X1752" t="str" s="2">
        <x:v>3182439042</x:v>
      </x:c>
      <x:c r="Y1752" t="str" s="2">
        <x:v>joycestan@hotmail.com</x:v>
      </x:c>
      <x:c r="Z1752" s="6">
        <x:v>46295.78964282407</x:v>
      </x:c>
      <x:c r="AA1752" t="str" s="2">
        <x:v>Kyla Brown</x:v>
      </x:c>
      <x:c r="AB1752" s="6">
        <x:v>46291.90063136574</x:v>
      </x:c>
      <x:c r="AC1752" t="n" s="2">
        <x:v>40403</x:v>
      </x:c>
      <x:c r="AD1752" s="0"/>
      <x:c r="AE1752" s="0"/>
      <x:c r="AF1752" s="0"/>
      <x:c r="AG1752" s="0"/>
      <x:c r="AH1752" s="0"/>
      <x:c r="AI1752" s="0"/>
      <x:c r="AJ1752" s="0"/>
      <x:c r="AK1752" s="0"/>
    </x:row>
    <x:row r="1753">
      <x:c r="A1753" t="str" s="2">
        <x:f>=HYPERLINK("https://rsms.futurehomex.com/lead/40404", "Misty Vasquez")</x:f>
      </x:c>
      <x:c r="B1753" t="n" s="2">
        <x:v>16</x:v>
      </x:c>
      <x:c r="C1753" t="str" s="2">
        <x:v>0/1</x:v>
      </x:c>
      <x:c r="D1753" t="str" s="2">
        <x:f>=""</x:f>
      </x:c>
      <x:c r="E1753" s="0"/>
      <x:c r="F1753" t="str" s="2">
        <x:v>Walk-in</x:v>
      </x:c>
      <x:c r="G1753" t="str" s="2">
        <x:v>Heritage Housing of Oklahoma City</x:v>
      </x:c>
      <x:c r="H1753" t="str" s="2">
        <x:v>Eva Misheva</x:v>
      </x:c>
      <x:c r="I1753" s="0"/>
      <x:c r="J1753" s="0"/>
      <x:c r="K1753" t="n" s="2">
        <x:v>5</x:v>
      </x:c>
      <x:c r="L1753" t="str" s="2">
        <x:v>1.1</x:v>
      </x:c>
      <x:c r="M1753" t="str" s="2">
        <x:v>Tentative</x:v>
      </x:c>
      <x:c r="N1753" t="str" s="2">
        <x:v>Prospect</x:v>
      </x:c>
      <x:c r="O1753" s="0"/>
      <x:c r="P1753" s="6">
        <x:v>46292</x:v>
      </x:c>
      <x:c r="Q1753" s="6">
        <x:v>46293.92886539352</x:v>
      </x:c>
      <x:c r="R1753" s="0"/>
      <x:c r="S1753" s="6">
        <x:v>46292</x:v>
      </x:c>
      <x:c r="T1753" s="0"/>
      <x:c r="U1753" s="0"/>
      <x:c r="V1753" s="0"/>
      <x:c r="W1753" s="0"/>
      <x:c r="X1753" t="str" s="2">
        <x:v>4059790316</x:v>
      </x:c>
      <x:c r="Y1753" t="str" s="2">
        <x:v>mistyvas@gmail.com</x:v>
      </x:c>
      <x:c r="Z1753" s="6">
        <x:v>46293.929784837965</x:v>
      </x:c>
      <x:c r="AA1753" t="str" s="2">
        <x:v>Richard Bell</x:v>
      </x:c>
      <x:c r="AB1753" s="6">
        <x:v>46292.86020185185</x:v>
      </x:c>
      <x:c r="AC1753" t="n" s="2">
        <x:v>40404</x:v>
      </x:c>
      <x:c r="AD1753" s="0"/>
      <x:c r="AE1753" s="0"/>
      <x:c r="AF1753" s="0"/>
      <x:c r="AG1753" s="0"/>
      <x:c r="AH1753" s="0"/>
      <x:c r="AI1753" t="str" s="2">
        <x:v>591</x:v>
      </x:c>
      <x:c r="AJ1753" s="0"/>
      <x:c r="AK1753" s="0"/>
    </x:row>
    <x:row r="1754">
      <x:c r="A1754" t="str" s="2">
        <x:f>=HYPERLINK("https://rsms.futurehomex.com/lead/40407", "Casey Gaskay")</x:f>
      </x:c>
      <x:c r="B1754" t="n" s="2">
        <x:v>16</x:v>
      </x:c>
      <x:c r="C1754" t="str" s="2">
        <x:v>1/2</x:v>
      </x:c>
      <x:c r="D1754" t="str" s="2">
        <x:f>=""</x:f>
      </x:c>
      <x:c r="E1754" s="0"/>
      <x:c r="F1754" t="str" s="2">
        <x:v>Walk-in</x:v>
      </x:c>
      <x:c r="G1754" t="str" s="2">
        <x:v>Heritage Housing of Oklahoma City</x:v>
      </x:c>
      <x:c r="H1754" t="str" s="2">
        <x:v>Eva Misheva</x:v>
      </x:c>
      <x:c r="I1754" s="0"/>
      <x:c r="J1754" s="0"/>
      <x:c r="K1754" t="n" s="2">
        <x:v>5</x:v>
      </x:c>
      <x:c r="L1754" t="str" s="2">
        <x:v>1.1</x:v>
      </x:c>
      <x:c r="M1754" t="str" s="2">
        <x:v>Tentative</x:v>
      </x:c>
      <x:c r="N1754" t="str" s="2">
        <x:v>Prospect</x:v>
      </x:c>
      <x:c r="O1754" s="0"/>
      <x:c r="P1754" s="6">
        <x:v>46292</x:v>
      </x:c>
      <x:c r="Q1754" s="6">
        <x:v>46292.896943287036</x:v>
      </x:c>
      <x:c r="R1754" s="0"/>
      <x:c r="S1754" s="6">
        <x:v>46292</x:v>
      </x:c>
      <x:c r="T1754" s="0"/>
      <x:c r="U1754" s="0"/>
      <x:c r="V1754" s="0"/>
      <x:c r="W1754" s="0"/>
      <x:c r="X1754" t="str" s="2">
        <x:v>4059966130</x:v>
      </x:c>
      <x:c r="Y1754" t="str" s="2">
        <x:v>caseylane92@gmail.com</x:v>
      </x:c>
      <x:c r="Z1754" s="6">
        <x:v>46300.6560003125</x:v>
      </x:c>
      <x:c r="AA1754" t="str" s="2">
        <x:v>Eva Misheva</x:v>
      </x:c>
      <x:c r="AB1754" s="6">
        <x:v>46292.89694467593</x:v>
      </x:c>
      <x:c r="AC1754" t="n" s="2">
        <x:v>40407</x:v>
      </x:c>
      <x:c r="AD1754" s="0"/>
      <x:c r="AE1754" s="0"/>
      <x:c r="AF1754" s="0"/>
      <x:c r="AG1754" s="0"/>
      <x:c r="AH1754" s="0"/>
      <x:c r="AI1754" s="0"/>
      <x:c r="AJ1754" s="0"/>
      <x:c r="AK1754" s="0"/>
    </x:row>
    <x:row r="1755">
      <x:c r="A1755" t="str" s="2">
        <x:f>=HYPERLINK("https://rsms.futurehomex.com/lead/40408", "Sierra Patterson")</x:f>
      </x:c>
      <x:c r="B1755" t="n" s="2">
        <x:v>16</x:v>
      </x:c>
      <x:c r="C1755" t="str" s="2">
        <x:v>1/4</x:v>
      </x:c>
      <x:c r="D1755" t="str" s="2">
        <x:f>=""</x:f>
      </x:c>
      <x:c r="E1755" s="0"/>
      <x:c r="F1755" t="str" s="2">
        <x:v>Walk-in</x:v>
      </x:c>
      <x:c r="G1755" t="str" s="2">
        <x:v>Heritage Housing of Oklahoma City</x:v>
      </x:c>
      <x:c r="H1755" t="str" s="2">
        <x:v>Steve Castell</x:v>
      </x:c>
      <x:c r="I1755" s="0"/>
      <x:c r="J1755" s="0"/>
      <x:c r="K1755" t="n" s="2">
        <x:v>5</x:v>
      </x:c>
      <x:c r="L1755" t="str" s="2">
        <x:v>1.1</x:v>
      </x:c>
      <x:c r="M1755" t="str" s="2">
        <x:v>Tentative</x:v>
      </x:c>
      <x:c r="N1755" t="str" s="2">
        <x:v>Prospect</x:v>
      </x:c>
      <x:c r="O1755" s="0"/>
      <x:c r="P1755" s="6">
        <x:v>46292</x:v>
      </x:c>
      <x:c r="Q1755" s="6">
        <x:v>46292.91535228009</x:v>
      </x:c>
      <x:c r="R1755" t="str" s="2">
        <x:v>Eva Misheva</x:v>
      </x:c>
      <x:c r="S1755" s="6">
        <x:v>46292</x:v>
      </x:c>
      <x:c r="T1755" s="0"/>
      <x:c r="U1755" s="0"/>
      <x:c r="V1755" s="0"/>
      <x:c r="W1755" s="0"/>
      <x:c r="X1755" t="str" s="2">
        <x:v>4794622622</x:v>
      </x:c>
      <x:c r="Y1755" t="str" s="2">
        <x:v>sierrapatterson87@yahoo.com</x:v>
      </x:c>
      <x:c r="Z1755" s="6">
        <x:v>46303.96993908565</x:v>
      </x:c>
      <x:c r="AA1755" t="str" s="2">
        <x:v>Steve Castell</x:v>
      </x:c>
      <x:c r="AB1755" s="6">
        <x:v>46294.634997719906</x:v>
      </x:c>
      <x:c r="AC1755" t="n" s="2">
        <x:v>40408</x:v>
      </x:c>
      <x:c r="AD1755" s="0"/>
      <x:c r="AE1755" s="0"/>
      <x:c r="AF1755" s="0"/>
      <x:c r="AG1755" s="0"/>
      <x:c r="AH1755" s="0"/>
      <x:c r="AI1755" s="0"/>
      <x:c r="AJ1755" s="0"/>
      <x:c r="AK1755" s="0"/>
    </x:row>
    <x:row r="1756">
      <x:c r="A1756" t="str" s="2">
        <x:f>=HYPERLINK("https://rsms.futurehomex.com/lead/40410", "Tammy Stiller")</x:f>
      </x:c>
      <x:c r="B1756" t="n" s="2">
        <x:v>15</x:v>
      </x:c>
      <x:c r="C1756" t="str" s="2">
        <x:v/>
      </x:c>
      <x:c r="D1756" t="str" s="2">
        <x:f>=""</x:f>
      </x:c>
      <x:c r="E1756" s="0"/>
      <x:c r="F1756" t="str" s="2">
        <x:v>Youtube</x:v>
      </x:c>
      <x:c r="G1756" t="str" s="2">
        <x:v>Heritage Housing of Athens</x:v>
      </x:c>
      <x:c r="H1756" t="str" s="2">
        <x:v>Ethan Fossett</x:v>
      </x:c>
      <x:c r="I1756" s="0"/>
      <x:c r="J1756" t="str" s="2">
        <x:v>Ethan Fossett</x:v>
      </x:c>
      <x:c r="K1756" t="n" s="2">
        <x:v>5</x:v>
      </x:c>
      <x:c r="L1756" t="str" s="2">
        <x:v>1.1</x:v>
      </x:c>
      <x:c r="M1756" t="str" s="2">
        <x:v>Tentative</x:v>
      </x:c>
      <x:c r="N1756" t="str" s="2">
        <x:v>Prospect</x:v>
      </x:c>
      <x:c r="O1756" s="0"/>
      <x:c r="P1756" s="6">
        <x:v>46293</x:v>
      </x:c>
      <x:c r="Q1756" s="6">
        <x:v>46293.59747184028</x:v>
      </x:c>
      <x:c r="R1756" s="0"/>
      <x:c r="S1756" s="0"/>
      <x:c r="T1756" s="0"/>
      <x:c r="U1756" s="0"/>
      <x:c r="V1756" s="0"/>
      <x:c r="W1756" s="0"/>
      <x:c r="X1756" t="str" s="2">
        <x:v>4708590719</x:v>
      </x:c>
      <x:c r="Y1756" t="str" s="2">
        <x:v>tmanbp19@gmail.com</x:v>
      </x:c>
      <x:c r="Z1756" s="0"/>
      <x:c r="AA1756" s="0"/>
      <x:c r="AB1756" s="6">
        <x:v>46293.59747314815</x:v>
      </x:c>
      <x:c r="AC1756" t="n" s="2">
        <x:v>40410</x:v>
      </x:c>
      <x:c r="AD1756" s="0"/>
      <x:c r="AE1756" s="0"/>
      <x:c r="AF1756" s="0"/>
      <x:c r="AG1756" s="0"/>
      <x:c r="AH1756" s="0"/>
      <x:c r="AI1756" s="0"/>
      <x:c r="AJ1756" s="0"/>
      <x:c r="AK1756" s="0"/>
    </x:row>
    <x:row r="1757">
      <x:c r="A1757" t="str" s="2">
        <x:f>=HYPERLINK("https://rsms.futurehomex.com/lead/40412", "Heather Brown")</x:f>
      </x:c>
      <x:c r="B1757" t="n" s="2">
        <x:v>15</x:v>
      </x:c>
      <x:c r="C1757" t="str" s="2">
        <x:v>1/1</x:v>
      </x:c>
      <x:c r="D1757" t="str" s="2">
        <x:f>=""</x:f>
      </x:c>
      <x:c r="E1757" s="0"/>
      <x:c r="F1757" t="str" s="2">
        <x:v>Landing_BPM</x:v>
      </x:c>
      <x:c r="G1757" t="str" s="2">
        <x:v>Heritage Housing of Oklahoma City</x:v>
      </x:c>
      <x:c r="H1757" t="str" s="2">
        <x:v>Trey Rixleben</x:v>
      </x:c>
      <x:c r="I1757" s="0"/>
      <x:c r="J1757" s="0"/>
      <x:c r="K1757" t="n" s="2">
        <x:v>5</x:v>
      </x:c>
      <x:c r="L1757" t="str" s="2">
        <x:v>1.1</x:v>
      </x:c>
      <x:c r="M1757" t="str" s="2">
        <x:v>Tentative</x:v>
      </x:c>
      <x:c r="N1757" t="str" s="2">
        <x:v>Deal Created</x:v>
      </x:c>
      <x:c r="O1757" s="0"/>
      <x:c r="P1757" s="6">
        <x:v>46293</x:v>
      </x:c>
      <x:c r="Q1757" s="6">
        <x:v>46300.98609239583</x:v>
      </x:c>
      <x:c r="R1757" s="0"/>
      <x:c r="S1757" s="0"/>
      <x:c r="T1757" s="0"/>
      <x:c r="U1757" s="0"/>
      <x:c r="V1757" s="0"/>
      <x:c r="W1757" s="0"/>
      <x:c r="X1757" t="str" s="2">
        <x:v>4052871285</x:v>
      </x:c>
      <x:c r="Y1757" t="str" s="2">
        <x:v>heather_200045@yahoo.com</x:v>
      </x:c>
      <x:c r="Z1757" s="6">
        <x:v>46300.987244710646</x:v>
      </x:c>
      <x:c r="AA1757" t="str" s="2">
        <x:v>Trey Rixleben</x:v>
      </x:c>
      <x:c r="AB1757" s="6">
        <x:v>46293.599784224534</x:v>
      </x:c>
      <x:c r="AC1757" t="n" s="2">
        <x:v>40412</x:v>
      </x:c>
      <x:c r="AD1757" s="0"/>
      <x:c r="AE1757" s="0"/>
      <x:c r="AF1757" s="0"/>
      <x:c r="AG1757" s="0"/>
      <x:c r="AH1757" s="0"/>
      <x:c r="AI1757" s="0"/>
      <x:c r="AJ1757" s="0"/>
      <x:c r="AK1757" s="0"/>
    </x:row>
    <x:row r="1758">
      <x:c r="A1758" t="str" s="2">
        <x:f>=HYPERLINK("https://rsms.futurehomex.com/lead/40413", "Henry Merriweather")</x:f>
      </x:c>
      <x:c r="B1758" t="n" s="2">
        <x:v>15</x:v>
      </x:c>
      <x:c r="C1758" t="str" s="2">
        <x:v/>
      </x:c>
      <x:c r="D1758" t="str" s="2">
        <x:f>=""</x:f>
      </x:c>
      <x:c r="E1758" s="0"/>
      <x:c r="F1758" t="str" s="2">
        <x:v>Walk-in</x:v>
      </x:c>
      <x:c r="G1758" t="str" s="2">
        <x:v>Heritage Housing of Augusta</x:v>
      </x:c>
      <x:c r="H1758" t="str" s="2">
        <x:v>Faye Lively</x:v>
      </x:c>
      <x:c r="I1758" s="0"/>
      <x:c r="J1758" s="0"/>
      <x:c r="K1758" t="n" s="2">
        <x:v>5</x:v>
      </x:c>
      <x:c r="L1758" t="str" s="2">
        <x:v>1.1</x:v>
      </x:c>
      <x:c r="M1758" t="str" s="2">
        <x:v>Tentative</x:v>
      </x:c>
      <x:c r="N1758" t="str" s="2">
        <x:v>Prospect</x:v>
      </x:c>
      <x:c r="O1758" s="0"/>
      <x:c r="P1758" s="6">
        <x:v>46293</x:v>
      </x:c>
      <x:c r="Q1758" s="6">
        <x:v>46293.60998136574</x:v>
      </x:c>
      <x:c r="R1758" s="0"/>
      <x:c r="S1758" s="0"/>
      <x:c r="T1758" s="0"/>
      <x:c r="U1758" s="0"/>
      <x:c r="V1758" s="0"/>
      <x:c r="W1758" s="0"/>
      <x:c r="X1758" t="str" s="2">
        <x:v>8033419426</x:v>
      </x:c>
      <x:c r="Y1758" t="str" s="2">
        <x:v>henrymerr9@icloud.com</x:v>
      </x:c>
      <x:c r="Z1758" s="0"/>
      <x:c r="AA1758" s="0"/>
      <x:c r="AB1758" s="6">
        <x:v>46293.60998194444</x:v>
      </x:c>
      <x:c r="AC1758" t="n" s="2">
        <x:v>40413</x:v>
      </x:c>
      <x:c r="AD1758" s="0"/>
      <x:c r="AE1758" s="0"/>
      <x:c r="AF1758" s="0"/>
      <x:c r="AG1758" s="0"/>
      <x:c r="AH1758" s="0"/>
      <x:c r="AI1758" s="0"/>
      <x:c r="AJ1758" s="0"/>
      <x:c r="AK1758" s="0"/>
    </x:row>
    <x:row r="1759">
      <x:c r="A1759" t="str" s="2">
        <x:f>=HYPERLINK("https://rsms.futurehomex.com/lead/40414", "Kathy Baker")</x:f>
      </x:c>
      <x:c r="B1759" t="n" s="2">
        <x:v>15</x:v>
      </x:c>
      <x:c r="C1759" t="str" s="2">
        <x:v/>
      </x:c>
      <x:c r="D1759" t="str" s="2">
        <x:f>=""</x:f>
      </x:c>
      <x:c r="E1759" s="0"/>
      <x:c r="F1759" t="str" s="2">
        <x:v>LandingPage</x:v>
      </x:c>
      <x:c r="G1759" t="str" s="2">
        <x:v>Heritage Housing Marble Falls</x:v>
      </x:c>
      <x:c r="H1759" t="str" s="2">
        <x:v>Garrett Riedesel</x:v>
      </x:c>
      <x:c r="I1759" s="0"/>
      <x:c r="J1759" t="str" s="2">
        <x:v>Garrett Riedesel</x:v>
      </x:c>
      <x:c r="K1759" t="n" s="2">
        <x:v>38</x:v>
      </x:c>
      <x:c r="L1759" t="str" s="2">
        <x:v>3.2</x:v>
      </x:c>
      <x:c r="M1759" t="str" s="2">
        <x:v>Active</x:v>
      </x:c>
      <x:c r="N1759" t="str" s="2">
        <x:v>Application</x:v>
      </x:c>
      <x:c r="O1759" s="6">
        <x:v>46315</x:v>
      </x:c>
      <x:c r="P1759" s="6">
        <x:v>46293</x:v>
      </x:c>
      <x:c r="Q1759" s="6">
        <x:v>46293.96743202546</x:v>
      </x:c>
      <x:c r="R1759" t="str" s="2">
        <x:v>Stephen Sanders</x:v>
      </x:c>
      <x:c r="S1759" s="6">
        <x:v>46290</x:v>
      </x:c>
      <x:c r="T1759" s="6">
        <x:v>46290</x:v>
      </x:c>
      <x:c r="U1759" s="0"/>
      <x:c r="V1759" s="0"/>
      <x:c r="W1759" s="0"/>
      <x:c r="X1759" t="str" s="2">
        <x:v>3252483019</x:v>
      </x:c>
      <x:c r="Y1759" t="str" s="2">
        <x:v>texaskat.kb@gmail.com</x:v>
      </x:c>
      <x:c r="Z1759" s="6">
        <x:v>46297.77034892361</x:v>
      </x:c>
      <x:c r="AA1759" t="str" s="2">
        <x:v>Dane Lara</x:v>
      </x:c>
      <x:c r="AB1759" s="6">
        <x:v>46293.63871392361</x:v>
      </x:c>
      <x:c r="AC1759" t="n" s="2">
        <x:v>40414</x:v>
      </x:c>
      <x:c r="AD1759" s="0"/>
      <x:c r="AE1759" s="0"/>
      <x:c r="AF1759" s="0"/>
      <x:c r="AG1759" s="7">
        <x:v>500</x:v>
      </x:c>
      <x:c r="AH1759" s="0"/>
      <x:c r="AI1759" t="str" s="2">
        <x:v>529</x:v>
      </x:c>
      <x:c r="AJ1759" s="0"/>
      <x:c r="AK1759" s="0"/>
    </x:row>
    <x:row r="1760">
      <x:c r="A1760" t="str" s="2">
        <x:f>=HYPERLINK("https://rsms.futurehomex.com/lead/40416", "Lakesha Tilman")</x:f>
      </x:c>
      <x:c r="B1760" t="n" s="2">
        <x:v>15</x:v>
      </x:c>
      <x:c r="C1760" t="str" s="2">
        <x:v/>
      </x:c>
      <x:c r="D1760" t="str" s="2">
        <x:f>=""</x:f>
      </x:c>
      <x:c r="E1760" s="0"/>
      <x:c r="F1760" t="str" s="2">
        <x:v>Landing_BPM</x:v>
      </x:c>
      <x:c r="G1760" t="str" s="2">
        <x:v>Heritage Housing of Asheboro</x:v>
      </x:c>
      <x:c r="H1760" t="str" s="2">
        <x:v>Kate Gutierrez</x:v>
      </x:c>
      <x:c r="I1760" s="0"/>
      <x:c r="J1760" t="str" s="2">
        <x:v>Kate Gutierrez</x:v>
      </x:c>
      <x:c r="K1760" t="n" s="2">
        <x:v>21</x:v>
      </x:c>
      <x:c r="L1760" t="str" s="2">
        <x:v>2.1</x:v>
      </x:c>
      <x:c r="M1760" t="str" s="2">
        <x:v>Tentative</x:v>
      </x:c>
      <x:c r="N1760" t="str" s="2">
        <x:v>Qualified</x:v>
      </x:c>
      <x:c r="O1760" s="0"/>
      <x:c r="P1760" s="6">
        <x:v>46293</x:v>
      </x:c>
      <x:c r="Q1760" s="6">
        <x:v>46302.55633086806</x:v>
      </x:c>
      <x:c r="R1760" s="0"/>
      <x:c r="S1760" s="0"/>
      <x:c r="T1760" s="0"/>
      <x:c r="U1760" s="0"/>
      <x:c r="V1760" s="0"/>
      <x:c r="W1760" s="0"/>
      <x:c r="X1760" t="str" s="2">
        <x:v>3369635876</x:v>
      </x:c>
      <x:c r="Y1760" t="str" s="2">
        <x:v>texasstateofmind82@yahoo.com</x:v>
      </x:c>
      <x:c r="Z1760" s="6">
        <x:v>46294.715761770836</x:v>
      </x:c>
      <x:c r="AA1760" t="str" s="2">
        <x:v>Jeremy Jacques</x:v>
      </x:c>
      <x:c r="AB1760" s="6">
        <x:v>46293.69965787037</x:v>
      </x:c>
      <x:c r="AC1760" t="n" s="2">
        <x:v>40416</x:v>
      </x:c>
      <x:c r="AD1760" s="0"/>
      <x:c r="AE1760" s="0"/>
      <x:c r="AF1760" s="0"/>
      <x:c r="AG1760" s="0"/>
      <x:c r="AH1760" s="0"/>
      <x:c r="AI1760" s="0"/>
      <x:c r="AJ1760" s="0"/>
      <x:c r="AK1760" s="0"/>
    </x:row>
    <x:row r="1761">
      <x:c r="A1761" t="str" s="2">
        <x:f>=HYPERLINK("https://rsms.futurehomex.com/lead/40417", "Duntay Easley")</x:f>
      </x:c>
      <x:c r="B1761" t="n" s="2">
        <x:v>15</x:v>
      </x:c>
      <x:c r="C1761" t="str" s="2">
        <x:v/>
      </x:c>
      <x:c r="D1761" t="str" s="2">
        <x:f>=""</x:f>
      </x:c>
      <x:c r="E1761" s="0"/>
      <x:c r="F1761" t="str" s="2">
        <x:v>Walk-in</x:v>
      </x:c>
      <x:c r="G1761" t="str" s="2">
        <x:v>Heritage Housing of Athens</x:v>
      </x:c>
      <x:c r="H1761" t="str" s="2">
        <x:v>Nathan Bishop</x:v>
      </x:c>
      <x:c r="I1761" s="0"/>
      <x:c r="J1761" s="0"/>
      <x:c r="K1761" t="n" s="2">
        <x:v>5</x:v>
      </x:c>
      <x:c r="L1761" t="str" s="2">
        <x:v>1.1</x:v>
      </x:c>
      <x:c r="M1761" t="str" s="2">
        <x:v>Tentative</x:v>
      </x:c>
      <x:c r="N1761" t="str" s="2">
        <x:v>Prospect</x:v>
      </x:c>
      <x:c r="O1761" s="0"/>
      <x:c r="P1761" s="6">
        <x:v>46293</x:v>
      </x:c>
      <x:c r="Q1761" s="6">
        <x:v>46293.75952719907</x:v>
      </x:c>
      <x:c r="R1761" s="0"/>
      <x:c r="S1761" s="6">
        <x:v>46293</x:v>
      </x:c>
      <x:c r="T1761" s="0"/>
      <x:c r="U1761" s="0"/>
      <x:c r="V1761" s="0"/>
      <x:c r="W1761" s="0"/>
      <x:c r="X1761" t="str" s="2">
        <x:v>7623476488</x:v>
      </x:c>
      <x:c r="Y1761" t="str" s="2">
        <x:v>duntayeasley946@gmail.com</x:v>
      </x:c>
      <x:c r="Z1761" s="6">
        <x:v>46293.76059829861</x:v>
      </x:c>
      <x:c r="AA1761" t="str" s="2">
        <x:v>Nathan Bishop</x:v>
      </x:c>
      <x:c r="AB1761" s="6">
        <x:v>46293.70879456018</x:v>
      </x:c>
      <x:c r="AC1761" t="n" s="2">
        <x:v>40417</x:v>
      </x:c>
      <x:c r="AD1761" s="0"/>
      <x:c r="AE1761" s="0"/>
      <x:c r="AF1761" s="0"/>
      <x:c r="AG1761" s="0"/>
      <x:c r="AH1761" s="0"/>
      <x:c r="AI1761" s="0"/>
      <x:c r="AJ1761" s="0"/>
      <x:c r="AK1761" s="0"/>
    </x:row>
    <x:row r="1762">
      <x:c r="A1762" t="str" s="2">
        <x:f>=HYPERLINK("https://rsms.futurehomex.com/lead/40418", "Trae Baker")</x:f>
      </x:c>
      <x:c r="B1762" t="n" s="2">
        <x:v>15</x:v>
      </x:c>
      <x:c r="C1762" t="str" s="2">
        <x:v/>
      </x:c>
      <x:c r="D1762" t="str" s="2">
        <x:f>=""</x:f>
      </x:c>
      <x:c r="E1762" s="0"/>
      <x:c r="F1762" t="str" s="2">
        <x:v>Walk-in</x:v>
      </x:c>
      <x:c r="G1762" t="str" s="2">
        <x:v>Heritage Housing of Athens</x:v>
      </x:c>
      <x:c r="H1762" t="str" s="2">
        <x:v>Ethan Fossett</x:v>
      </x:c>
      <x:c r="I1762" s="0"/>
      <x:c r="J1762" s="0"/>
      <x:c r="K1762" t="n" s="2">
        <x:v>5</x:v>
      </x:c>
      <x:c r="L1762" t="str" s="2">
        <x:v>1.1</x:v>
      </x:c>
      <x:c r="M1762" t="str" s="2">
        <x:v>Tentative</x:v>
      </x:c>
      <x:c r="N1762" t="str" s="2">
        <x:v>Prospect</x:v>
      </x:c>
      <x:c r="O1762" s="0"/>
      <x:c r="P1762" s="6">
        <x:v>46293</x:v>
      </x:c>
      <x:c r="Q1762" s="6">
        <x:v>46293.79741061343</x:v>
      </x:c>
      <x:c r="R1762" s="0"/>
      <x:c r="S1762" s="0"/>
      <x:c r="T1762" s="0"/>
      <x:c r="U1762" s="0"/>
      <x:c r="V1762" s="0"/>
      <x:c r="W1762" s="0"/>
      <x:c r="X1762" t="str" s="2">
        <x:v>7064247571</x:v>
      </x:c>
      <x:c r="Y1762" t="str" s="2">
        <x:v>traebaker89@gmail.com</x:v>
      </x:c>
      <x:c r="Z1762" s="6">
        <x:v>46293.79939424768</x:v>
      </x:c>
      <x:c r="AA1762" t="str" s="2">
        <x:v>Ethan Fossett</x:v>
      </x:c>
      <x:c r="AB1762" s="6">
        <x:v>46293.741247569444</x:v>
      </x:c>
      <x:c r="AC1762" t="n" s="2">
        <x:v>40418</x:v>
      </x:c>
      <x:c r="AD1762" s="0"/>
      <x:c r="AE1762" s="0"/>
      <x:c r="AF1762" s="0"/>
      <x:c r="AG1762" s="0"/>
      <x:c r="AH1762" s="0"/>
      <x:c r="AI1762" t="str" s="2" xml:space="preserve">
        <x:v>540 </x:v>
      </x:c>
      <x:c r="AJ1762" s="0"/>
      <x:c r="AK1762" s="0"/>
    </x:row>
    <x:row r="1763">
      <x:c r="A1763" t="str" s="2">
        <x:f>=HYPERLINK("https://rsms.futurehomex.com/lead/40419", "Chris A")</x:f>
      </x:c>
      <x:c r="B1763" t="n" s="2">
        <x:v>15</x:v>
      </x:c>
      <x:c r="C1763" t="str" s="2">
        <x:v/>
      </x:c>
      <x:c r="D1763" t="str" s="2">
        <x:f>=""</x:f>
      </x:c>
      <x:c r="E1763" s="0"/>
      <x:c r="F1763" t="str" s="2">
        <x:v>Other</x:v>
      </x:c>
      <x:c r="G1763" t="str" s="2">
        <x:v>Legacy Housing Corp. DBA Americasa</x:v>
      </x:c>
      <x:c r="H1763" t="str" s="2">
        <x:v>Joey Marquez</x:v>
      </x:c>
      <x:c r="I1763" s="0"/>
      <x:c r="J1763" t="str" s="2">
        <x:v>Joey Marquez</x:v>
      </x:c>
      <x:c r="K1763" t="n" s="2">
        <x:v>5</x:v>
      </x:c>
      <x:c r="L1763" t="str" s="2">
        <x:v>1.1</x:v>
      </x:c>
      <x:c r="M1763" t="str" s="2">
        <x:v>Tentative</x:v>
      </x:c>
      <x:c r="N1763" t="str" s="2">
        <x:v>Deal Created</x:v>
      </x:c>
      <x:c r="O1763" s="0"/>
      <x:c r="P1763" s="6">
        <x:v>46293</x:v>
      </x:c>
      <x:c r="Q1763" s="6">
        <x:v>46293.77564146991</x:v>
      </x:c>
      <x:c r="R1763" s="0"/>
      <x:c r="S1763" s="0"/>
      <x:c r="T1763" s="0"/>
      <x:c r="U1763" s="0"/>
      <x:c r="V1763" s="0"/>
      <x:c r="W1763" s="0"/>
      <x:c r="X1763" t="str" s="2">
        <x:v>2142830245</x:v>
      </x:c>
      <x:c r="Y1763" t="str" s="2">
        <x:v>2142830245</x:v>
      </x:c>
      <x:c r="Z1763" s="0"/>
      <x:c r="AA1763" s="0"/>
      <x:c r="AB1763" s="6">
        <x:v>46293.77564320602</x:v>
      </x:c>
      <x:c r="AC1763" t="n" s="2">
        <x:v>40419</x:v>
      </x:c>
      <x:c r="AD1763" s="0"/>
      <x:c r="AE1763" s="0"/>
      <x:c r="AF1763" s="0"/>
      <x:c r="AG1763" s="0"/>
      <x:c r="AH1763" s="0"/>
      <x:c r="AI1763" s="0"/>
      <x:c r="AJ1763" s="0"/>
      <x:c r="AK1763" s="0"/>
    </x:row>
    <x:row r="1764">
      <x:c r="A1764" t="str" s="2">
        <x:f>=HYPERLINK("https://rsms.futurehomex.com/lead/40420", "Dustin Cinnamon")</x:f>
      </x:c>
      <x:c r="B1764" t="n" s="2">
        <x:v>15</x:v>
      </x:c>
      <x:c r="C1764" t="str" s="2">
        <x:v/>
      </x:c>
      <x:c r="D1764" t="str" s="2">
        <x:f>=""</x:f>
      </x:c>
      <x:c r="E1764" s="0"/>
      <x:c r="F1764" t="str" s="2">
        <x:v>Walk-in</x:v>
      </x:c>
      <x:c r="G1764" t="str" s="2">
        <x:v>Heritage Housing of Athens</x:v>
      </x:c>
      <x:c r="H1764" t="str" s="2">
        <x:v>Nathan Bishop</x:v>
      </x:c>
      <x:c r="I1764" s="0"/>
      <x:c r="J1764" s="0"/>
      <x:c r="K1764" t="n" s="2">
        <x:v>5</x:v>
      </x:c>
      <x:c r="L1764" t="str" s="2">
        <x:v>1.1</x:v>
      </x:c>
      <x:c r="M1764" t="str" s="2">
        <x:v>Tentative</x:v>
      </x:c>
      <x:c r="N1764" t="str" s="2">
        <x:v>Prospect</x:v>
      </x:c>
      <x:c r="O1764" s="0"/>
      <x:c r="P1764" s="6">
        <x:v>46293</x:v>
      </x:c>
      <x:c r="Q1764" s="6">
        <x:v>46293.80853229167</x:v>
      </x:c>
      <x:c r="R1764" s="0"/>
      <x:c r="S1764" s="0"/>
      <x:c r="T1764" s="0"/>
      <x:c r="U1764" s="0"/>
      <x:c r="V1764" s="0"/>
      <x:c r="W1764" s="0"/>
      <x:c r="X1764" t="str" s="2">
        <x:v>5803705015</x:v>
      </x:c>
      <x:c r="Y1764" t="str" s="2">
        <x:v>dcinnamo@yahoo.com</x:v>
      </x:c>
      <x:c r="Z1764" s="0"/>
      <x:c r="AA1764" s="0"/>
      <x:c r="AB1764" s="6">
        <x:v>46293.80853287037</x:v>
      </x:c>
      <x:c r="AC1764" t="n" s="2">
        <x:v>40420</x:v>
      </x:c>
      <x:c r="AD1764" s="0"/>
      <x:c r="AE1764" s="0"/>
      <x:c r="AF1764" s="0"/>
      <x:c r="AG1764" s="0"/>
      <x:c r="AH1764" s="0"/>
      <x:c r="AI1764" s="0"/>
      <x:c r="AJ1764" s="0"/>
      <x:c r="AK1764" s="0"/>
    </x:row>
    <x:row r="1765">
      <x:c r="A1765" t="str" s="2">
        <x:f>=HYPERLINK("https://rsms.futurehomex.com/lead/40421", "Rodolfo Eugenio Alamilla Gonzalez")</x:f>
      </x:c>
      <x:c r="B1765" t="n" s="2">
        <x:v>15</x:v>
      </x:c>
      <x:c r="C1765" t="str" s="2">
        <x:v>0/2</x:v>
      </x:c>
      <x:c r="D1765" t="str" s="2">
        <x:f>=""</x:f>
      </x:c>
      <x:c r="E1765" s="0"/>
      <x:c r="F1765" t="str" s="2">
        <x:v>Facebook Messenger</x:v>
      </x:c>
      <x:c r="G1765" t="str" s="2">
        <x:v>Heritage Housing of Greenville</x:v>
      </x:c>
      <x:c r="H1765" t="str" s="2">
        <x:v>Ana Garcia</x:v>
      </x:c>
      <x:c r="I1765" s="0"/>
      <x:c r="J1765" t="str" s="2">
        <x:v>Ana Garcia</x:v>
      </x:c>
      <x:c r="K1765" t="n" s="2">
        <x:v>59</x:v>
      </x:c>
      <x:c r="L1765" t="str" s="2">
        <x:v>4.3</x:v>
      </x:c>
      <x:c r="M1765" t="str" s="2">
        <x:v>Active</x:v>
      </x:c>
      <x:c r="N1765" t="str" s="2">
        <x:v>Loan Approved</x:v>
      </x:c>
      <x:c r="O1765" s="0"/>
      <x:c r="P1765" s="6">
        <x:v>46293</x:v>
      </x:c>
      <x:c r="Q1765" s="6">
        <x:v>46296.86354054398</x:v>
      </x:c>
      <x:c r="R1765" s="0"/>
      <x:c r="S1765" s="6">
        <x:v>46290</x:v>
      </x:c>
      <x:c r="T1765" s="6">
        <x:v>46290</x:v>
      </x:c>
      <x:c r="U1765" s="6">
        <x:v>46296</x:v>
      </x:c>
      <x:c r="V1765" s="6">
        <x:v>46296</x:v>
      </x:c>
      <x:c r="W1765" s="0"/>
      <x:c r="X1765" t="str" s="2">
        <x:v>2144297478</x:v>
      </x:c>
      <x:c r="Y1765" t="str" s="2">
        <x:v>Rodolfoalamilla666@gmail.com</x:v>
      </x:c>
      <x:c r="Z1765" s="6">
        <x:v>46296.86406423611</x:v>
      </x:c>
      <x:c r="AA1765" t="str" s="2">
        <x:v>Kristin Breedlove</x:v>
      </x:c>
      <x:c r="AB1765" s="6">
        <x:v>46293.81732233796</x:v>
      </x:c>
      <x:c r="AC1765" t="n" s="2">
        <x:v>40421</x:v>
      </x:c>
      <x:c r="AD1765" t="str" s="2">
        <x:v>Singlewide</x:v>
      </x:c>
      <x:c r="AE1765" t="str" s="2">
        <x:v>Legacy Housing Corporation</x:v>
      </x:c>
      <x:c r="AF1765" s="7">
        <x:v>6610</x:v>
      </x:c>
      <x:c r="AG1765" s="7">
        <x:v>4590</x:v>
      </x:c>
      <x:c r="AH1765" s="0"/>
      <x:c r="AI1765" s="0"/>
      <x:c r="AJ1765" s="0"/>
      <x:c r="AK1765" s="0"/>
    </x:row>
    <x:row r="1766">
      <x:c r="A1766" t="str" s="2">
        <x:f>=HYPERLINK("https://rsms.futurehomex.com/lead/40422", "Schuyler Edillor")</x:f>
      </x:c>
      <x:c r="B1766" t="n" s="2">
        <x:v>15</x:v>
      </x:c>
      <x:c r="C1766" t="str" s="2">
        <x:v>1/4</x:v>
      </x:c>
      <x:c r="D1766" t="str" s="2">
        <x:f>=""</x:f>
      </x:c>
      <x:c r="E1766" s="0"/>
      <x:c r="F1766" t="str" s="2">
        <x:v>Walk-in</x:v>
      </x:c>
      <x:c r="G1766" t="str" s="2">
        <x:v>Heritage Housing of Oklahoma City</x:v>
      </x:c>
      <x:c r="H1766" t="str" s="2">
        <x:v>Trey Rixleben</x:v>
      </x:c>
      <x:c r="I1766" s="0"/>
      <x:c r="J1766" s="0"/>
      <x:c r="K1766" t="n" s="2">
        <x:v>59</x:v>
      </x:c>
      <x:c r="L1766" t="str" s="2">
        <x:v>4.3</x:v>
      </x:c>
      <x:c r="M1766" t="str" s="2">
        <x:v>Active</x:v>
      </x:c>
      <x:c r="N1766" t="str" s="2">
        <x:v>Loan Approved</x:v>
      </x:c>
      <x:c r="O1766" s="6">
        <x:v>46326</x:v>
      </x:c>
      <x:c r="P1766" s="6">
        <x:v>46293</x:v>
      </x:c>
      <x:c r="Q1766" s="6">
        <x:v>46307.911585960646</x:v>
      </x:c>
      <x:c r="R1766" s="0"/>
      <x:c r="S1766" s="6">
        <x:v>46293</x:v>
      </x:c>
      <x:c r="T1766" s="6">
        <x:v>46293</x:v>
      </x:c>
      <x:c r="U1766" s="6">
        <x:v>46294</x:v>
      </x:c>
      <x:c r="V1766" s="6">
        <x:v>46296</x:v>
      </x:c>
      <x:c r="W1766" s="0"/>
      <x:c r="X1766" t="str" s="2">
        <x:v>4052870303</x:v>
      </x:c>
      <x:c r="Y1766" t="str" s="2">
        <x:v>edillorschuyler@gmail.com</x:v>
      </x:c>
      <x:c r="Z1766" s="6">
        <x:v>46307.913627002315</x:v>
      </x:c>
      <x:c r="AA1766" t="str" s="2">
        <x:v>Sarahi Vazquez</x:v>
      </x:c>
      <x:c r="AB1766" s="6">
        <x:v>46293.818791666665</x:v>
      </x:c>
      <x:c r="AC1766" t="n" s="2">
        <x:v>40422</x:v>
      </x:c>
      <x:c r="AD1766" t="str" s="2">
        <x:v>Doublewide</x:v>
      </x:c>
      <x:c r="AE1766" t="str" s="2">
        <x:v>Legacy Housing Corporation</x:v>
      </x:c>
      <x:c r="AF1766" s="7">
        <x:v>11310</x:v>
      </x:c>
      <x:c r="AG1766" s="7">
        <x:v>11310</x:v>
      </x:c>
      <x:c r="AH1766" s="0"/>
      <x:c r="AI1766" t="str" s="2">
        <x:v>746</x:v>
      </x:c>
      <x:c r="AJ1766" s="0"/>
      <x:c r="AK1766" s="0"/>
    </x:row>
    <x:row r="1767">
      <x:c r="A1767" t="str" s="2">
        <x:f>=HYPERLINK("https://rsms.futurehomex.com/lead/40423", "Hunter Wright")</x:f>
      </x:c>
      <x:c r="B1767" t="n" s="2">
        <x:v>15</x:v>
      </x:c>
      <x:c r="C1767" t="str" s="2">
        <x:v>0/3</x:v>
      </x:c>
      <x:c r="D1767" t="str" s="2">
        <x:f>=""</x:f>
      </x:c>
      <x:c r="E1767" s="0"/>
      <x:c r="F1767" t="str" s="2">
        <x:v>Facebook Messenger</x:v>
      </x:c>
      <x:c r="G1767" t="str" s="2">
        <x:v>Heritage Housing of Canton</x:v>
      </x:c>
      <x:c r="H1767" t="str" s="2">
        <x:v>Jacob Hatten</x:v>
      </x:c>
      <x:c r="I1767" s="0"/>
      <x:c r="J1767" s="0"/>
      <x:c r="K1767" t="n" s="2">
        <x:v>80</x:v>
      </x:c>
      <x:c r="L1767" t="str" s="2">
        <x:v>5.3</x:v>
      </x:c>
      <x:c r="M1767" t="str" s="2">
        <x:v>Active</x:v>
      </x:c>
      <x:c r="N1767" t="str" s="2">
        <x:v>Pending Delivery</x:v>
      </x:c>
      <x:c r="O1767" s="6">
        <x:v>46308</x:v>
      </x:c>
      <x:c r="P1767" s="6">
        <x:v>46293</x:v>
      </x:c>
      <x:c r="Q1767" s="6">
        <x:v>46308.537779479164</x:v>
      </x:c>
      <x:c r="R1767" t="str" s="2">
        <x:v>Adriana Jaimes-Martinez</x:v>
      </x:c>
      <x:c r="S1767" s="6">
        <x:v>46291</x:v>
      </x:c>
      <x:c r="T1767" s="0"/>
      <x:c r="U1767" s="6">
        <x:v>46296</x:v>
      </x:c>
      <x:c r="V1767" s="6">
        <x:v>46296</x:v>
      </x:c>
      <x:c r="W1767" s="0"/>
      <x:c r="X1767" t="str" s="2">
        <x:v>9034741930</x:v>
      </x:c>
      <x:c r="Y1767" t="str" s="2">
        <x:v>dlainew85@aol.com</x:v>
      </x:c>
      <x:c r="Z1767" s="6">
        <x:v>46308.67454876158</x:v>
      </x:c>
      <x:c r="AA1767" t="str" s="2">
        <x:v>Meliza Banda</x:v>
      </x:c>
      <x:c r="AB1767" s="6">
        <x:v>46296.67125940972</x:v>
      </x:c>
      <x:c r="AC1767" t="n" s="2">
        <x:v>40423</x:v>
      </x:c>
      <x:c r="AD1767" t="str" s="2">
        <x:v>Singlewide</x:v>
      </x:c>
      <x:c r="AE1767" t="str" s="2">
        <x:v>Legacy Housing Corporation</x:v>
      </x:c>
      <x:c r="AF1767" s="7">
        <x:v>9450</x:v>
      </x:c>
      <x:c r="AG1767" s="7">
        <x:v>9450</x:v>
      </x:c>
      <x:c r="AH1767" s="7">
        <x:v>9450</x:v>
      </x:c>
      <x:c r="AI1767" s="0"/>
      <x:c r="AJ1767" s="0"/>
      <x:c r="AK1767" s="0"/>
    </x:row>
    <x:row r="1768">
      <x:c r="A1768" t="str" s="2">
        <x:f>=HYPERLINK("https://rsms.futurehomex.com/lead/40424", "Kody Truelove")</x:f>
      </x:c>
      <x:c r="B1768" t="n" s="2">
        <x:v>15</x:v>
      </x:c>
      <x:c r="C1768" t="str" s="2">
        <x:v/>
      </x:c>
      <x:c r="D1768" t="str" s="2">
        <x:f>=""</x:f>
      </x:c>
      <x:c r="E1768" s="0"/>
      <x:c r="F1768" t="str" s="2">
        <x:v>Referrals</x:v>
      </x:c>
      <x:c r="G1768" t="str" s="2">
        <x:v>Heritage Housing of Oklahoma City</x:v>
      </x:c>
      <x:c r="H1768" t="str" s="2">
        <x:v>Devon McCoy</x:v>
      </x:c>
      <x:c r="I1768" t="str" s="2">
        <x:v>Karol Romero</x:v>
      </x:c>
      <x:c r="J1768" t="str" s="2">
        <x:v>Devon McCoy</x:v>
      </x:c>
      <x:c r="K1768" t="n" s="2">
        <x:v>5</x:v>
      </x:c>
      <x:c r="L1768" t="str" s="2">
        <x:v>1.1</x:v>
      </x:c>
      <x:c r="M1768" t="str" s="2">
        <x:v>Tentative</x:v>
      </x:c>
      <x:c r="N1768" t="str" s="2">
        <x:v>Deal Created</x:v>
      </x:c>
      <x:c r="O1768" s="0"/>
      <x:c r="P1768" s="6">
        <x:v>46293</x:v>
      </x:c>
      <x:c r="Q1768" s="6">
        <x:v>46293.83765335648</x:v>
      </x:c>
      <x:c r="R1768" s="0"/>
      <x:c r="S1768" s="6">
        <x:v>46293</x:v>
      </x:c>
      <x:c r="T1768" s="0"/>
      <x:c r="U1768" s="0"/>
      <x:c r="V1768" s="0"/>
      <x:c r="W1768" s="0"/>
      <x:c r="X1768" t="str" s="2">
        <x:v>4058087984</x:v>
      </x:c>
      <x:c r="Y1768" t="str" s="2">
        <x:v>yardofthemonth1@gmail.com</x:v>
      </x:c>
      <x:c r="Z1768" s="6">
        <x:v>46293.83899440972</x:v>
      </x:c>
      <x:c r="AA1768" t="str" s="2">
        <x:v>Devon McCoy</x:v>
      </x:c>
      <x:c r="AB1768" s="6">
        <x:v>46293.83602045139</x:v>
      </x:c>
      <x:c r="AC1768" t="n" s="2">
        <x:v>40424</x:v>
      </x:c>
      <x:c r="AD1768" s="0"/>
      <x:c r="AE1768" s="0"/>
      <x:c r="AF1768" s="0"/>
      <x:c r="AG1768" s="0"/>
      <x:c r="AH1768" s="0"/>
      <x:c r="AI1768" s="0"/>
      <x:c r="AJ1768" s="0"/>
      <x:c r="AK1768" s="0"/>
    </x:row>
    <x:row r="1769">
      <x:c r="A1769" t="str" s="2">
        <x:f>=HYPERLINK("https://rsms.futurehomex.com/lead/40425", "Nazario Gerardo Lanverde Guerrero")</x:f>
      </x:c>
      <x:c r="B1769" t="n" s="2">
        <x:v>15</x:v>
      </x:c>
      <x:c r="C1769" t="str" s="2">
        <x:v>0/1</x:v>
      </x:c>
      <x:c r="D1769" t="str" s="2">
        <x:f>=""</x:f>
      </x:c>
      <x:c r="E1769" t="str" s="2">
        <x:v>Silvia Cassio Cossio</x:v>
      </x:c>
      <x:c r="F1769" t="str" s="2">
        <x:v>TikTok</x:v>
      </x:c>
      <x:c r="G1769" t="str" s="2">
        <x:v>Heritage Housing of Greenville</x:v>
      </x:c>
      <x:c r="H1769" t="str" s="2">
        <x:v>Oscar Osorio</x:v>
      </x:c>
      <x:c r="I1769" s="0"/>
      <x:c r="J1769" t="str" s="2">
        <x:v>Oscar Osorio</x:v>
      </x:c>
      <x:c r="K1769" t="n" s="2">
        <x:v>59</x:v>
      </x:c>
      <x:c r="L1769" t="str" s="2">
        <x:v>4.3</x:v>
      </x:c>
      <x:c r="M1769" t="str" s="2">
        <x:v>Active</x:v>
      </x:c>
      <x:c r="N1769" t="str" s="2">
        <x:v>Loan Approved</x:v>
      </x:c>
      <x:c r="O1769" s="6">
        <x:v>46326</x:v>
      </x:c>
      <x:c r="P1769" s="6">
        <x:v>46293</x:v>
      </x:c>
      <x:c r="Q1769" s="6">
        <x:v>46295.91109545139</x:v>
      </x:c>
      <x:c r="R1769" s="0"/>
      <x:c r="S1769" s="6">
        <x:v>46293</x:v>
      </x:c>
      <x:c r="T1769" s="6">
        <x:v>46293</x:v>
      </x:c>
      <x:c r="U1769" s="6">
        <x:v>46296</x:v>
      </x:c>
      <x:c r="V1769" s="6">
        <x:v>46296</x:v>
      </x:c>
      <x:c r="W1769" s="0"/>
      <x:c r="X1769" t="str" s="2">
        <x:v>2146698679</x:v>
      </x:c>
      <x:c r="Y1769" t="str" s="2">
        <x:v>landaverde072@gmail.com</x:v>
      </x:c>
      <x:c r="Z1769" s="6">
        <x:v>46296.60411068287</x:v>
      </x:c>
      <x:c r="AA1769" t="str" s="2">
        <x:v>Brandie Sartor</x:v>
      </x:c>
      <x:c r="AB1769" s="6">
        <x:v>46293.8772150463</x:v>
      </x:c>
      <x:c r="AC1769" t="n" s="2">
        <x:v>40425</x:v>
      </x:c>
      <x:c r="AD1769" t="str" s="2">
        <x:v>Doublewide</x:v>
      </x:c>
      <x:c r="AE1769" t="str" s="2">
        <x:v>Legacy Housing Corporation</x:v>
      </x:c>
      <x:c r="AF1769" s="7">
        <x:v>13100</x:v>
      </x:c>
      <x:c r="AG1769" s="7">
        <x:v>13000</x:v>
      </x:c>
      <x:c r="AH1769" s="0"/>
      <x:c r="AI1769" s="0"/>
      <x:c r="AJ1769" s="0"/>
      <x:c r="AK1769" s="0"/>
    </x:row>
    <x:row r="1770">
      <x:c r="A1770" t="str" s="2">
        <x:f>=HYPERLINK("https://rsms.futurehomex.com/lead/40426", "Ashley Foster")</x:f>
      </x:c>
      <x:c r="B1770" t="n" s="2">
        <x:v>15</x:v>
      </x:c>
      <x:c r="C1770" t="str" s="2">
        <x:v>0/3</x:v>
      </x:c>
      <x:c r="D1770" t="str" s="2">
        <x:f>=""</x:f>
      </x:c>
      <x:c r="E1770" s="0"/>
      <x:c r="F1770" t="str" s="2">
        <x:v>Facebook Messenger</x:v>
      </x:c>
      <x:c r="G1770" t="str" s="2">
        <x:v>Heritage Housing of Oklahoma City</x:v>
      </x:c>
      <x:c r="H1770" t="str" s="2">
        <x:v>Devon McCoy</x:v>
      </x:c>
      <x:c r="I1770" t="str" s="2">
        <x:v>Karol Romero</x:v>
      </x:c>
      <x:c r="J1770" t="str" s="2">
        <x:v>Devon McCoy</x:v>
      </x:c>
      <x:c r="K1770" t="n" s="2">
        <x:v>5</x:v>
      </x:c>
      <x:c r="L1770" t="str" s="2">
        <x:v>1.1</x:v>
      </x:c>
      <x:c r="M1770" t="str" s="2">
        <x:v>Tentative</x:v>
      </x:c>
      <x:c r="N1770" t="str" s="2">
        <x:v>Deal Created</x:v>
      </x:c>
      <x:c r="O1770" s="0"/>
      <x:c r="P1770" s="6">
        <x:v>46293</x:v>
      </x:c>
      <x:c r="Q1770" s="6">
        <x:v>46293.88353445602</x:v>
      </x:c>
      <x:c r="R1770" s="0"/>
      <x:c r="S1770" s="0"/>
      <x:c r="T1770" s="0"/>
      <x:c r="U1770" s="0"/>
      <x:c r="V1770" s="0"/>
      <x:c r="W1770" s="0"/>
      <x:c r="X1770" t="str" s="2">
        <x:v>5802843165</x:v>
      </x:c>
      <x:c r="Y1770" t="str" s="2">
        <x:v>5802843165</x:v>
      </x:c>
      <x:c r="Z1770" s="6">
        <x:v>46304.99302804398</x:v>
      </x:c>
      <x:c r="AA1770" t="str" s="2">
        <x:v>Devon McCoy</x:v>
      </x:c>
      <x:c r="AB1770" s="6">
        <x:v>46293.883536030095</x:v>
      </x:c>
      <x:c r="AC1770" t="n" s="2">
        <x:v>40426</x:v>
      </x:c>
      <x:c r="AD1770" s="0"/>
      <x:c r="AE1770" s="0"/>
      <x:c r="AF1770" s="0"/>
      <x:c r="AG1770" s="0"/>
      <x:c r="AH1770" s="0"/>
      <x:c r="AI1770" s="0"/>
      <x:c r="AJ1770" s="0"/>
      <x:c r="AK1770" s="0"/>
    </x:row>
    <x:row r="1771">
      <x:c r="A1771" t="str" s="2">
        <x:f>=HYPERLINK("https://rsms.futurehomex.com/lead/40427", "Robin Hughes")</x:f>
      </x:c>
      <x:c r="B1771" t="n" s="2">
        <x:v>15</x:v>
      </x:c>
      <x:c r="C1771" t="str" s="2">
        <x:v/>
      </x:c>
      <x:c r="D1771" t="str" s="2">
        <x:f>=""</x:f>
      </x:c>
      <x:c r="E1771" s="0"/>
      <x:c r="F1771" t="str" s="2">
        <x:v>Walk-in</x:v>
      </x:c>
      <x:c r="G1771" t="str" s="2">
        <x:v>Heritage Housing of Athens</x:v>
      </x:c>
      <x:c r="H1771" t="str" s="2">
        <x:v>Ethan Fossett</x:v>
      </x:c>
      <x:c r="I1771" s="0"/>
      <x:c r="J1771" t="str" s="2">
        <x:v>Ethan Fossett</x:v>
      </x:c>
      <x:c r="K1771" t="n" s="2">
        <x:v>38</x:v>
      </x:c>
      <x:c r="L1771" t="str" s="2">
        <x:v>3.2</x:v>
      </x:c>
      <x:c r="M1771" t="str" s="2">
        <x:v>Active</x:v>
      </x:c>
      <x:c r="N1771" t="str" s="2">
        <x:v>Application</x:v>
      </x:c>
      <x:c r="O1771" s="0"/>
      <x:c r="P1771" s="6">
        <x:v>46293</x:v>
      </x:c>
      <x:c r="Q1771" s="6">
        <x:v>46293.92260980324</x:v>
      </x:c>
      <x:c r="R1771" s="0"/>
      <x:c r="S1771" s="6">
        <x:v>46293</x:v>
      </x:c>
      <x:c r="T1771" s="0"/>
      <x:c r="U1771" s="0"/>
      <x:c r="V1771" s="0"/>
      <x:c r="W1771" s="0"/>
      <x:c r="X1771" t="str" s="2">
        <x:v>7703660523</x:v>
      </x:c>
      <x:c r="Y1771" t="str" s="2">
        <x:v>hughesgirls69@gmail.com</x:v>
      </x:c>
      <x:c r="Z1771" s="6">
        <x:v>46293.90631111111</x:v>
      </x:c>
      <x:c r="AA1771" t="str" s="2">
        <x:v>Dane Lara</x:v>
      </x:c>
      <x:c r="AB1771" s="6">
        <x:v>46293.88683912037</x:v>
      </x:c>
      <x:c r="AC1771" t="n" s="2">
        <x:v>40427</x:v>
      </x:c>
      <x:c r="AD1771" t="str" s="2">
        <x:v>Singlewide</x:v>
      </x:c>
      <x:c r="AE1771" t="str" s="2">
        <x:v>21st Mortgage Corporation</x:v>
      </x:c>
      <x:c r="AF1771" s="0"/>
      <x:c r="AG1771" s="7">
        <x:v>4000</x:v>
      </x:c>
      <x:c r="AH1771" s="0"/>
      <x:c r="AI1771" t="str" s="2">
        <x:v>604</x:v>
      </x:c>
      <x:c r="AJ1771" s="0"/>
      <x:c r="AK1771" s="0"/>
    </x:row>
    <x:row r="1772">
      <x:c r="A1772" t="str" s="2">
        <x:f>=HYPERLINK("https://rsms.futurehomex.com/lead/40428", "Tonya Brooks")</x:f>
      </x:c>
      <x:c r="B1772" t="n" s="2">
        <x:v>15</x:v>
      </x:c>
      <x:c r="C1772" t="str" s="2">
        <x:v/>
      </x:c>
      <x:c r="D1772" t="str" s="2">
        <x:f>=""</x:f>
      </x:c>
      <x:c r="E1772" s="0"/>
      <x:c r="F1772" t="str" s="2">
        <x:v>Walk-in</x:v>
      </x:c>
      <x:c r="G1772" t="str" s="2">
        <x:v>Heritage Housing of Asheboro</x:v>
      </x:c>
      <x:c r="H1772" t="str" s="2">
        <x:v>Maria Lopez</x:v>
      </x:c>
      <x:c r="I1772" s="0"/>
      <x:c r="J1772" s="0"/>
      <x:c r="K1772" t="n" s="2">
        <x:v>21</x:v>
      </x:c>
      <x:c r="L1772" t="str" s="2">
        <x:v>2.1</x:v>
      </x:c>
      <x:c r="M1772" t="str" s="2">
        <x:v>Tentative</x:v>
      </x:c>
      <x:c r="N1772" t="str" s="2">
        <x:v>Qualified</x:v>
      </x:c>
      <x:c r="O1772" s="0"/>
      <x:c r="P1772" s="6">
        <x:v>46293</x:v>
      </x:c>
      <x:c r="Q1772" s="6">
        <x:v>46293.901247256945</x:v>
      </x:c>
      <x:c r="R1772" s="0"/>
      <x:c r="S1772" s="0"/>
      <x:c r="T1772" s="0"/>
      <x:c r="U1772" s="0"/>
      <x:c r="V1772" s="0"/>
      <x:c r="W1772" s="0"/>
      <x:c r="X1772" t="str" s="2">
        <x:v>3369620208</x:v>
      </x:c>
      <x:c r="Y1772" t="str" s="2">
        <x:v>3369620208</x:v>
      </x:c>
      <x:c r="Z1772" s="6">
        <x:v>46293.91353920139</x:v>
      </x:c>
      <x:c r="AA1772" t="str" s="2">
        <x:v>Jeremy Jacques</x:v>
      </x:c>
      <x:c r="AB1772" s="6">
        <x:v>46293.901247835645</x:v>
      </x:c>
      <x:c r="AC1772" t="n" s="2">
        <x:v>40428</x:v>
      </x:c>
      <x:c r="AD1772" s="0"/>
      <x:c r="AE1772" s="0"/>
      <x:c r="AF1772" s="0"/>
      <x:c r="AG1772" s="0"/>
      <x:c r="AH1772" s="0"/>
      <x:c r="AI1772" s="0"/>
      <x:c r="AJ1772" s="0"/>
      <x:c r="AK1772" s="0"/>
    </x:row>
    <x:row r="1773">
      <x:c r="A1773" t="str" s="2">
        <x:f>=HYPERLINK("https://rsms.futurehomex.com/lead/40429", "Denverd Sams")</x:f>
      </x:c>
      <x:c r="B1773" t="n" s="2">
        <x:v>15</x:v>
      </x:c>
      <x:c r="C1773" t="str" s="2">
        <x:v>0/1</x:v>
      </x:c>
      <x:c r="D1773" t="str" s="2">
        <x:f>=""</x:f>
      </x:c>
      <x:c r="E1773" s="0"/>
      <x:c r="F1773" t="str" s="2">
        <x:v>Walk-in</x:v>
      </x:c>
      <x:c r="G1773" t="str" s="2">
        <x:v>Heritage Housing of Minden</x:v>
      </x:c>
      <x:c r="H1773" t="str" s="2">
        <x:v>Patrick Schuchart</x:v>
      </x:c>
      <x:c r="I1773" t="str" s="2">
        <x:v>Karol Romero</x:v>
      </x:c>
      <x:c r="J1773" t="str" s="2">
        <x:v>Patrick Schuchart</x:v>
      </x:c>
      <x:c r="K1773" t="n" s="2">
        <x:v>5</x:v>
      </x:c>
      <x:c r="L1773" t="str" s="2">
        <x:v>1.1</x:v>
      </x:c>
      <x:c r="M1773" t="str" s="2">
        <x:v>Tentative</x:v>
      </x:c>
      <x:c r="N1773" t="str" s="2">
        <x:v>Prospect</x:v>
      </x:c>
      <x:c r="O1773" s="0"/>
      <x:c r="P1773" s="6">
        <x:v>46293</x:v>
      </x:c>
      <x:c r="Q1773" s="6">
        <x:v>46294.909024155095</x:v>
      </x:c>
      <x:c r="R1773" t="str" s="2">
        <x:v>Patrick Schuchart</x:v>
      </x:c>
      <x:c r="S1773" s="0"/>
      <x:c r="T1773" s="0"/>
      <x:c r="U1773" s="0"/>
      <x:c r="V1773" s="0"/>
      <x:c r="W1773" s="0"/>
      <x:c r="X1773" t="str" s="2">
        <x:v>3183313568</x:v>
      </x:c>
      <x:c r="Y1773" t="str" s="2">
        <x:v>dsams@wnpd.la.gov</x:v>
      </x:c>
      <x:c r="Z1773" s="6">
        <x:v>46295.78973984954</x:v>
      </x:c>
      <x:c r="AA1773" t="str" s="2">
        <x:v>Kyla Brown</x:v>
      </x:c>
      <x:c r="AB1773" s="6">
        <x:v>46293.90515717593</x:v>
      </x:c>
      <x:c r="AC1773" t="n" s="2">
        <x:v>40429</x:v>
      </x:c>
      <x:c r="AD1773" s="0"/>
      <x:c r="AE1773" s="0"/>
      <x:c r="AF1773" s="0"/>
      <x:c r="AG1773" s="0"/>
      <x:c r="AH1773" s="0"/>
      <x:c r="AI1773" s="0"/>
      <x:c r="AJ1773" s="0"/>
      <x:c r="AK1773" s="0"/>
    </x:row>
    <x:row r="1774">
      <x:c r="A1774" t="str" s="2">
        <x:f>=HYPERLINK("https://rsms.futurehomex.com/lead/40430", "Chynna Smith")</x:f>
      </x:c>
      <x:c r="B1774" t="n" s="2">
        <x:v>15</x:v>
      </x:c>
      <x:c r="C1774" t="str" s="2">
        <x:v>1/3</x:v>
      </x:c>
      <x:c r="D1774" t="str" s="2">
        <x:f>=""</x:f>
      </x:c>
      <x:c r="E1774" s="0"/>
      <x:c r="F1774" t="str" s="2">
        <x:v>Facebook Messenger</x:v>
      </x:c>
      <x:c r="G1774" t="str" s="2">
        <x:v>Heritage Housing of Oklahoma City</x:v>
      </x:c>
      <x:c r="H1774" t="str" s="2">
        <x:v>Steve Castell</x:v>
      </x:c>
      <x:c r="I1774" s="0"/>
      <x:c r="J1774" t="str" s="2">
        <x:v>Steve Castell</x:v>
      </x:c>
      <x:c r="K1774" t="n" s="2">
        <x:v>5</x:v>
      </x:c>
      <x:c r="L1774" t="str" s="2">
        <x:v>1.1</x:v>
      </x:c>
      <x:c r="M1774" t="str" s="2">
        <x:v>Tentative</x:v>
      </x:c>
      <x:c r="N1774" t="str" s="2">
        <x:v>Deal Created</x:v>
      </x:c>
      <x:c r="O1774" s="0"/>
      <x:c r="P1774" s="6">
        <x:v>46293</x:v>
      </x:c>
      <x:c r="Q1774" s="6">
        <x:v>46293.92691797454</x:v>
      </x:c>
      <x:c r="R1774" s="0"/>
      <x:c r="S1774" s="0"/>
      <x:c r="T1774" s="0"/>
      <x:c r="U1774" s="0"/>
      <x:c r="V1774" s="0"/>
      <x:c r="W1774" s="0"/>
      <x:c r="X1774" t="str" s="2">
        <x:v>4055107417</x:v>
      </x:c>
      <x:c r="Y1774" t="str" s="2">
        <x:v>4055107417</x:v>
      </x:c>
      <x:c r="Z1774" s="6">
        <x:v>46304.040837650464</x:v>
      </x:c>
      <x:c r="AA1774" t="str" s="2">
        <x:v>Steve Castell</x:v>
      </x:c>
      <x:c r="AB1774" s="6">
        <x:v>46293.9269184375</x:v>
      </x:c>
      <x:c r="AC1774" t="n" s="2">
        <x:v>40430</x:v>
      </x:c>
      <x:c r="AD1774" s="0"/>
      <x:c r="AE1774" s="0"/>
      <x:c r="AF1774" s="0"/>
      <x:c r="AG1774" s="0"/>
      <x:c r="AH1774" s="0"/>
      <x:c r="AI1774" s="0"/>
      <x:c r="AJ1774" s="0"/>
      <x:c r="AK1774" s="0"/>
    </x:row>
    <x:row r="1775">
      <x:c r="A1775" t="str" s="2">
        <x:f>=HYPERLINK("https://rsms.futurehomex.com/lead/40431", "Anthony Yahola")</x:f>
      </x:c>
      <x:c r="B1775" t="n" s="2">
        <x:v>15</x:v>
      </x:c>
      <x:c r="C1775" t="str" s="2">
        <x:v>1/2</x:v>
      </x:c>
      <x:c r="D1775" t="str" s="2">
        <x:f>=""</x:f>
      </x:c>
      <x:c r="E1775" s="0"/>
      <x:c r="F1775" t="str" s="2">
        <x:v>Landing_BPM</x:v>
      </x:c>
      <x:c r="G1775" t="str" s="2">
        <x:v>Heritage Housing of Oklahoma City</x:v>
      </x:c>
      <x:c r="H1775" t="str" s="2">
        <x:v>Trey Rixleben</x:v>
      </x:c>
      <x:c r="I1775" s="0"/>
      <x:c r="J1775" t="str" s="2">
        <x:v>Trey Rixleben</x:v>
      </x:c>
      <x:c r="K1775" t="n" s="2">
        <x:v>5</x:v>
      </x:c>
      <x:c r="L1775" t="str" s="2">
        <x:v>1.1</x:v>
      </x:c>
      <x:c r="M1775" t="str" s="2">
        <x:v>Tentative</x:v>
      </x:c>
      <x:c r="N1775" t="str" s="2">
        <x:v>Deal Created</x:v>
      </x:c>
      <x:c r="O1775" s="0"/>
      <x:c r="P1775" s="6">
        <x:v>46293</x:v>
      </x:c>
      <x:c r="Q1775" s="6">
        <x:v>46297.683206747686</x:v>
      </x:c>
      <x:c r="R1775" s="0"/>
      <x:c r="S1775" s="0"/>
      <x:c r="T1775" s="0"/>
      <x:c r="U1775" s="0"/>
      <x:c r="V1775" s="0"/>
      <x:c r="W1775" s="0"/>
      <x:c r="X1775" t="str" s="2">
        <x:v>4056283583</x:v>
      </x:c>
      <x:c r="Y1775" t="str" s="2">
        <x:v>wotko045@gmail.com</x:v>
      </x:c>
      <x:c r="Z1775" s="6">
        <x:v>46297.68504193287</x:v>
      </x:c>
      <x:c r="AA1775" t="str" s="2">
        <x:v>Trey Rixleben</x:v>
      </x:c>
      <x:c r="AB1775" s="6">
        <x:v>46293.94547268518</x:v>
      </x:c>
      <x:c r="AC1775" t="n" s="2">
        <x:v>40431</x:v>
      </x:c>
      <x:c r="AD1775" s="0"/>
      <x:c r="AE1775" s="0"/>
      <x:c r="AF1775" s="0"/>
      <x:c r="AG1775" s="0"/>
      <x:c r="AH1775" s="0"/>
      <x:c r="AI1775" s="0"/>
      <x:c r="AJ1775" s="0"/>
      <x:c r="AK1775" s="0"/>
    </x:row>
    <x:row r="1776">
      <x:c r="A1776" t="str" s="2">
        <x:f>=HYPERLINK("https://rsms.futurehomex.com/lead/40432", "ROBERT GARVIN")</x:f>
      </x:c>
      <x:c r="B1776" t="n" s="2">
        <x:v>14</x:v>
      </x:c>
      <x:c r="C1776" t="str" s="2">
        <x:v/>
      </x:c>
      <x:c r="D1776" t="str" s="2">
        <x:f>=""</x:f>
      </x:c>
      <x:c r="E1776" s="0"/>
      <x:c r="F1776" t="str" s="2">
        <x:v>Walk-in</x:v>
      </x:c>
      <x:c r="G1776" t="str" s="2">
        <x:v>Heritage Housing of Augusta</x:v>
      </x:c>
      <x:c r="H1776" t="str" s="2">
        <x:v>Faye Lively</x:v>
      </x:c>
      <x:c r="I1776" s="0"/>
      <x:c r="J1776" t="str" s="2">
        <x:v>Jose Chavez</x:v>
      </x:c>
      <x:c r="K1776" t="n" s="2">
        <x:v>5</x:v>
      </x:c>
      <x:c r="L1776" t="str" s="2">
        <x:v>1.1</x:v>
      </x:c>
      <x:c r="M1776" t="str" s="2">
        <x:v>Dead</x:v>
      </x:c>
      <x:c r="N1776" t="str" s="2">
        <x:v>Prospect</x:v>
      </x:c>
      <x:c r="O1776" s="0"/>
      <x:c r="P1776" s="6">
        <x:v>46294</x:v>
      </x:c>
      <x:c r="Q1776" s="6">
        <x:v>46300.60932488426</x:v>
      </x:c>
      <x:c r="R1776" s="0"/>
      <x:c r="S1776" s="0"/>
      <x:c r="T1776" s="0"/>
      <x:c r="U1776" s="0"/>
      <x:c r="V1776" s="0"/>
      <x:c r="W1776" s="0"/>
      <x:c r="X1776" t="str" s="2">
        <x:v>8035080574</x:v>
      </x:c>
      <x:c r="Y1776" t="str" s="2">
        <x:v>GARVINROBERT37@GMAIL.COM</x:v>
      </x:c>
      <x:c r="Z1776" s="0"/>
      <x:c r="AA1776" s="0"/>
      <x:c r="AB1776" s="6">
        <x:v>46294.5497415162</x:v>
      </x:c>
      <x:c r="AC1776" t="n" s="2">
        <x:v>40432</x:v>
      </x:c>
      <x:c r="AD1776" s="0"/>
      <x:c r="AE1776" s="0"/>
      <x:c r="AF1776" s="0"/>
      <x:c r="AG1776" s="0"/>
      <x:c r="AH1776" s="0"/>
      <x:c r="AI1776" s="0"/>
      <x:c r="AJ1776" s="0"/>
      <x:c r="AK1776" s="0"/>
    </x:row>
    <x:row r="1777">
      <x:c r="A1777" t="str" s="2">
        <x:f>=HYPERLINK("https://rsms.futurehomex.com/lead/40433", "Darren Brown")</x:f>
      </x:c>
      <x:c r="B1777" t="n" s="2">
        <x:v>14</x:v>
      </x:c>
      <x:c r="C1777" t="str" s="2">
        <x:v>1/4</x:v>
      </x:c>
      <x:c r="D1777" t="str" s="2">
        <x:f>=""</x:f>
      </x:c>
      <x:c r="E1777" s="0"/>
      <x:c r="F1777" t="str" s="2">
        <x:v>Facebook Messenger</x:v>
      </x:c>
      <x:c r="G1777" t="str" s="2">
        <x:v>Heritage Housing of Oklahoma City</x:v>
      </x:c>
      <x:c r="H1777" t="str" s="2">
        <x:v>Alejandra Calderon</x:v>
      </x:c>
      <x:c r="I1777" t="str" s="2">
        <x:v>Karol Romero</x:v>
      </x:c>
      <x:c r="J1777" t="str" s="2">
        <x:v>Alejandra Calderon</x:v>
      </x:c>
      <x:c r="K1777" t="n" s="2">
        <x:v>5</x:v>
      </x:c>
      <x:c r="L1777" t="str" s="2">
        <x:v>1.1</x:v>
      </x:c>
      <x:c r="M1777" t="str" s="2">
        <x:v>Tentative</x:v>
      </x:c>
      <x:c r="N1777" t="str" s="2">
        <x:v>Deal Created</x:v>
      </x:c>
      <x:c r="O1777" s="0"/>
      <x:c r="P1777" s="6">
        <x:v>46294</x:v>
      </x:c>
      <x:c r="Q1777" s="6">
        <x:v>46297.925761493054</x:v>
      </x:c>
      <x:c r="R1777" s="0"/>
      <x:c r="S1777" s="0"/>
      <x:c r="T1777" s="0"/>
      <x:c r="U1777" s="0"/>
      <x:c r="V1777" s="0"/>
      <x:c r="W1777" s="0"/>
      <x:c r="X1777" t="str" s="2">
        <x:v>8136832574</x:v>
      </x:c>
      <x:c r="Y1777" t="str" s="2">
        <x:v>darrenbrown847@gmail.com</x:v>
      </x:c>
      <x:c r="Z1777" s="6">
        <x:v>46303.95802893519</x:v>
      </x:c>
      <x:c r="AA1777" t="str" s="2">
        <x:v>Alejandra Calderon</x:v>
      </x:c>
      <x:c r="AB1777" s="6">
        <x:v>46294.577044328704</x:v>
      </x:c>
      <x:c r="AC1777" t="n" s="2">
        <x:v>40433</x:v>
      </x:c>
      <x:c r="AD1777" s="0"/>
      <x:c r="AE1777" s="0"/>
      <x:c r="AF1777" s="0"/>
      <x:c r="AG1777" s="0"/>
      <x:c r="AH1777" s="0"/>
      <x:c r="AI1777" s="0"/>
      <x:c r="AJ1777" s="0"/>
      <x:c r="AK1777" s="0"/>
    </x:row>
    <x:row r="1778">
      <x:c r="A1778" t="str" s="2">
        <x:f>=HYPERLINK("https://rsms.futurehomex.com/lead/40434", "Shaniece Wright")</x:f>
      </x:c>
      <x:c r="B1778" t="n" s="2">
        <x:v>14</x:v>
      </x:c>
      <x:c r="C1778" t="str" s="2">
        <x:v>1/3</x:v>
      </x:c>
      <x:c r="D1778" t="str" s="2">
        <x:f>=""</x:f>
      </x:c>
      <x:c r="E1778" s="0"/>
      <x:c r="F1778" t="str" s="2">
        <x:v>Landing_BPM</x:v>
      </x:c>
      <x:c r="G1778" t="str" s="2">
        <x:v>Heritage Housing of Oklahoma City</x:v>
      </x:c>
      <x:c r="H1778" t="str" s="2">
        <x:v>Steve Castell</x:v>
      </x:c>
      <x:c r="I1778" s="0"/>
      <x:c r="J1778" t="str" s="2">
        <x:v>Steve Castell</x:v>
      </x:c>
      <x:c r="K1778" t="n" s="2">
        <x:v>5</x:v>
      </x:c>
      <x:c r="L1778" t="str" s="2">
        <x:v>1.1</x:v>
      </x:c>
      <x:c r="M1778" t="str" s="2">
        <x:v>Tentative</x:v>
      </x:c>
      <x:c r="N1778" t="str" s="2">
        <x:v>Deal Created</x:v>
      </x:c>
      <x:c r="O1778" s="0"/>
      <x:c r="P1778" s="6">
        <x:v>46294</x:v>
      </x:c>
      <x:c r="Q1778" s="6">
        <x:v>46294.59527025463</x:v>
      </x:c>
      <x:c r="R1778" s="0"/>
      <x:c r="S1778" s="0"/>
      <x:c r="T1778" s="0"/>
      <x:c r="U1778" s="0"/>
      <x:c r="V1778" s="0"/>
      <x:c r="W1778" s="0"/>
      <x:c r="X1778" t="str" s="2">
        <x:v>4058351327</x:v>
      </x:c>
      <x:c r="Y1778" t="str" s="2">
        <x:v>shaniece202020@gmail.com</x:v>
      </x:c>
      <x:c r="Z1778" s="6">
        <x:v>46302.07526651621</x:v>
      </x:c>
      <x:c r="AA1778" t="str" s="2">
        <x:v>Steve Castell</x:v>
      </x:c>
      <x:c r="AB1778" s="6">
        <x:v>46294.59527233796</x:v>
      </x:c>
      <x:c r="AC1778" t="n" s="2">
        <x:v>40434</x:v>
      </x:c>
      <x:c r="AD1778" s="0"/>
      <x:c r="AE1778" s="0"/>
      <x:c r="AF1778" s="0"/>
      <x:c r="AG1778" s="0"/>
      <x:c r="AH1778" s="0"/>
      <x:c r="AI1778" s="0"/>
      <x:c r="AJ1778" s="0"/>
      <x:c r="AK1778" s="0"/>
    </x:row>
    <x:row r="1779">
      <x:c r="A1779" t="str" s="2">
        <x:f>=HYPERLINK("https://rsms.futurehomex.com/lead/40435", "Clint Howard")</x:f>
      </x:c>
      <x:c r="B1779" t="n" s="2">
        <x:v>14</x:v>
      </x:c>
      <x:c r="C1779" t="str" s="2">
        <x:v/>
      </x:c>
      <x:c r="D1779" t="str" s="2">
        <x:f>=""</x:f>
      </x:c>
      <x:c r="E1779" s="0"/>
      <x:c r="F1779" t="str" s="2">
        <x:v>Website</x:v>
      </x:c>
      <x:c r="G1779" t="str" s="2">
        <x:v>Heritage Housing of Tulsa</x:v>
      </x:c>
      <x:c r="H1779" t="str" s="2">
        <x:v>Jenna Fransisco</x:v>
      </x:c>
      <x:c r="I1779" t="str" s="2">
        <x:v>Karol Romero</x:v>
      </x:c>
      <x:c r="J1779" t="str" s="2">
        <x:v>Jenna Fransisco</x:v>
      </x:c>
      <x:c r="K1779" t="n" s="2">
        <x:v>5</x:v>
      </x:c>
      <x:c r="L1779" t="str" s="2">
        <x:v>1.1</x:v>
      </x:c>
      <x:c r="M1779" t="str" s="2">
        <x:v>Tentative</x:v>
      </x:c>
      <x:c r="N1779" t="str" s="2">
        <x:v>Deal Created</x:v>
      </x:c>
      <x:c r="O1779" s="0"/>
      <x:c r="P1779" s="6">
        <x:v>46294</x:v>
      </x:c>
      <x:c r="Q1779" s="6">
        <x:v>46294.60855512731</x:v>
      </x:c>
      <x:c r="R1779" s="0"/>
      <x:c r="S1779" s="0"/>
      <x:c r="T1779" s="0"/>
      <x:c r="U1779" s="0"/>
      <x:c r="V1779" s="0"/>
      <x:c r="W1779" s="0"/>
      <x:c r="X1779" t="str" s="2">
        <x:v>9185279584</x:v>
      </x:c>
      <x:c r="Y1779" t="str" s="2">
        <x:v>clint@tulsafitnesssystems.com</x:v>
      </x:c>
      <x:c r="Z1779" s="0"/>
      <x:c r="AA1779" s="0"/>
      <x:c r="AB1779" s="6">
        <x:v>46294.6085565625</x:v>
      </x:c>
      <x:c r="AC1779" t="n" s="2">
        <x:v>40435</x:v>
      </x:c>
      <x:c r="AD1779" s="0"/>
      <x:c r="AE1779" s="0"/>
      <x:c r="AF1779" s="0"/>
      <x:c r="AG1779" s="0"/>
      <x:c r="AH1779" s="0"/>
      <x:c r="AI1779" s="0"/>
      <x:c r="AJ1779" s="0"/>
      <x:c r="AK1779" s="0"/>
    </x:row>
    <x:row r="1780">
      <x:c r="A1780" t="str" s="2">
        <x:f>=HYPERLINK("https://rsms.futurehomex.com/lead/40436", "Shae Taber")</x:f>
      </x:c>
      <x:c r="B1780" t="n" s="2">
        <x:v>14</x:v>
      </x:c>
      <x:c r="C1780" t="str" s="2">
        <x:v>0/12</x:v>
      </x:c>
      <x:c r="D1780" t="str" s="2">
        <x:f>=""</x:f>
      </x:c>
      <x:c r="E1780" s="0"/>
      <x:c r="F1780" t="str" s="2">
        <x:v>Landing_BPM</x:v>
      </x:c>
      <x:c r="G1780" t="str" s="2">
        <x:v>Heritage Housing of Oklahoma City</x:v>
      </x:c>
      <x:c r="H1780" t="str" s="2">
        <x:v>Devon McCoy</x:v>
      </x:c>
      <x:c r="I1780" s="0"/>
      <x:c r="J1780" t="str" s="2">
        <x:v>Devon McCoy</x:v>
      </x:c>
      <x:c r="K1780" t="n" s="2">
        <x:v>5</x:v>
      </x:c>
      <x:c r="L1780" t="str" s="2">
        <x:v>1.1</x:v>
      </x:c>
      <x:c r="M1780" t="str" s="2">
        <x:v>Tentative</x:v>
      </x:c>
      <x:c r="N1780" t="str" s="2">
        <x:v>Deal Created</x:v>
      </x:c>
      <x:c r="O1780" s="0"/>
      <x:c r="P1780" s="6">
        <x:v>46294</x:v>
      </x:c>
      <x:c r="Q1780" s="6">
        <x:v>46294.631103472224</x:v>
      </x:c>
      <x:c r="R1780" s="0"/>
      <x:c r="S1780" s="0"/>
      <x:c r="T1780" s="0"/>
      <x:c r="U1780" s="0"/>
      <x:c r="V1780" s="0"/>
      <x:c r="W1780" s="0"/>
      <x:c r="X1780" t="str" s="2">
        <x:v>4055662497</x:v>
      </x:c>
      <x:c r="Y1780" t="str" s="2">
        <x:v>shaetaber552@gmail.com</x:v>
      </x:c>
      <x:c r="Z1780" s="6">
        <x:v>46305.61690378472</x:v>
      </x:c>
      <x:c r="AA1780" t="str" s="2">
        <x:v>Devon McCoy</x:v>
      </x:c>
      <x:c r="AB1780" s="6">
        <x:v>46294.6234065625</x:v>
      </x:c>
      <x:c r="AC1780" t="n" s="2">
        <x:v>40436</x:v>
      </x:c>
      <x:c r="AD1780" s="0"/>
      <x:c r="AE1780" s="0"/>
      <x:c r="AF1780" s="0"/>
      <x:c r="AG1780" s="0"/>
      <x:c r="AH1780" s="0"/>
      <x:c r="AI1780" s="0"/>
      <x:c r="AJ1780" s="0"/>
      <x:c r="AK1780" s="0"/>
    </x:row>
    <x:row r="1781">
      <x:c r="A1781" t="str" s="2">
        <x:f>=HYPERLINK("https://rsms.futurehomex.com/lead/40437", "Taylor Wood")</x:f>
      </x:c>
      <x:c r="B1781" t="n" s="2">
        <x:v>14</x:v>
      </x:c>
      <x:c r="C1781" t="str" s="2">
        <x:v>0/12</x:v>
      </x:c>
      <x:c r="D1781" t="str" s="2">
        <x:f>=""</x:f>
      </x:c>
      <x:c r="E1781" s="0"/>
      <x:c r="F1781" t="str" s="2">
        <x:v>Landing_BPM</x:v>
      </x:c>
      <x:c r="G1781" t="str" s="2">
        <x:v>Heritage Housing of Oklahoma City</x:v>
      </x:c>
      <x:c r="H1781" t="str" s="2">
        <x:v>Devon McCoy</x:v>
      </x:c>
      <x:c r="I1781" s="0"/>
      <x:c r="J1781" t="str" s="2">
        <x:v>Devon McCoy</x:v>
      </x:c>
      <x:c r="K1781" t="n" s="2">
        <x:v>5</x:v>
      </x:c>
      <x:c r="L1781" t="str" s="2">
        <x:v>1.1</x:v>
      </x:c>
      <x:c r="M1781" t="str" s="2">
        <x:v>Tentative</x:v>
      </x:c>
      <x:c r="N1781" t="str" s="2">
        <x:v>Deal Created</x:v>
      </x:c>
      <x:c r="O1781" s="0"/>
      <x:c r="P1781" s="6">
        <x:v>46294</x:v>
      </x:c>
      <x:c r="Q1781" s="6">
        <x:v>46294.63137743055</x:v>
      </x:c>
      <x:c r="R1781" s="0"/>
      <x:c r="S1781" s="0"/>
      <x:c r="T1781" s="0"/>
      <x:c r="U1781" s="0"/>
      <x:c r="V1781" s="0"/>
      <x:c r="W1781" s="0"/>
      <x:c r="X1781" t="str" s="2">
        <x:v>8503561056</x:v>
      </x:c>
      <x:c r="Y1781" t="str" s="2">
        <x:v>tmwsirtay@gmail.com</x:v>
      </x:c>
      <x:c r="Z1781" s="6">
        <x:v>46304.638292627315</x:v>
      </x:c>
      <x:c r="AA1781" t="str" s="2">
        <x:v>Devon McCoy</x:v>
      </x:c>
      <x:c r="AB1781" s="6">
        <x:v>46294.62394907408</x:v>
      </x:c>
      <x:c r="AC1781" t="n" s="2">
        <x:v>40437</x:v>
      </x:c>
      <x:c r="AD1781" s="0"/>
      <x:c r="AE1781" s="0"/>
      <x:c r="AF1781" s="0"/>
      <x:c r="AG1781" s="0"/>
      <x:c r="AH1781" s="0"/>
      <x:c r="AI1781" s="0"/>
      <x:c r="AJ1781" s="0"/>
      <x:c r="AK1781" s="0"/>
    </x:row>
    <x:row r="1782">
      <x:c r="A1782" t="str" s="2">
        <x:f>=HYPERLINK("https://rsms.futurehomex.com/lead/40438", "Gwendolyn Tippett Tippett")</x:f>
      </x:c>
      <x:c r="B1782" t="n" s="2">
        <x:v>14</x:v>
      </x:c>
      <x:c r="C1782" t="str" s="2">
        <x:v>0/5</x:v>
      </x:c>
      <x:c r="D1782" t="str" s="2">
        <x:f>=""</x:f>
      </x:c>
      <x:c r="E1782" s="0"/>
      <x:c r="F1782" t="str" s="2">
        <x:v>Landing_BPM</x:v>
      </x:c>
      <x:c r="G1782" t="str" s="2">
        <x:v>Heritage Housing of Oklahoma City</x:v>
      </x:c>
      <x:c r="H1782" t="str" s="2">
        <x:v>Devon McCoy</x:v>
      </x:c>
      <x:c r="I1782" s="0"/>
      <x:c r="J1782" t="str" s="2">
        <x:v>Devon McCoy</x:v>
      </x:c>
      <x:c r="K1782" t="n" s="2">
        <x:v>5</x:v>
      </x:c>
      <x:c r="L1782" t="str" s="2">
        <x:v>1.1</x:v>
      </x:c>
      <x:c r="M1782" t="str" s="2">
        <x:v>Tentative</x:v>
      </x:c>
      <x:c r="N1782" t="str" s="2">
        <x:v>Deal Created</x:v>
      </x:c>
      <x:c r="O1782" s="0"/>
      <x:c r="P1782" s="6">
        <x:v>46294</x:v>
      </x:c>
      <x:c r="Q1782" s="6">
        <x:v>46294.63156134259</x:v>
      </x:c>
      <x:c r="R1782" s="0"/>
      <x:c r="S1782" s="0"/>
      <x:c r="T1782" s="0"/>
      <x:c r="U1782" s="0"/>
      <x:c r="V1782" s="0"/>
      <x:c r="W1782" s="0"/>
      <x:c r="X1782" t="str" s="2">
        <x:v>4057740886</x:v>
      </x:c>
      <x:c r="Y1782" t="str" s="2">
        <x:v>gktmwc77@gmail.com</x:v>
      </x:c>
      <x:c r="Z1782" s="6">
        <x:v>46304.63854409722</x:v>
      </x:c>
      <x:c r="AA1782" t="str" s="2">
        <x:v>Devon McCoy</x:v>
      </x:c>
      <x:c r="AB1782" s="6">
        <x:v>46294.62781207176</x:v>
      </x:c>
      <x:c r="AC1782" t="n" s="2">
        <x:v>40438</x:v>
      </x:c>
      <x:c r="AD1782" s="0"/>
      <x:c r="AE1782" s="0"/>
      <x:c r="AF1782" s="0"/>
      <x:c r="AG1782" s="0"/>
      <x:c r="AH1782" s="0"/>
      <x:c r="AI1782" s="0"/>
      <x:c r="AJ1782" s="0"/>
      <x:c r="AK1782" s="0"/>
    </x:row>
    <x:row r="1783">
      <x:c r="A1783" t="str" s="2">
        <x:f>=HYPERLINK("https://rsms.futurehomex.com/lead/40439", "Dulce Duarte")</x:f>
      </x:c>
      <x:c r="B1783" t="n" s="2">
        <x:v>14</x:v>
      </x:c>
      <x:c r="C1783" t="str" s="2">
        <x:v>0/1</x:v>
      </x:c>
      <x:c r="D1783" t="str" s="2">
        <x:f>=""</x:f>
      </x:c>
      <x:c r="E1783" s="0"/>
      <x:c r="F1783" t="str" s="2">
        <x:v>Referrals</x:v>
      </x:c>
      <x:c r="G1783" t="str" s="2">
        <x:v>Legacy Housing Corp. DBA Americasa</x:v>
      </x:c>
      <x:c r="H1783" t="str" s="2">
        <x:v>Angelica Mendoza </x:v>
      </x:c>
      <x:c r="I1783" t="str" s="2">
        <x:v>Karol Romero</x:v>
      </x:c>
      <x:c r="J1783" s="0"/>
      <x:c r="K1783" t="n" s="2">
        <x:v>5</x:v>
      </x:c>
      <x:c r="L1783" t="str" s="2">
        <x:v>1.1</x:v>
      </x:c>
      <x:c r="M1783" t="str" s="2">
        <x:v>Tentative</x:v>
      </x:c>
      <x:c r="N1783" t="str" s="2">
        <x:v>Prospect</x:v>
      </x:c>
      <x:c r="O1783" s="0"/>
      <x:c r="P1783" s="6">
        <x:v>46294</x:v>
      </x:c>
      <x:c r="Q1783" s="6">
        <x:v>46294.64459876157</x:v>
      </x:c>
      <x:c r="R1783" s="0"/>
      <x:c r="S1783" s="0"/>
      <x:c r="T1783" s="0"/>
      <x:c r="U1783" s="0"/>
      <x:c r="V1783" s="0"/>
      <x:c r="W1783" s="0"/>
      <x:c r="X1783" t="str" s="2">
        <x:v>8326708350</x:v>
      </x:c>
      <x:c r="Y1783" t="str" s="2">
        <x:v>8326708350</x:v>
      </x:c>
      <x:c r="Z1783" s="6">
        <x:v>46300.899353125</x:v>
      </x:c>
      <x:c r="AA1783" t="str" s="2">
        <x:v>Angelica Mendoza </x:v>
      </x:c>
      <x:c r="AB1783" s="6">
        <x:v>46294.64460042824</x:v>
      </x:c>
      <x:c r="AC1783" t="n" s="2">
        <x:v>40439</x:v>
      </x:c>
      <x:c r="AD1783" s="0"/>
      <x:c r="AE1783" s="0"/>
      <x:c r="AF1783" s="0"/>
      <x:c r="AG1783" s="0"/>
      <x:c r="AH1783" s="0"/>
      <x:c r="AI1783" s="0"/>
      <x:c r="AJ1783" s="0"/>
      <x:c r="AK1783" s="0"/>
    </x:row>
    <x:row r="1784">
      <x:c r="A1784" t="str" s="2">
        <x:f>=HYPERLINK("https://rsms.futurehomex.com/lead/40440", "Maria Garza")</x:f>
      </x:c>
      <x:c r="B1784" t="n" s="2">
        <x:v>14</x:v>
      </x:c>
      <x:c r="C1784" t="str" s="2">
        <x:v/>
      </x:c>
      <x:c r="D1784" t="str" s="2">
        <x:f>=""</x:f>
      </x:c>
      <x:c r="E1784" s="0"/>
      <x:c r="F1784" t="str" s="2">
        <x:v>Land Owner Campaign</x:v>
      </x:c>
      <x:c r="G1784" t="str" s="2">
        <x:v>Heritage Housing Marble Falls</x:v>
      </x:c>
      <x:c r="H1784" t="str" s="2">
        <x:v>Garrett Riedesel</x:v>
      </x:c>
      <x:c r="I1784" s="0"/>
      <x:c r="J1784" t="str" s="2">
        <x:v>Garrett Riedesel</x:v>
      </x:c>
      <x:c r="K1784" t="n" s="2">
        <x:v>21</x:v>
      </x:c>
      <x:c r="L1784" t="str" s="2">
        <x:v>2.1</x:v>
      </x:c>
      <x:c r="M1784" t="str" s="2">
        <x:v>Active</x:v>
      </x:c>
      <x:c r="N1784" t="str" s="2">
        <x:v>Qualified</x:v>
      </x:c>
      <x:c r="O1784" s="0"/>
      <x:c r="P1784" s="6">
        <x:v>46294</x:v>
      </x:c>
      <x:c r="Q1784" s="6">
        <x:v>46296.601840243056</x:v>
      </x:c>
      <x:c r="R1784" s="0"/>
      <x:c r="S1784" s="0"/>
      <x:c r="T1784" s="0"/>
      <x:c r="U1784" s="0"/>
      <x:c r="V1784" s="0"/>
      <x:c r="W1784" s="0"/>
      <x:c r="X1784" t="str" s="2">
        <x:v>+15127188868</x:v>
      </x:c>
      <x:c r="Y1784" t="str" s="2">
        <x:v>mariasjgarza@gmail.com</x:v>
      </x:c>
      <x:c r="Z1784" s="6">
        <x:v>46294.66512673611</x:v>
      </x:c>
      <x:c r="AA1784" t="str" s="2">
        <x:v>Stephen Sanders</x:v>
      </x:c>
      <x:c r="AB1784" s="6">
        <x:v>46294.64463811342</x:v>
      </x:c>
      <x:c r="AC1784" t="n" s="2">
        <x:v>40440</x:v>
      </x:c>
      <x:c r="AD1784" s="0"/>
      <x:c r="AE1784" s="0"/>
      <x:c r="AF1784" s="0"/>
      <x:c r="AG1784" s="7">
        <x:v>3000</x:v>
      </x:c>
      <x:c r="AH1784" s="0"/>
      <x:c r="AI1784" s="0"/>
      <x:c r="AJ1784" s="0"/>
      <x:c r="AK1784" s="0"/>
    </x:row>
    <x:row r="1785">
      <x:c r="A1785" t="str" s="2">
        <x:f>=HYPERLINK("https://rsms.futurehomex.com/lead/40442", "Pamela Cassidy")</x:f>
      </x:c>
      <x:c r="B1785" t="n" s="2">
        <x:v>14</x:v>
      </x:c>
      <x:c r="C1785" t="str" s="2">
        <x:v/>
      </x:c>
      <x:c r="D1785" t="str" s="2">
        <x:f>=""</x:f>
      </x:c>
      <x:c r="E1785" s="0"/>
      <x:c r="F1785" t="str" s="2">
        <x:v>Walk-in</x:v>
      </x:c>
      <x:c r="G1785" t="str" s="2">
        <x:v>Heritage Housing of Asheboro</x:v>
      </x:c>
      <x:c r="H1785" t="str" s="2">
        <x:v>Maria Lopez</x:v>
      </x:c>
      <x:c r="I1785" s="0"/>
      <x:c r="J1785" s="0"/>
      <x:c r="K1785" t="n" s="2">
        <x:v>34</x:v>
      </x:c>
      <x:c r="L1785" t="str" s="2">
        <x:v>2.4</x:v>
      </x:c>
      <x:c r="M1785" t="str" s="2">
        <x:v>Tentative</x:v>
      </x:c>
      <x:c r="N1785" t="str" s="2">
        <x:v>Deal approval</x:v>
      </x:c>
      <x:c r="O1785" s="0"/>
      <x:c r="P1785" s="6">
        <x:v>46294</x:v>
      </x:c>
      <x:c r="Q1785" s="6">
        <x:v>46294.73595474537</x:v>
      </x:c>
      <x:c r="R1785" s="0"/>
      <x:c r="S1785" s="6">
        <x:v>46294</x:v>
      </x:c>
      <x:c r="T1785" s="0"/>
      <x:c r="U1785" s="0"/>
      <x:c r="V1785" s="0"/>
      <x:c r="W1785" s="0"/>
      <x:c r="X1785" t="str" s="2">
        <x:v>7035826213</x:v>
      </x:c>
      <x:c r="Y1785" t="str" s="2">
        <x:v>pamelacassidy@myyahoo.com</x:v>
      </x:c>
      <x:c r="Z1785" s="6">
        <x:v>46294.715434375</x:v>
      </x:c>
      <x:c r="AA1785" t="str" s="2">
        <x:v>Jeremy Jacques</x:v>
      </x:c>
      <x:c r="AB1785" s="6">
        <x:v>46294.68127314815</x:v>
      </x:c>
      <x:c r="AC1785" t="n" s="2">
        <x:v>40442</x:v>
      </x:c>
      <x:c r="AD1785" t="str" s="2">
        <x:v>Singlewide</x:v>
      </x:c>
      <x:c r="AE1785" s="0"/>
      <x:c r="AF1785" s="0"/>
      <x:c r="AG1785" s="0"/>
      <x:c r="AH1785" s="0"/>
      <x:c r="AI1785" s="0"/>
      <x:c r="AJ1785" s="0"/>
      <x:c r="AK1785" s="0"/>
    </x:row>
    <x:row r="1786">
      <x:c r="A1786" t="str" s="2">
        <x:f>=HYPERLINK("https://rsms.futurehomex.com/lead/40444", "Amber Hawes")</x:f>
      </x:c>
      <x:c r="B1786" t="n" s="2">
        <x:v>14</x:v>
      </x:c>
      <x:c r="C1786" t="str" s="2">
        <x:v/>
      </x:c>
      <x:c r="D1786" t="str" s="2">
        <x:f>=""</x:f>
      </x:c>
      <x:c r="E1786" s="0"/>
      <x:c r="F1786" t="str" s="2">
        <x:v>Landing_BPM</x:v>
      </x:c>
      <x:c r="G1786" t="str" s="2">
        <x:v>Heritage Housing of Oklahoma City</x:v>
      </x:c>
      <x:c r="H1786" t="str" s="2">
        <x:v>Noemi Rojo</x:v>
      </x:c>
      <x:c r="I1786" s="0"/>
      <x:c r="J1786" t="str" s="2">
        <x:v>Noemi Rojo</x:v>
      </x:c>
      <x:c r="K1786" t="n" s="2">
        <x:v>5</x:v>
      </x:c>
      <x:c r="L1786" t="str" s="2">
        <x:v>1.1</x:v>
      </x:c>
      <x:c r="M1786" t="str" s="2">
        <x:v>Tentative</x:v>
      </x:c>
      <x:c r="N1786" t="str" s="2">
        <x:v>Deal Created</x:v>
      </x:c>
      <x:c r="O1786" s="0"/>
      <x:c r="P1786" s="6">
        <x:v>46294</x:v>
      </x:c>
      <x:c r="Q1786" s="6">
        <x:v>46294.694258564814</x:v>
      </x:c>
      <x:c r="R1786" s="0"/>
      <x:c r="S1786" s="0"/>
      <x:c r="T1786" s="0"/>
      <x:c r="U1786" s="0"/>
      <x:c r="V1786" s="0"/>
      <x:c r="W1786" s="0"/>
      <x:c r="X1786" t="str" s="2">
        <x:v>5413739596</x:v>
      </x:c>
      <x:c r="Y1786" t="str" s="2">
        <x:v>momcircus99@gmail.com</x:v>
      </x:c>
      <x:c r="Z1786" s="0"/>
      <x:c r="AA1786" s="0"/>
      <x:c r="AB1786" s="6">
        <x:v>46294.69389490741</x:v>
      </x:c>
      <x:c r="AC1786" t="n" s="2">
        <x:v>40444</x:v>
      </x:c>
      <x:c r="AD1786" s="0"/>
      <x:c r="AE1786" s="0"/>
      <x:c r="AF1786" s="0"/>
      <x:c r="AG1786" s="0"/>
      <x:c r="AH1786" s="0"/>
      <x:c r="AI1786" s="0"/>
      <x:c r="AJ1786" s="0"/>
      <x:c r="AK1786" s="0"/>
    </x:row>
    <x:row r="1787">
      <x:c r="A1787" t="str" s="2">
        <x:f>=HYPERLINK("https://rsms.futurehomex.com/lead/40445", "Gary &amp; Judy Williams")</x:f>
      </x:c>
      <x:c r="B1787" t="n" s="2">
        <x:v>14</x:v>
      </x:c>
      <x:c r="C1787" t="str" s="2">
        <x:v>1/3</x:v>
      </x:c>
      <x:c r="D1787" t="str" s="2">
        <x:f>=""</x:f>
      </x:c>
      <x:c r="E1787" s="0"/>
      <x:c r="F1787" t="str" s="2">
        <x:v>Facebook Messenger</x:v>
      </x:c>
      <x:c r="G1787" t="str" s="2">
        <x:v>Heritage Housing of Oklahoma City</x:v>
      </x:c>
      <x:c r="H1787" t="str" s="2">
        <x:v>Steve Castell</x:v>
      </x:c>
      <x:c r="I1787" s="0"/>
      <x:c r="J1787" t="str" s="2">
        <x:v>Steve Castell</x:v>
      </x:c>
      <x:c r="K1787" t="n" s="2">
        <x:v>5</x:v>
      </x:c>
      <x:c r="L1787" t="str" s="2">
        <x:v>1.1</x:v>
      </x:c>
      <x:c r="M1787" t="str" s="2">
        <x:v>Tentative</x:v>
      </x:c>
      <x:c r="N1787" t="str" s="2">
        <x:v>Deal Created</x:v>
      </x:c>
      <x:c r="O1787" s="0"/>
      <x:c r="P1787" s="6">
        <x:v>46294</x:v>
      </x:c>
      <x:c r="Q1787" s="6">
        <x:v>46294.6945877662</x:v>
      </x:c>
      <x:c r="R1787" s="0"/>
      <x:c r="S1787" s="0"/>
      <x:c r="T1787" s="0"/>
      <x:c r="U1787" s="0"/>
      <x:c r="V1787" s="0"/>
      <x:c r="W1787" s="0"/>
      <x:c r="X1787" t="str" s="2">
        <x:v>4792202759</x:v>
      </x:c>
      <x:c r="Y1787" t="str" s="2">
        <x:v>4792202759</x:v>
      </x:c>
      <x:c r="Z1787" s="6">
        <x:v>46305.829897222226</x:v>
      </x:c>
      <x:c r="AA1787" t="str" s="2">
        <x:v>Steve Castell</x:v>
      </x:c>
      <x:c r="AB1787" s="6">
        <x:v>46294.69458912037</x:v>
      </x:c>
      <x:c r="AC1787" t="n" s="2">
        <x:v>40445</x:v>
      </x:c>
      <x:c r="AD1787" s="0"/>
      <x:c r="AE1787" s="0"/>
      <x:c r="AF1787" s="0"/>
      <x:c r="AG1787" s="0"/>
      <x:c r="AH1787" s="0"/>
      <x:c r="AI1787" s="0"/>
      <x:c r="AJ1787" s="0"/>
      <x:c r="AK1787" s="0"/>
    </x:row>
    <x:row r="1788">
      <x:c r="A1788" t="str" s="2">
        <x:f>=HYPERLINK("https://rsms.futurehomex.com/lead/40446", "Robert Guzman")</x:f>
      </x:c>
      <x:c r="B1788" t="n" s="2">
        <x:v>14</x:v>
      </x:c>
      <x:c r="C1788" t="str" s="2">
        <x:v/>
      </x:c>
      <x:c r="D1788" t="str" s="2">
        <x:f>=""</x:f>
      </x:c>
      <x:c r="E1788" s="0"/>
      <x:c r="F1788" t="str" s="2">
        <x:v>Office Hot Calls</x:v>
      </x:c>
      <x:c r="G1788" t="str" s="2">
        <x:v>Heritage Housing Mt Pleasant</x:v>
      </x:c>
      <x:c r="H1788" t="str" s="2">
        <x:v>Yarelis Torres</x:v>
      </x:c>
      <x:c r="I1788" s="0"/>
      <x:c r="J1788" t="str" s="2">
        <x:v>Yarelis Torres</x:v>
      </x:c>
      <x:c r="K1788" t="n" s="2">
        <x:v>5</x:v>
      </x:c>
      <x:c r="L1788" t="str" s="2">
        <x:v>1.1</x:v>
      </x:c>
      <x:c r="M1788" t="str" s="2">
        <x:v>Tentative</x:v>
      </x:c>
      <x:c r="N1788" t="str" s="2">
        <x:v>Deal Created</x:v>
      </x:c>
      <x:c r="O1788" s="0"/>
      <x:c r="P1788" s="6">
        <x:v>46294</x:v>
      </x:c>
      <x:c r="Q1788" s="6">
        <x:v>46294.69951119213</x:v>
      </x:c>
      <x:c r="R1788" s="0"/>
      <x:c r="S1788" s="0"/>
      <x:c r="T1788" s="0"/>
      <x:c r="U1788" s="0"/>
      <x:c r="V1788" s="0"/>
      <x:c r="W1788" s="0"/>
      <x:c r="X1788" t="str" s="2">
        <x:v>5806120457</x:v>
      </x:c>
      <x:c r="Y1788" t="str" s="2">
        <x:v>5806120457</x:v>
      </x:c>
      <x:c r="Z1788" s="0"/>
      <x:c r="AA1788" s="0"/>
      <x:c r="AB1788" s="6">
        <x:v>46294.699512534724</x:v>
      </x:c>
      <x:c r="AC1788" t="n" s="2">
        <x:v>40446</x:v>
      </x:c>
      <x:c r="AD1788" s="0"/>
      <x:c r="AE1788" s="0"/>
      <x:c r="AF1788" s="0"/>
      <x:c r="AG1788" s="0"/>
      <x:c r="AH1788" s="0"/>
      <x:c r="AI1788" s="0"/>
      <x:c r="AJ1788" s="0"/>
      <x:c r="AK1788" s="0"/>
    </x:row>
    <x:row r="1789">
      <x:c r="A1789" t="str" s="2">
        <x:f>=HYPERLINK("https://rsms.futurehomex.com/lead/40447", "Alexis Moss-Assoumou")</x:f>
      </x:c>
      <x:c r="B1789" t="n" s="2">
        <x:v>14</x:v>
      </x:c>
      <x:c r="C1789" t="str" s="2">
        <x:v/>
      </x:c>
      <x:c r="D1789" t="str" s="2">
        <x:f>=""</x:f>
      </x:c>
      <x:c r="E1789" s="0"/>
      <x:c r="F1789" t="str" s="2">
        <x:v>Referrals</x:v>
      </x:c>
      <x:c r="G1789" t="str" s="2">
        <x:v>Heritage Housing of Augusta</x:v>
      </x:c>
      <x:c r="H1789" t="str" s="2">
        <x:v>Jennifer Johnson</x:v>
      </x:c>
      <x:c r="I1789" s="0"/>
      <x:c r="J1789" t="str" s="2">
        <x:v>Jennifer Johnson</x:v>
      </x:c>
      <x:c r="K1789" t="n" s="2">
        <x:v>5</x:v>
      </x:c>
      <x:c r="L1789" t="str" s="2">
        <x:v>1.1</x:v>
      </x:c>
      <x:c r="M1789" t="str" s="2">
        <x:v>Tentative</x:v>
      </x:c>
      <x:c r="N1789" t="str" s="2">
        <x:v>Deal Created</x:v>
      </x:c>
      <x:c r="O1789" s="0"/>
      <x:c r="P1789" s="6">
        <x:v>46294</x:v>
      </x:c>
      <x:c r="Q1789" s="6">
        <x:v>46295.62184513889</x:v>
      </x:c>
      <x:c r="R1789" s="0"/>
      <x:c r="S1789" s="0"/>
      <x:c r="T1789" s="0"/>
      <x:c r="U1789" s="0"/>
      <x:c r="V1789" s="0"/>
      <x:c r="W1789" s="0"/>
      <x:c r="X1789" t="str" s="2">
        <x:v>7063944086</x:v>
      </x:c>
      <x:c r="Y1789" t="str" s="2">
        <x:v>mosscarter09@gmail.com</x:v>
      </x:c>
      <x:c r="Z1789" s="6">
        <x:v>46297.59435925926</x:v>
      </x:c>
      <x:c r="AA1789" t="str" s="2">
        <x:v>Jennifer Johnson</x:v>
      </x:c>
      <x:c r="AB1789" s="6">
        <x:v>46294.701384375</x:v>
      </x:c>
      <x:c r="AC1789" t="n" s="2">
        <x:v>40447</x:v>
      </x:c>
      <x:c r="AD1789" s="0"/>
      <x:c r="AE1789" s="0"/>
      <x:c r="AF1789" s="0"/>
      <x:c r="AG1789" s="0"/>
      <x:c r="AH1789" s="0"/>
      <x:c r="AI1789" s="0"/>
      <x:c r="AJ1789" s="0"/>
      <x:c r="AK1789" s="0"/>
    </x:row>
    <x:row r="1790">
      <x:c r="A1790" t="str" s="2">
        <x:f>=HYPERLINK("https://rsms.futurehomex.com/lead/40448", "Test B Legacy")</x:f>
      </x:c>
      <x:c r="B1790" t="n" s="2">
        <x:v>14</x:v>
      </x:c>
      <x:c r="C1790" t="str" s="2">
        <x:v/>
      </x:c>
      <x:c r="D1790" t="str" s="2">
        <x:f>=""</x:f>
      </x:c>
      <x:c r="E1790" s="0"/>
      <x:c r="F1790" t="str" s="2">
        <x:v>Office Hot Calls</x:v>
      </x:c>
      <x:c r="G1790" t="str" s="2">
        <x:v>Heritage Housing Gainesville</x:v>
      </x:c>
      <x:c r="H1790" t="str" s="2">
        <x:v>Kelly Ford</x:v>
      </x:c>
      <x:c r="I1790" s="0"/>
      <x:c r="J1790" s="0"/>
      <x:c r="K1790" t="n" s="2">
        <x:v>5</x:v>
      </x:c>
      <x:c r="L1790" t="str" s="2">
        <x:v>1.1</x:v>
      </x:c>
      <x:c r="M1790" t="str" s="2">
        <x:v>Dead</x:v>
      </x:c>
      <x:c r="N1790" t="str" s="2">
        <x:v>Prospect</x:v>
      </x:c>
      <x:c r="O1790" s="0"/>
      <x:c r="P1790" s="6">
        <x:v>46294</x:v>
      </x:c>
      <x:c r="Q1790" s="6">
        <x:v>46294.70369934028</x:v>
      </x:c>
      <x:c r="R1790" s="0"/>
      <x:c r="S1790" s="0"/>
      <x:c r="T1790" s="0"/>
      <x:c r="U1790" s="0"/>
      <x:c r="V1790" s="0"/>
      <x:c r="W1790" s="0"/>
      <x:c r="X1790" t="str" s="2">
        <x:v>8178620587</x:v>
      </x:c>
      <x:c r="Y1790" t="str" s="2">
        <x:v>brad@housingcorp.com</x:v>
      </x:c>
      <x:c r="Z1790" s="0"/>
      <x:c r="AA1790" s="0"/>
      <x:c r="AB1790" s="6">
        <x:v>46294.703700659724</x:v>
      </x:c>
      <x:c r="AC1790" t="n" s="2">
        <x:v>40448</x:v>
      </x:c>
      <x:c r="AD1790" s="0"/>
      <x:c r="AE1790" s="0"/>
      <x:c r="AF1790" s="0"/>
      <x:c r="AG1790" s="0"/>
      <x:c r="AH1790" s="0"/>
      <x:c r="AI1790" s="0"/>
      <x:c r="AJ1790" s="0"/>
      <x:c r="AK1790" s="0"/>
    </x:row>
    <x:row r="1791">
      <x:c r="A1791" t="str" s="2">
        <x:f>=HYPERLINK("https://rsms.futurehomex.com/lead/40449", "Christian Sanders")</x:f>
      </x:c>
      <x:c r="B1791" t="n" s="2">
        <x:v>14</x:v>
      </x:c>
      <x:c r="C1791" t="str" s="2">
        <x:v>0/1</x:v>
      </x:c>
      <x:c r="D1791" t="str" s="2">
        <x:f>=""</x:f>
      </x:c>
      <x:c r="E1791" s="0"/>
      <x:c r="F1791" t="str" s="2">
        <x:v>Facebook Messenger</x:v>
      </x:c>
      <x:c r="G1791" t="str" s="2">
        <x:v>Heritage Housing of Oklahoma City</x:v>
      </x:c>
      <x:c r="H1791" t="str" s="2">
        <x:v>Devon McCoy</x:v>
      </x:c>
      <x:c r="I1791" t="str" s="2">
        <x:v>Karol Romero</x:v>
      </x:c>
      <x:c r="J1791" t="str" s="2">
        <x:v>Devon McCoy</x:v>
      </x:c>
      <x:c r="K1791" t="n" s="2">
        <x:v>5</x:v>
      </x:c>
      <x:c r="L1791" t="str" s="2">
        <x:v>1.1</x:v>
      </x:c>
      <x:c r="M1791" t="str" s="2">
        <x:v>Tentative</x:v>
      </x:c>
      <x:c r="N1791" t="str" s="2">
        <x:v>Deal Created</x:v>
      </x:c>
      <x:c r="O1791" s="0"/>
      <x:c r="P1791" s="6">
        <x:v>46294</x:v>
      </x:c>
      <x:c r="Q1791" s="6">
        <x:v>46294.70492959491</x:v>
      </x:c>
      <x:c r="R1791" s="0"/>
      <x:c r="S1791" s="0"/>
      <x:c r="T1791" s="0"/>
      <x:c r="U1791" s="0"/>
      <x:c r="V1791" s="0"/>
      <x:c r="W1791" s="0"/>
      <x:c r="X1791" t="str" s="2">
        <x:v>4062204212</x:v>
      </x:c>
      <x:c r="Y1791" t="str" s="2">
        <x:v>4062204212</x:v>
      </x:c>
      <x:c r="Z1791" s="6">
        <x:v>46298.89858920139</x:v>
      </x:c>
      <x:c r="AA1791" t="str" s="2">
        <x:v>Devon McCoy</x:v>
      </x:c>
      <x:c r="AB1791" s="6">
        <x:v>46294.70493090278</x:v>
      </x:c>
      <x:c r="AC1791" t="n" s="2">
        <x:v>40449</x:v>
      </x:c>
      <x:c r="AD1791" s="0"/>
      <x:c r="AE1791" s="0"/>
      <x:c r="AF1791" s="0"/>
      <x:c r="AG1791" s="0"/>
      <x:c r="AH1791" s="0"/>
      <x:c r="AI1791" s="0"/>
      <x:c r="AJ1791" s="0"/>
      <x:c r="AK1791" s="0"/>
    </x:row>
    <x:row r="1792">
      <x:c r="A1792" t="str" s="2">
        <x:f>=HYPERLINK("https://rsms.futurehomex.com/lead/40451", "Michael Long")</x:f>
      </x:c>
      <x:c r="B1792" t="n" s="2">
        <x:v>14</x:v>
      </x:c>
      <x:c r="C1792" t="str" s="2">
        <x:v/>
      </x:c>
      <x:c r="D1792" t="str" s="2">
        <x:f>=""</x:f>
      </x:c>
      <x:c r="E1792" s="0"/>
      <x:c r="F1792" t="str" s="2">
        <x:v>Other</x:v>
      </x:c>
      <x:c r="G1792" t="str" s="2">
        <x:v>Heritage Housing of Augusta</x:v>
      </x:c>
      <x:c r="H1792" t="str" s="2">
        <x:v>Jose Chavez</x:v>
      </x:c>
      <x:c r="I1792" s="0"/>
      <x:c r="J1792" t="str" s="2">
        <x:v>Jose Chavez</x:v>
      </x:c>
      <x:c r="K1792" t="n" s="2">
        <x:v>5</x:v>
      </x:c>
      <x:c r="L1792" t="str" s="2">
        <x:v>1.1</x:v>
      </x:c>
      <x:c r="M1792" t="str" s="2">
        <x:v>Tentative</x:v>
      </x:c>
      <x:c r="N1792" t="str" s="2">
        <x:v>Deal Created</x:v>
      </x:c>
      <x:c r="O1792" s="0"/>
      <x:c r="P1792" s="6">
        <x:v>46294</x:v>
      </x:c>
      <x:c r="Q1792" s="6">
        <x:v>46294.70988553241</x:v>
      </x:c>
      <x:c r="R1792" s="0"/>
      <x:c r="S1792" s="0"/>
      <x:c r="T1792" s="0"/>
      <x:c r="U1792" s="0"/>
      <x:c r="V1792" s="0"/>
      <x:c r="W1792" s="0"/>
      <x:c r="X1792" t="str" s="2">
        <x:v>2052341124</x:v>
      </x:c>
      <x:c r="Y1792" t="str" s="2">
        <x:v>mplong5664@gmail.com</x:v>
      </x:c>
      <x:c r="Z1792" s="0"/>
      <x:c r="AA1792" s="0"/>
      <x:c r="AB1792" s="6">
        <x:v>46295.63968125</x:v>
      </x:c>
      <x:c r="AC1792" t="n" s="2">
        <x:v>40451</x:v>
      </x:c>
      <x:c r="AD1792" s="0"/>
      <x:c r="AE1792" s="0"/>
      <x:c r="AF1792" s="0"/>
      <x:c r="AG1792" s="0"/>
      <x:c r="AH1792" s="0"/>
      <x:c r="AI1792" s="0"/>
      <x:c r="AJ1792" s="0"/>
      <x:c r="AK1792" s="0"/>
    </x:row>
    <x:row r="1793">
      <x:c r="A1793" t="str" s="2">
        <x:f>=HYPERLINK("https://rsms.futurehomex.com/lead/40452", "Katherine Murphy")</x:f>
      </x:c>
      <x:c r="B1793" t="n" s="2">
        <x:v>14</x:v>
      </x:c>
      <x:c r="C1793" t="str" s="2">
        <x:v>0/4</x:v>
      </x:c>
      <x:c r="D1793" t="str" s="2">
        <x:f>=""</x:f>
      </x:c>
      <x:c r="E1793" s="0"/>
      <x:c r="F1793" t="str" s="2">
        <x:v>Facebook Messenger</x:v>
      </x:c>
      <x:c r="G1793" t="str" s="2">
        <x:v>Heritage Housing of Albany</x:v>
      </x:c>
      <x:c r="H1793" t="str" s="2">
        <x:v>Justin Johnson</x:v>
      </x:c>
      <x:c r="I1793" s="0"/>
      <x:c r="J1793" t="str" s="2">
        <x:v>Justin Johnson</x:v>
      </x:c>
      <x:c r="K1793" t="n" s="2">
        <x:v>59</x:v>
      </x:c>
      <x:c r="L1793" t="str" s="2">
        <x:v>4.3</x:v>
      </x:c>
      <x:c r="M1793" t="str" s="2">
        <x:v>Active</x:v>
      </x:c>
      <x:c r="N1793" t="str" s="2">
        <x:v>Loan Approved</x:v>
      </x:c>
      <x:c r="O1793" s="6">
        <x:v>46323</x:v>
      </x:c>
      <x:c r="P1793" s="6">
        <x:v>46294</x:v>
      </x:c>
      <x:c r="Q1793" s="6">
        <x:v>46297.646930208335</x:v>
      </x:c>
      <x:c r="R1793" s="0"/>
      <x:c r="S1793" s="6">
        <x:v>46294</x:v>
      </x:c>
      <x:c r="T1793" s="6">
        <x:v>46294</x:v>
      </x:c>
      <x:c r="U1793" s="6">
        <x:v>46295</x:v>
      </x:c>
      <x:c r="V1793" s="6">
        <x:v>46304</x:v>
      </x:c>
      <x:c r="W1793" s="0"/>
      <x:c r="X1793" t="str" s="2">
        <x:v>4782129189</x:v>
      </x:c>
      <x:c r="Y1793" t="str" s="2">
        <x:v>katherine1996.brooklyn@gmail.com</x:v>
      </x:c>
      <x:c r="Z1793" s="6">
        <x:v>46301.69381269676</x:v>
      </x:c>
      <x:c r="AA1793" t="str" s="2">
        <x:v>Sarahi Vazquez</x:v>
      </x:c>
      <x:c r="AB1793" s="6">
        <x:v>46294.74291774305</x:v>
      </x:c>
      <x:c r="AC1793" t="n" s="2">
        <x:v>40452</x:v>
      </x:c>
      <x:c r="AD1793" t="str" s="2">
        <x:v>Doublewide</x:v>
      </x:c>
      <x:c r="AE1793" t="str" s="2">
        <x:v>Legacy Housing Corporation</x:v>
      </x:c>
      <x:c r="AF1793" s="0"/>
      <x:c r="AG1793" s="7">
        <x:v>11789.11</x:v>
      </x:c>
      <x:c r="AH1793" s="0"/>
      <x:c r="AI1793" t="str" s="2">
        <x:v>614</x:v>
      </x:c>
      <x:c r="AJ1793" s="0"/>
      <x:c r="AK1793" s="0"/>
    </x:row>
    <x:row r="1794">
      <x:c r="A1794" t="str" s="2">
        <x:f>=HYPERLINK("https://rsms.futurehomex.com/lead/40453", "Owen Mooney")</x:f>
      </x:c>
      <x:c r="B1794" t="n" s="2">
        <x:v>14</x:v>
      </x:c>
      <x:c r="C1794" t="str" s="2">
        <x:v/>
      </x:c>
      <x:c r="D1794" t="str" s="2">
        <x:f>=""</x:f>
      </x:c>
      <x:c r="E1794" s="0"/>
      <x:c r="F1794" t="str" s="2">
        <x:v>Walk-in</x:v>
      </x:c>
      <x:c r="G1794" t="str" s="2">
        <x:v>Heritage Housing of Tulsa</x:v>
      </x:c>
      <x:c r="H1794" t="str" s="2">
        <x:v>Jenna Fransisco</x:v>
      </x:c>
      <x:c r="I1794" s="0"/>
      <x:c r="J1794" s="0"/>
      <x:c r="K1794" t="n" s="2">
        <x:v>5</x:v>
      </x:c>
      <x:c r="L1794" t="str" s="2">
        <x:v>1.1</x:v>
      </x:c>
      <x:c r="M1794" t="str" s="2">
        <x:v>Tentative</x:v>
      </x:c>
      <x:c r="N1794" t="str" s="2">
        <x:v>Prospect</x:v>
      </x:c>
      <x:c r="O1794" s="0"/>
      <x:c r="P1794" s="6">
        <x:v>46294</x:v>
      </x:c>
      <x:c r="Q1794" s="6">
        <x:v>46294.794974537035</x:v>
      </x:c>
      <x:c r="R1794" s="0"/>
      <x:c r="S1794" s="0"/>
      <x:c r="T1794" s="0"/>
      <x:c r="U1794" s="0"/>
      <x:c r="V1794" s="0"/>
      <x:c r="W1794" s="0"/>
      <x:c r="X1794" t="str" s="2">
        <x:v>9187591553</x:v>
      </x:c>
      <x:c r="Y1794" t="str" s="2">
        <x:v>owen.mooney51615@icloud.com</x:v>
      </x:c>
      <x:c r="Z1794" s="0"/>
      <x:c r="AA1794" s="0"/>
      <x:c r="AB1794" s="6">
        <x:v>46294.79497519676</x:v>
      </x:c>
      <x:c r="AC1794" t="n" s="2">
        <x:v>40453</x:v>
      </x:c>
      <x:c r="AD1794" s="0"/>
      <x:c r="AE1794" s="0"/>
      <x:c r="AF1794" s="0"/>
      <x:c r="AG1794" s="0"/>
      <x:c r="AH1794" s="0"/>
      <x:c r="AI1794" s="0"/>
      <x:c r="AJ1794" s="0"/>
      <x:c r="AK1794" s="0"/>
    </x:row>
    <x:row r="1795">
      <x:c r="A1795" t="str" s="2">
        <x:f>=HYPERLINK("https://rsms.futurehomex.com/lead/40454", "Tommie Shelton")</x:f>
      </x:c>
      <x:c r="B1795" t="n" s="2">
        <x:v>14</x:v>
      </x:c>
      <x:c r="C1795" t="str" s="2">
        <x:v/>
      </x:c>
      <x:c r="D1795" t="str" s="2">
        <x:f>=""</x:f>
      </x:c>
      <x:c r="E1795" s="0"/>
      <x:c r="F1795" t="str" s="2">
        <x:v>Landing_BPM</x:v>
      </x:c>
      <x:c r="G1795" t="str" s="2">
        <x:v>Heritage Housing of Oklahoma City</x:v>
      </x:c>
      <x:c r="H1795" t="str" s="2">
        <x:v>Noemi Rojo</x:v>
      </x:c>
      <x:c r="I1795" s="0"/>
      <x:c r="J1795" t="str" s="2">
        <x:v>Noemi Rojo</x:v>
      </x:c>
      <x:c r="K1795" t="n" s="2">
        <x:v>5</x:v>
      </x:c>
      <x:c r="L1795" t="str" s="2">
        <x:v>1.1</x:v>
      </x:c>
      <x:c r="M1795" t="str" s="2">
        <x:v>Tentative</x:v>
      </x:c>
      <x:c r="N1795" t="str" s="2">
        <x:v>Deal Created</x:v>
      </x:c>
      <x:c r="O1795" s="0"/>
      <x:c r="P1795" s="6">
        <x:v>46294</x:v>
      </x:c>
      <x:c r="Q1795" s="6">
        <x:v>46294.82541230324</x:v>
      </x:c>
      <x:c r="R1795" s="0"/>
      <x:c r="S1795" s="0"/>
      <x:c r="T1795" s="0"/>
      <x:c r="U1795" s="0"/>
      <x:c r="V1795" s="0"/>
      <x:c r="W1795" s="0"/>
      <x:c r="X1795" t="str" s="2">
        <x:v>4052450626</x:v>
      </x:c>
      <x:c r="Y1795" t="str" s="2">
        <x:v>tommierae22@gmail.com</x:v>
      </x:c>
      <x:c r="Z1795" s="0"/>
      <x:c r="AA1795" s="0"/>
      <x:c r="AB1795" s="6">
        <x:v>46294.824935150464</x:v>
      </x:c>
      <x:c r="AC1795" t="n" s="2">
        <x:v>40454</x:v>
      </x:c>
      <x:c r="AD1795" s="0"/>
      <x:c r="AE1795" s="0"/>
      <x:c r="AF1795" s="0"/>
      <x:c r="AG1795" s="0"/>
      <x:c r="AH1795" s="0"/>
      <x:c r="AI1795" s="0"/>
      <x:c r="AJ1795" s="0"/>
      <x:c r="AK1795" s="0"/>
    </x:row>
    <x:row r="1796">
      <x:c r="A1796" t="str" s="2">
        <x:f>=HYPERLINK("https://rsms.futurehomex.com/lead/40455", "Lacy Savage")</x:f>
      </x:c>
      <x:c r="B1796" t="n" s="2">
        <x:v>14</x:v>
      </x:c>
      <x:c r="C1796" t="str" s="2">
        <x:v>1/1</x:v>
      </x:c>
      <x:c r="D1796" t="str" s="2">
        <x:f>=""</x:f>
      </x:c>
      <x:c r="E1796" s="0"/>
      <x:c r="F1796" t="str" s="2">
        <x:v>Youtube</x:v>
      </x:c>
      <x:c r="G1796" t="str" s="2">
        <x:v>Heritage Housing of Jennings</x:v>
      </x:c>
      <x:c r="H1796" t="str" s="2">
        <x:v>Clint O'Neal</x:v>
      </x:c>
      <x:c r="I1796" s="0"/>
      <x:c r="J1796" s="0"/>
      <x:c r="K1796" t="n" s="2">
        <x:v>5</x:v>
      </x:c>
      <x:c r="L1796" t="str" s="2">
        <x:v>1.1</x:v>
      </x:c>
      <x:c r="M1796" t="str" s="2">
        <x:v>Tentative</x:v>
      </x:c>
      <x:c r="N1796" t="str" s="2">
        <x:v>Deal Created</x:v>
      </x:c>
      <x:c r="O1796" s="0"/>
      <x:c r="P1796" s="6">
        <x:v>46294</x:v>
      </x:c>
      <x:c r="Q1796" s="6">
        <x:v>46294.86262233796</x:v>
      </x:c>
      <x:c r="R1796" s="0"/>
      <x:c r="S1796" s="0"/>
      <x:c r="T1796" s="0"/>
      <x:c r="U1796" s="0"/>
      <x:c r="V1796" s="0"/>
      <x:c r="W1796" s="0"/>
      <x:c r="X1796" t="str" s="2">
        <x:v>3187620223</x:v>
      </x:c>
      <x:c r="Y1796" t="str" s="2">
        <x:v>wickedtruth1985@gmail.com</x:v>
      </x:c>
      <x:c r="Z1796" s="6">
        <x:v>46294.86687939815</x:v>
      </x:c>
      <x:c r="AA1796" t="str" s="2">
        <x:v>Clint O'Neal</x:v>
      </x:c>
      <x:c r="AB1796" s="6">
        <x:v>46294.86262291667</x:v>
      </x:c>
      <x:c r="AC1796" t="n" s="2">
        <x:v>40455</x:v>
      </x:c>
      <x:c r="AD1796" s="0"/>
      <x:c r="AE1796" s="0"/>
      <x:c r="AF1796" s="0"/>
      <x:c r="AG1796" s="0"/>
      <x:c r="AH1796" s="0"/>
      <x:c r="AI1796" s="0"/>
      <x:c r="AJ1796" s="0"/>
      <x:c r="AK1796" s="0"/>
    </x:row>
    <x:row r="1797">
      <x:c r="A1797" t="str" s="2">
        <x:f>=HYPERLINK("https://rsms.futurehomex.com/lead/40457", "Julio De La Cruz Angel")</x:f>
      </x:c>
      <x:c r="B1797" t="n" s="2">
        <x:v>14</x:v>
      </x:c>
      <x:c r="C1797" t="str" s="2">
        <x:v>1/1</x:v>
      </x:c>
      <x:c r="D1797" t="str" s="2">
        <x:f>=""</x:f>
      </x:c>
      <x:c r="E1797" s="0"/>
      <x:c r="F1797" t="str" s="2">
        <x:v>Referrals</x:v>
      </x:c>
      <x:c r="G1797" t="str" s="2">
        <x:v>Legacy Housing Corp. DBA Americasa</x:v>
      </x:c>
      <x:c r="H1797" t="str" s="2">
        <x:v>Angelica Mendoza </x:v>
      </x:c>
      <x:c r="I1797" t="str" s="2">
        <x:v>Karol Romero</x:v>
      </x:c>
      <x:c r="J1797" s="0"/>
      <x:c r="K1797" t="n" s="2">
        <x:v>5</x:v>
      </x:c>
      <x:c r="L1797" t="str" s="2">
        <x:v>1.1</x:v>
      </x:c>
      <x:c r="M1797" t="str" s="2">
        <x:v>Tentative</x:v>
      </x:c>
      <x:c r="N1797" t="str" s="2">
        <x:v>Prospect</x:v>
      </x:c>
      <x:c r="O1797" s="0"/>
      <x:c r="P1797" s="6">
        <x:v>46294</x:v>
      </x:c>
      <x:c r="Q1797" s="6">
        <x:v>46294.89189841435</x:v>
      </x:c>
      <x:c r="R1797" s="0"/>
      <x:c r="S1797" s="0"/>
      <x:c r="T1797" s="0"/>
      <x:c r="U1797" s="0"/>
      <x:c r="V1797" s="0"/>
      <x:c r="W1797" s="0"/>
      <x:c r="X1797" t="str" s="2">
        <x:v>8329604330</x:v>
      </x:c>
      <x:c r="Y1797" t="str" s="2">
        <x:v>julioernesto1919@gmail.com</x:v>
      </x:c>
      <x:c r="Z1797" s="6">
        <x:v>46305.88159290509</x:v>
      </x:c>
      <x:c r="AA1797" t="str" s="2">
        <x:v>Angelica Mendoza </x:v>
      </x:c>
      <x:c r="AB1797" s="6">
        <x:v>46294.8918996875</x:v>
      </x:c>
      <x:c r="AC1797" t="n" s="2">
        <x:v>40457</x:v>
      </x:c>
      <x:c r="AD1797" s="0"/>
      <x:c r="AE1797" s="0"/>
      <x:c r="AF1797" s="0"/>
      <x:c r="AG1797" s="0"/>
      <x:c r="AH1797" s="0"/>
      <x:c r="AI1797" s="0"/>
      <x:c r="AJ1797" s="0"/>
      <x:c r="AK1797" s="0"/>
    </x:row>
    <x:row r="1798">
      <x:c r="A1798" t="str" s="2">
        <x:f>=HYPERLINK("https://rsms.futurehomex.com/lead/40459", "Keezia BoClair BoClair")</x:f>
      </x:c>
      <x:c r="B1798" t="n" s="2">
        <x:v>14</x:v>
      </x:c>
      <x:c r="C1798" t="str" s="2">
        <x:v>1/2</x:v>
      </x:c>
      <x:c r="D1798" t="str" s="2">
        <x:f>=""</x:f>
      </x:c>
      <x:c r="E1798" s="0"/>
      <x:c r="F1798" t="str" s="2">
        <x:v>Landing_BPM</x:v>
      </x:c>
      <x:c r="G1798" t="str" s="2">
        <x:v>Heritage Housing of Oklahoma City</x:v>
      </x:c>
      <x:c r="H1798" t="str" s="2">
        <x:v>Steve Castell</x:v>
      </x:c>
      <x:c r="I1798" s="0"/>
      <x:c r="J1798" t="str" s="2">
        <x:v>Steve Castell</x:v>
      </x:c>
      <x:c r="K1798" t="n" s="2">
        <x:v>5</x:v>
      </x:c>
      <x:c r="L1798" t="str" s="2">
        <x:v>1.1</x:v>
      </x:c>
      <x:c r="M1798" t="str" s="2">
        <x:v>Tentative</x:v>
      </x:c>
      <x:c r="N1798" t="str" s="2">
        <x:v>Deal Created</x:v>
      </x:c>
      <x:c r="O1798" s="0"/>
      <x:c r="P1798" s="6">
        <x:v>46294</x:v>
      </x:c>
      <x:c r="Q1798" s="6">
        <x:v>46294.93367114583</x:v>
      </x:c>
      <x:c r="R1798" s="0"/>
      <x:c r="S1798" s="0"/>
      <x:c r="T1798" s="0"/>
      <x:c r="U1798" s="0"/>
      <x:c r="V1798" s="0"/>
      <x:c r="W1798" s="0"/>
      <x:c r="X1798" t="str" s="2">
        <x:v>3168163674</x:v>
      </x:c>
      <x:c r="Y1798" t="str" s="2">
        <x:v>kboclair@yahoo.com</x:v>
      </x:c>
      <x:c r="Z1798" s="6">
        <x:v>46302.076974537034</x:v>
      </x:c>
      <x:c r="AA1798" t="str" s="2">
        <x:v>Steve Castell</x:v>
      </x:c>
      <x:c r="AB1798" s="6">
        <x:v>46294.93367164352</x:v>
      </x:c>
      <x:c r="AC1798" t="n" s="2">
        <x:v>40459</x:v>
      </x:c>
      <x:c r="AD1798" s="0"/>
      <x:c r="AE1798" s="0"/>
      <x:c r="AF1798" s="0"/>
      <x:c r="AG1798" s="0"/>
      <x:c r="AH1798" s="0"/>
      <x:c r="AI1798" s="0"/>
      <x:c r="AJ1798" s="0"/>
      <x:c r="AK1798" s="0"/>
    </x:row>
    <x:row r="1799">
      <x:c r="A1799" t="str" s="2">
        <x:f>=HYPERLINK("https://rsms.futurehomex.com/lead/40460", "Alaina del Rosario")</x:f>
      </x:c>
      <x:c r="B1799" t="n" s="2">
        <x:v>14</x:v>
      </x:c>
      <x:c r="C1799" t="str" s="2">
        <x:v>1/4</x:v>
      </x:c>
      <x:c r="D1799" t="str" s="2">
        <x:f>=""</x:f>
      </x:c>
      <x:c r="E1799" s="0"/>
      <x:c r="F1799" t="str" s="2">
        <x:v>Landing_BPM</x:v>
      </x:c>
      <x:c r="G1799" t="str" s="2">
        <x:v>Heritage Housing of Oklahoma City</x:v>
      </x:c>
      <x:c r="H1799" t="str" s="2">
        <x:v>Alejandra Calderon</x:v>
      </x:c>
      <x:c r="I1799" s="0"/>
      <x:c r="J1799" t="str" s="2">
        <x:v>Alejandra Calderon</x:v>
      </x:c>
      <x:c r="K1799" t="n" s="2">
        <x:v>5</x:v>
      </x:c>
      <x:c r="L1799" t="str" s="2">
        <x:v>1.1</x:v>
      </x:c>
      <x:c r="M1799" t="str" s="2">
        <x:v>Tentative</x:v>
      </x:c>
      <x:c r="N1799" t="str" s="2">
        <x:v>Deal Created</x:v>
      </x:c>
      <x:c r="O1799" s="0"/>
      <x:c r="P1799" s="6">
        <x:v>46294</x:v>
      </x:c>
      <x:c r="Q1799" s="6">
        <x:v>46302.955552893516</x:v>
      </x:c>
      <x:c r="R1799" s="0"/>
      <x:c r="S1799" s="0"/>
      <x:c r="T1799" s="0"/>
      <x:c r="U1799" s="0"/>
      <x:c r="V1799" s="0"/>
      <x:c r="W1799" s="0"/>
      <x:c r="X1799" t="str" s="2">
        <x:v>4056841804</x:v>
      </x:c>
      <x:c r="Y1799" t="str" s="2">
        <x:v>animalsrmyheart@gmail.com</x:v>
      </x:c>
      <x:c r="Z1799" s="6">
        <x:v>46302.9557409375</x:v>
      </x:c>
      <x:c r="AA1799" t="str" s="2">
        <x:v>Alejandra Calderon</x:v>
      </x:c>
      <x:c r="AB1799" s="6">
        <x:v>46294.9359840625</x:v>
      </x:c>
      <x:c r="AC1799" t="n" s="2">
        <x:v>40460</x:v>
      </x:c>
      <x:c r="AD1799" s="0"/>
      <x:c r="AE1799" s="0"/>
      <x:c r="AF1799" s="0"/>
      <x:c r="AG1799" s="0"/>
      <x:c r="AH1799" s="0"/>
      <x:c r="AI1799" s="0"/>
      <x:c r="AJ1799" s="0"/>
      <x:c r="AK1799" s="0"/>
    </x:row>
    <x:row r="1800">
      <x:c r="A1800" t="str" s="2">
        <x:f>=HYPERLINK("https://rsms.futurehomex.com/lead/40461", "SHARON TURROBIARTES")</x:f>
      </x:c>
      <x:c r="B1800" t="n" s="2">
        <x:v>14</x:v>
      </x:c>
      <x:c r="C1800" t="str" s="2">
        <x:v>0/3</x:v>
      </x:c>
      <x:c r="D1800" t="str" s="2">
        <x:f>=""</x:f>
      </x:c>
      <x:c r="E1800" s="0"/>
      <x:c r="F1800" t="str" s="2">
        <x:v>LandingPage</x:v>
      </x:c>
      <x:c r="G1800" t="str" s="2">
        <x:v>Heritage Housing of Oklahoma City</x:v>
      </x:c>
      <x:c r="H1800" t="str" s="2">
        <x:v>Alejandra Calderon</x:v>
      </x:c>
      <x:c r="I1800" s="0"/>
      <x:c r="J1800" t="str" s="2">
        <x:v>Alejandra Calderon</x:v>
      </x:c>
      <x:c r="K1800" t="n" s="2">
        <x:v>5</x:v>
      </x:c>
      <x:c r="L1800" t="str" s="2">
        <x:v>1.1</x:v>
      </x:c>
      <x:c r="M1800" t="str" s="2">
        <x:v>Dead</x:v>
      </x:c>
      <x:c r="N1800" t="str" s="2">
        <x:v>Deal Created</x:v>
      </x:c>
      <x:c r="O1800" s="0"/>
      <x:c r="P1800" s="6">
        <x:v>46294</x:v>
      </x:c>
      <x:c r="Q1800" s="6">
        <x:v>46294.93980130787</x:v>
      </x:c>
      <x:c r="R1800" s="0"/>
      <x:c r="S1800" s="0"/>
      <x:c r="T1800" s="0"/>
      <x:c r="U1800" s="0"/>
      <x:c r="V1800" s="0"/>
      <x:c r="W1800" s="0"/>
      <x:c r="X1800" t="str" s="2">
        <x:v>5802510415</x:v>
      </x:c>
      <x:c r="Y1800" t="str" s="2">
        <x:v>sharonrt2002@yahoo.com</x:v>
      </x:c>
      <x:c r="Z1800" s="6">
        <x:v>46301.99493572917</x:v>
      </x:c>
      <x:c r="AA1800" t="str" s="2">
        <x:v>Alejandra Calderon</x:v>
      </x:c>
      <x:c r="AB1800" s="6">
        <x:v>46294.9389446412</x:v>
      </x:c>
      <x:c r="AC1800" t="n" s="2">
        <x:v>40461</x:v>
      </x:c>
      <x:c r="AD1800" s="0"/>
      <x:c r="AE1800" s="0"/>
      <x:c r="AF1800" s="0"/>
      <x:c r="AG1800" s="0"/>
      <x:c r="AH1800" s="0"/>
      <x:c r="AI1800" s="0"/>
      <x:c r="AJ1800" s="0"/>
      <x:c r="AK1800" s="0"/>
    </x:row>
    <x:row r="1801">
      <x:c r="A1801" t="str" s="2">
        <x:f>=HYPERLINK("https://rsms.futurehomex.com/lead/40462", "Edith England")</x:f>
      </x:c>
      <x:c r="B1801" t="n" s="2">
        <x:v>14</x:v>
      </x:c>
      <x:c r="C1801" t="str" s="2">
        <x:v>1/5</x:v>
      </x:c>
      <x:c r="D1801" t="str" s="2">
        <x:f>=""</x:f>
      </x:c>
      <x:c r="E1801" s="0"/>
      <x:c r="F1801" t="str" s="2">
        <x:v>Landing_BPM</x:v>
      </x:c>
      <x:c r="G1801" t="str" s="2">
        <x:v>Heritage Housing of Oklahoma City</x:v>
      </x:c>
      <x:c r="H1801" t="str" s="2">
        <x:v>Alejandra Calderon</x:v>
      </x:c>
      <x:c r="I1801" s="0"/>
      <x:c r="J1801" t="str" s="2">
        <x:v>Alejandra Calderon</x:v>
      </x:c>
      <x:c r="K1801" t="n" s="2">
        <x:v>5</x:v>
      </x:c>
      <x:c r="L1801" t="str" s="2">
        <x:v>1.1</x:v>
      </x:c>
      <x:c r="M1801" t="str" s="2">
        <x:v>Tentative</x:v>
      </x:c>
      <x:c r="N1801" t="str" s="2">
        <x:v>Deal Created</x:v>
      </x:c>
      <x:c r="O1801" s="0"/>
      <x:c r="P1801" s="6">
        <x:v>46294</x:v>
      </x:c>
      <x:c r="Q1801" s="6">
        <x:v>46294.94124366898</x:v>
      </x:c>
      <x:c r="R1801" s="0"/>
      <x:c r="S1801" s="0"/>
      <x:c r="T1801" s="0"/>
      <x:c r="U1801" s="0"/>
      <x:c r="V1801" s="0"/>
      <x:c r="W1801" s="0"/>
      <x:c r="X1801" t="str" s="2">
        <x:v>4056179698</x:v>
      </x:c>
      <x:c r="Y1801" t="str" s="2">
        <x:v>englandedith41@gmail.com</x:v>
      </x:c>
      <x:c r="Z1801" s="6">
        <x:v>46305.747254594906</x:v>
      </x:c>
      <x:c r="AA1801" t="str" s="2">
        <x:v>Alejandra Calderon</x:v>
      </x:c>
      <x:c r="AB1801" s="6">
        <x:v>46294.94038128472</x:v>
      </x:c>
      <x:c r="AC1801" t="n" s="2">
        <x:v>40462</x:v>
      </x:c>
      <x:c r="AD1801" s="0"/>
      <x:c r="AE1801" s="0"/>
      <x:c r="AF1801" s="0"/>
      <x:c r="AG1801" s="0"/>
      <x:c r="AH1801" s="0"/>
      <x:c r="AI1801" s="0"/>
      <x:c r="AJ1801" s="0"/>
      <x:c r="AK1801" s="0"/>
    </x:row>
    <x:row r="1802">
      <x:c r="A1802" t="str" s="2">
        <x:f>=HYPERLINK("https://rsms.futurehomex.com/lead/40463", "Bobby Ellison")</x:f>
      </x:c>
      <x:c r="B1802" t="n" s="2">
        <x:v>14</x:v>
      </x:c>
      <x:c r="C1802" t="str" s="2">
        <x:v/>
      </x:c>
      <x:c r="D1802" t="str" s="2">
        <x:f>=""</x:f>
      </x:c>
      <x:c r="E1802" s="0"/>
      <x:c r="F1802" t="str" s="2">
        <x:v>Walk-in</x:v>
      </x:c>
      <x:c r="G1802" t="str" s="2">
        <x:v>Heritage Housing of Albany</x:v>
      </x:c>
      <x:c r="H1802" t="str" s="2">
        <x:v>Yanet Alvarez</x:v>
      </x:c>
      <x:c r="I1802" s="0"/>
      <x:c r="J1802" s="0"/>
      <x:c r="K1802" t="n" s="2">
        <x:v>5</x:v>
      </x:c>
      <x:c r="L1802" t="str" s="2">
        <x:v>1.1</x:v>
      </x:c>
      <x:c r="M1802" t="str" s="2">
        <x:v>Tentative</x:v>
      </x:c>
      <x:c r="N1802" t="str" s="2">
        <x:v>Prospect</x:v>
      </x:c>
      <x:c r="O1802" s="0"/>
      <x:c r="P1802" s="6">
        <x:v>46294</x:v>
      </x:c>
      <x:c r="Q1802" s="6">
        <x:v>46294.94930940972</x:v>
      </x:c>
      <x:c r="R1802" s="0"/>
      <x:c r="S1802" s="0"/>
      <x:c r="T1802" s="0"/>
      <x:c r="U1802" s="0"/>
      <x:c r="V1802" s="0"/>
      <x:c r="W1802" s="0"/>
      <x:c r="X1802" t="str" s="2">
        <x:v>2296039493</x:v>
      </x:c>
      <x:c r="Y1802" t="str" s="2">
        <x:v>bobbyellison@gmail.com</x:v>
      </x:c>
      <x:c r="Z1802" s="0"/>
      <x:c r="AA1802" s="0"/>
      <x:c r="AB1802" s="6">
        <x:v>46294.94930987268</x:v>
      </x:c>
      <x:c r="AC1802" t="n" s="2">
        <x:v>40463</x:v>
      </x:c>
      <x:c r="AD1802" s="0"/>
      <x:c r="AE1802" s="0"/>
      <x:c r="AF1802" s="0"/>
      <x:c r="AG1802" s="0"/>
      <x:c r="AH1802" s="0"/>
      <x:c r="AI1802" s="0"/>
      <x:c r="AJ1802" s="0"/>
      <x:c r="AK1802" s="0"/>
    </x:row>
    <x:row r="1803">
      <x:c r="A1803" t="str" s="2">
        <x:f>=HYPERLINK("https://rsms.futurehomex.com/lead/40464", "Pamela Slacks Slacks")</x:f>
      </x:c>
      <x:c r="B1803" t="n" s="2">
        <x:v>14</x:v>
      </x:c>
      <x:c r="C1803" t="str" s="2">
        <x:v/>
      </x:c>
      <x:c r="D1803" t="str" s="2">
        <x:f>=""</x:f>
      </x:c>
      <x:c r="E1803" s="0"/>
      <x:c r="F1803" t="str" s="2">
        <x:v>Walk-in</x:v>
      </x:c>
      <x:c r="G1803" t="str" s="2">
        <x:v>Heritage Housing of Albany</x:v>
      </x:c>
      <x:c r="H1803" t="str" s="2">
        <x:v>Yanet Alvarez</x:v>
      </x:c>
      <x:c r="I1803" s="0"/>
      <x:c r="J1803" s="0"/>
      <x:c r="K1803" t="n" s="2">
        <x:v>5</x:v>
      </x:c>
      <x:c r="L1803" t="str" s="2">
        <x:v>1.1</x:v>
      </x:c>
      <x:c r="M1803" t="str" s="2">
        <x:v>Tentative</x:v>
      </x:c>
      <x:c r="N1803" t="str" s="2">
        <x:v>Prospect</x:v>
      </x:c>
      <x:c r="O1803" s="0"/>
      <x:c r="P1803" s="6">
        <x:v>46294</x:v>
      </x:c>
      <x:c r="Q1803" s="6">
        <x:v>46294.94944675926</x:v>
      </x:c>
      <x:c r="R1803" s="0"/>
      <x:c r="S1803" s="0"/>
      <x:c r="T1803" s="0"/>
      <x:c r="U1803" s="0"/>
      <x:c r="V1803" s="0"/>
      <x:c r="W1803" s="0"/>
      <x:c r="X1803" t="str" s="2">
        <x:v>2294576651</x:v>
      </x:c>
      <x:c r="Y1803" t="str" s="2">
        <x:v>ptslacks_1988@aol.com</x:v>
      </x:c>
      <x:c r="Z1803" s="0"/>
      <x:c r="AA1803" s="0"/>
      <x:c r="AB1803" s="6">
        <x:v>46294.9494471875</x:v>
      </x:c>
      <x:c r="AC1803" t="n" s="2">
        <x:v>40464</x:v>
      </x:c>
      <x:c r="AD1803" s="0"/>
      <x:c r="AE1803" s="0"/>
      <x:c r="AF1803" s="0"/>
      <x:c r="AG1803" s="0"/>
      <x:c r="AH1803" s="0"/>
      <x:c r="AI1803" s="0"/>
      <x:c r="AJ1803" s="0"/>
      <x:c r="AK1803" s="0"/>
    </x:row>
    <x:row r="1804">
      <x:c r="A1804" t="str" s="2">
        <x:f>=HYPERLINK("https://rsms.futurehomex.com/lead/40466", "Terry Allen")</x:f>
      </x:c>
      <x:c r="B1804" t="n" s="2">
        <x:v>13</x:v>
      </x:c>
      <x:c r="C1804" t="str" s="2">
        <x:v/>
      </x:c>
      <x:c r="D1804" t="str" s="2">
        <x:f>=""</x:f>
      </x:c>
      <x:c r="E1804" s="0"/>
      <x:c r="F1804" t="str" s="2">
        <x:v>Walk-in</x:v>
      </x:c>
      <x:c r="G1804" t="str" s="2">
        <x:v>Heritage Housing of Athens</x:v>
      </x:c>
      <x:c r="H1804" t="str" s="2">
        <x:v>Ethan Fossett</x:v>
      </x:c>
      <x:c r="I1804" s="0"/>
      <x:c r="J1804" s="0"/>
      <x:c r="K1804" t="n" s="2">
        <x:v>5</x:v>
      </x:c>
      <x:c r="L1804" t="str" s="2">
        <x:v>1.1</x:v>
      </x:c>
      <x:c r="M1804" t="str" s="2">
        <x:v>Tentative</x:v>
      </x:c>
      <x:c r="N1804" t="str" s="2">
        <x:v>Prospect</x:v>
      </x:c>
      <x:c r="O1804" s="0"/>
      <x:c r="P1804" s="6">
        <x:v>46295</x:v>
      </x:c>
      <x:c r="Q1804" s="6">
        <x:v>46295.57532048611</x:v>
      </x:c>
      <x:c r="R1804" s="0"/>
      <x:c r="S1804" s="0"/>
      <x:c r="T1804" s="0"/>
      <x:c r="U1804" s="0"/>
      <x:c r="V1804" s="0"/>
      <x:c r="W1804" s="0"/>
      <x:c r="X1804" t="str" s="2">
        <x:v>7063385534</x:v>
      </x:c>
      <x:c r="Y1804" t="str" s="2">
        <x:v>na@email.com</x:v>
      </x:c>
      <x:c r="Z1804" s="0"/>
      <x:c r="AA1804" s="0"/>
      <x:c r="AB1804" s="6">
        <x:v>46295.57532103009</x:v>
      </x:c>
      <x:c r="AC1804" t="n" s="2">
        <x:v>40466</x:v>
      </x:c>
      <x:c r="AD1804" s="0"/>
      <x:c r="AE1804" s="0"/>
      <x:c r="AF1804" s="0"/>
      <x:c r="AG1804" s="0"/>
      <x:c r="AH1804" s="0"/>
      <x:c r="AI1804" s="0"/>
      <x:c r="AJ1804" s="0"/>
      <x:c r="AK1804" s="0"/>
    </x:row>
    <x:row r="1805">
      <x:c r="A1805" t="str" s="2">
        <x:f>=HYPERLINK("https://rsms.futurehomex.com/lead/40468", "Chris Cox")</x:f>
      </x:c>
      <x:c r="B1805" t="n" s="2">
        <x:v>13</x:v>
      </x:c>
      <x:c r="C1805" t="str" s="2">
        <x:v>1/1</x:v>
      </x:c>
      <x:c r="D1805" t="str" s="2">
        <x:f>=""</x:f>
      </x:c>
      <x:c r="E1805" s="0"/>
      <x:c r="F1805" t="str" s="2">
        <x:v>Financing Form</x:v>
      </x:c>
      <x:c r="G1805" t="str" s="2">
        <x:v>Heritage Housing of Oklahoma City</x:v>
      </x:c>
      <x:c r="H1805" t="str" s="2">
        <x:v>Trey Rixleben</x:v>
      </x:c>
      <x:c r="I1805" s="0"/>
      <x:c r="J1805" t="str" s="2">
        <x:v>Trey Rixleben</x:v>
      </x:c>
      <x:c r="K1805" t="n" s="2">
        <x:v>5</x:v>
      </x:c>
      <x:c r="L1805" t="str" s="2">
        <x:v>1.1</x:v>
      </x:c>
      <x:c r="M1805" t="str" s="2">
        <x:v>Tentative</x:v>
      </x:c>
      <x:c r="N1805" t="str" s="2">
        <x:v>Deal Created</x:v>
      </x:c>
      <x:c r="O1805" s="0"/>
      <x:c r="P1805" s="6">
        <x:v>46295</x:v>
      </x:c>
      <x:c r="Q1805" s="6">
        <x:v>46295.59707600695</x:v>
      </x:c>
      <x:c r="R1805" s="0"/>
      <x:c r="S1805" s="0"/>
      <x:c r="T1805" s="0"/>
      <x:c r="U1805" s="0"/>
      <x:c r="V1805" s="0"/>
      <x:c r="W1805" s="0"/>
      <x:c r="X1805" t="str" s="2">
        <x:v>4195038465</x:v>
      </x:c>
      <x:c r="Y1805" t="str" s="2">
        <x:v>Chriscox081182@iCloud.com</x:v>
      </x:c>
      <x:c r="Z1805" s="6">
        <x:v>46295.606249965276</x:v>
      </x:c>
      <x:c r="AA1805" t="str" s="2">
        <x:v>Trey Rixleben</x:v>
      </x:c>
      <x:c r="AB1805" s="6">
        <x:v>46295.59685258102</x:v>
      </x:c>
      <x:c r="AC1805" t="n" s="2">
        <x:v>40468</x:v>
      </x:c>
      <x:c r="AD1805" s="0"/>
      <x:c r="AE1805" s="0"/>
      <x:c r="AF1805" s="0"/>
      <x:c r="AG1805" s="0"/>
      <x:c r="AH1805" s="0"/>
      <x:c r="AI1805" s="0"/>
      <x:c r="AJ1805" s="0"/>
      <x:c r="AK1805" s="0"/>
    </x:row>
    <x:row r="1806">
      <x:c r="A1806" t="str" s="2">
        <x:f>=HYPERLINK("https://rsms.futurehomex.com/lead/40469", "Lynda Landreth")</x:f>
      </x:c>
      <x:c r="B1806" t="n" s="2">
        <x:v>13</x:v>
      </x:c>
      <x:c r="C1806" t="str" s="2">
        <x:v>1/1</x:v>
      </x:c>
      <x:c r="D1806" t="str" s="2">
        <x:f>=""</x:f>
      </x:c>
      <x:c r="E1806" s="0"/>
      <x:c r="F1806" t="str" s="2">
        <x:v>Landing_BPM</x:v>
      </x:c>
      <x:c r="G1806" t="str" s="2">
        <x:v>Heritage Housing of Oklahoma City</x:v>
      </x:c>
      <x:c r="H1806" t="str" s="2">
        <x:v>Trey Rixleben</x:v>
      </x:c>
      <x:c r="I1806" s="0"/>
      <x:c r="J1806" t="str" s="2">
        <x:v>Trey Rixleben</x:v>
      </x:c>
      <x:c r="K1806" t="n" s="2">
        <x:v>5</x:v>
      </x:c>
      <x:c r="L1806" t="str" s="2">
        <x:v>1.1</x:v>
      </x:c>
      <x:c r="M1806" t="str" s="2">
        <x:v>Tentative</x:v>
      </x:c>
      <x:c r="N1806" t="str" s="2">
        <x:v>Deal Created</x:v>
      </x:c>
      <x:c r="O1806" s="0"/>
      <x:c r="P1806" s="6">
        <x:v>46295</x:v>
      </x:c>
      <x:c r="Q1806" s="6">
        <x:v>46308.70631944444</x:v>
      </x:c>
      <x:c r="R1806" s="0"/>
      <x:c r="S1806" s="0"/>
      <x:c r="T1806" s="0"/>
      <x:c r="U1806" s="0"/>
      <x:c r="V1806" s="0"/>
      <x:c r="W1806" s="0"/>
      <x:c r="X1806" t="str" s="2">
        <x:v>4055204624</x:v>
      </x:c>
      <x:c r="Y1806" t="str" s="2">
        <x:v>lyndalandreth6971@gmail.com</x:v>
      </x:c>
      <x:c r="Z1806" s="6">
        <x:v>46295.61045767361</x:v>
      </x:c>
      <x:c r="AA1806" t="str" s="2">
        <x:v>Trey Rixleben</x:v>
      </x:c>
      <x:c r="AB1806" s="6">
        <x:v>46295.60779371528</x:v>
      </x:c>
      <x:c r="AC1806" t="n" s="2">
        <x:v>40469</x:v>
      </x:c>
      <x:c r="AD1806" s="0"/>
      <x:c r="AE1806" s="0"/>
      <x:c r="AF1806" s="0"/>
      <x:c r="AG1806" s="0"/>
      <x:c r="AH1806" s="0"/>
      <x:c r="AI1806" s="0"/>
      <x:c r="AJ1806" s="0"/>
      <x:c r="AK1806" s="0"/>
    </x:row>
    <x:row r="1807">
      <x:c r="A1807" t="str" s="2">
        <x:f>=HYPERLINK("https://rsms.futurehomex.com/lead/40470", "Sid Pavatt")</x:f>
      </x:c>
      <x:c r="B1807" t="n" s="2">
        <x:v>13</x:v>
      </x:c>
      <x:c r="C1807" t="str" s="2">
        <x:v/>
      </x:c>
      <x:c r="D1807" t="str" s="2">
        <x:f>=""</x:f>
      </x:c>
      <x:c r="E1807" s="0"/>
      <x:c r="F1807" t="str" s="2">
        <x:v>Walk-in</x:v>
      </x:c>
      <x:c r="G1807" t="str" s="2">
        <x:v>Heritage Housing of Tulsa</x:v>
      </x:c>
      <x:c r="H1807" t="str" s="2">
        <x:v>Jenna Fransisco</x:v>
      </x:c>
      <x:c r="I1807" s="0"/>
      <x:c r="J1807" s="0"/>
      <x:c r="K1807" t="n" s="2">
        <x:v>5</x:v>
      </x:c>
      <x:c r="L1807" t="str" s="2">
        <x:v>1.1</x:v>
      </x:c>
      <x:c r="M1807" t="str" s="2">
        <x:v>Tentative</x:v>
      </x:c>
      <x:c r="N1807" t="str" s="2">
        <x:v>Prospect</x:v>
      </x:c>
      <x:c r="O1807" s="0"/>
      <x:c r="P1807" s="6">
        <x:v>46295</x:v>
      </x:c>
      <x:c r="Q1807" s="6">
        <x:v>46295.61336516204</x:v>
      </x:c>
      <x:c r="R1807" s="0"/>
      <x:c r="S1807" s="0"/>
      <x:c r="T1807" s="0"/>
      <x:c r="U1807" s="0"/>
      <x:c r="V1807" s="0"/>
      <x:c r="W1807" s="0"/>
      <x:c r="X1807" t="str" s="2">
        <x:v>9182641903</x:v>
      </x:c>
      <x:c r="Y1807" t="str" s="2">
        <x:v>nono@no.com</x:v>
      </x:c>
      <x:c r="Z1807" s="0"/>
      <x:c r="AA1807" s="0"/>
      <x:c r="AB1807" s="6">
        <x:v>46295.61336559028</x:v>
      </x:c>
      <x:c r="AC1807" t="n" s="2">
        <x:v>40470</x:v>
      </x:c>
      <x:c r="AD1807" s="0"/>
      <x:c r="AE1807" s="0"/>
      <x:c r="AF1807" s="0"/>
      <x:c r="AG1807" s="0"/>
      <x:c r="AH1807" s="0"/>
      <x:c r="AI1807" s="0"/>
      <x:c r="AJ1807" s="0"/>
      <x:c r="AK1807" s="0"/>
    </x:row>
    <x:row r="1808">
      <x:c r="A1808" t="str" s="2">
        <x:f>=HYPERLINK("https://rsms.futurehomex.com/lead/40471", "Debra Thurman")</x:f>
      </x:c>
      <x:c r="B1808" t="n" s="2">
        <x:v>13</x:v>
      </x:c>
      <x:c r="C1808" t="str" s="2">
        <x:v>0/2</x:v>
      </x:c>
      <x:c r="D1808" t="str" s="2">
        <x:f>=""</x:f>
      </x:c>
      <x:c r="E1808" s="0"/>
      <x:c r="F1808" t="str" s="2">
        <x:v>Landing_BPM</x:v>
      </x:c>
      <x:c r="G1808" t="str" s="2">
        <x:v>Heritage Housing of Oklahoma City</x:v>
      </x:c>
      <x:c r="H1808" t="str" s="2">
        <x:v>Alejandra Calderon</x:v>
      </x:c>
      <x:c r="I1808" s="0"/>
      <x:c r="J1808" t="str" s="2">
        <x:v>Alejandra Calderon</x:v>
      </x:c>
      <x:c r="K1808" t="n" s="2">
        <x:v>5</x:v>
      </x:c>
      <x:c r="L1808" t="str" s="2">
        <x:v>1.1</x:v>
      </x:c>
      <x:c r="M1808" t="str" s="2">
        <x:v>Inactive</x:v>
      </x:c>
      <x:c r="N1808" t="str" s="2">
        <x:v>Deal Created</x:v>
      </x:c>
      <x:c r="O1808" s="0"/>
      <x:c r="P1808" s="6">
        <x:v>46295</x:v>
      </x:c>
      <x:c r="Q1808" s="6">
        <x:v>46295.6280221412</x:v>
      </x:c>
      <x:c r="R1808" s="0"/>
      <x:c r="S1808" s="0"/>
      <x:c r="T1808" s="0"/>
      <x:c r="U1808" s="0"/>
      <x:c r="V1808" s="0"/>
      <x:c r="W1808" s="0"/>
      <x:c r="X1808" t="str" s="2">
        <x:v>5803751231</x:v>
      </x:c>
      <x:c r="Y1808" t="str" s="2">
        <x:v>bedalynn89@gmail.com</x:v>
      </x:c>
      <x:c r="Z1808" s="6">
        <x:v>46297.91974158565</x:v>
      </x:c>
      <x:c r="AA1808" t="str" s="2">
        <x:v>Alejandra Calderon</x:v>
      </x:c>
      <x:c r="AB1808" s="6">
        <x:v>46295.627763344906</x:v>
      </x:c>
      <x:c r="AC1808" t="n" s="2">
        <x:v>40471</x:v>
      </x:c>
      <x:c r="AD1808" s="0"/>
      <x:c r="AE1808" s="0"/>
      <x:c r="AF1808" s="0"/>
      <x:c r="AG1808" s="0"/>
      <x:c r="AH1808" s="0"/>
      <x:c r="AI1808" s="0"/>
      <x:c r="AJ1808" s="0"/>
      <x:c r="AK1808" s="0"/>
    </x:row>
    <x:row r="1809">
      <x:c r="A1809" t="str" s="2">
        <x:f>=HYPERLINK("https://rsms.futurehomex.com/lead/40473", "Terry L Stephens")</x:f>
      </x:c>
      <x:c r="B1809" t="n" s="2">
        <x:v>13</x:v>
      </x:c>
      <x:c r="C1809" t="str" s="2">
        <x:v>0/1</x:v>
      </x:c>
      <x:c r="D1809" t="str" s="2">
        <x:f>=""</x:f>
      </x:c>
      <x:c r="E1809" s="0"/>
      <x:c r="F1809" t="str" s="2">
        <x:v>Walk-in</x:v>
      </x:c>
      <x:c r="G1809" t="str" s="2">
        <x:v>Heritage Housing of Jennings</x:v>
      </x:c>
      <x:c r="H1809" t="str" s="2">
        <x:v>Clint O'Neal</x:v>
      </x:c>
      <x:c r="I1809" s="0"/>
      <x:c r="J1809" s="0"/>
      <x:c r="K1809" t="n" s="2">
        <x:v>59</x:v>
      </x:c>
      <x:c r="L1809" t="str" s="2">
        <x:v>4.3</x:v>
      </x:c>
      <x:c r="M1809" t="str" s="2">
        <x:v>Dead</x:v>
      </x:c>
      <x:c r="N1809" t="str" s="2">
        <x:v>Loan Approved</x:v>
      </x:c>
      <x:c r="O1809" s="6">
        <x:v>46356</x:v>
      </x:c>
      <x:c r="P1809" s="6">
        <x:v>46295</x:v>
      </x:c>
      <x:c r="Q1809" s="6">
        <x:v>46295.85771917824</x:v>
      </x:c>
      <x:c r="R1809" s="0"/>
      <x:c r="S1809" s="6">
        <x:v>46295</x:v>
      </x:c>
      <x:c r="T1809" s="6">
        <x:v>46295</x:v>
      </x:c>
      <x:c r="U1809" s="6">
        <x:v>46295</x:v>
      </x:c>
      <x:c r="V1809" s="6">
        <x:v>46298</x:v>
      </x:c>
      <x:c r="W1809" s="0"/>
      <x:c r="X1809" t="str" s="2">
        <x:v>3373963345</x:v>
      </x:c>
      <x:c r="Y1809" t="str" s="2">
        <x:v>Tstephens1958@icloud.com</x:v>
      </x:c>
      <x:c r="Z1809" s="6">
        <x:v>46307.557183564815</x:v>
      </x:c>
      <x:c r="AA1809" t="str" s="2">
        <x:v>Clint O'Neal</x:v>
      </x:c>
      <x:c r="AB1809" s="6">
        <x:v>46295.64835894676</x:v>
      </x:c>
      <x:c r="AC1809" t="n" s="2">
        <x:v>40473</x:v>
      </x:c>
      <x:c r="AD1809" t="str" s="2">
        <x:v>Singlewide</x:v>
      </x:c>
      <x:c r="AE1809" t="str" s="2">
        <x:v>Legacy Housing Corporation</x:v>
      </x:c>
      <x:c r="AF1809" s="7">
        <x:v>18125</x:v>
      </x:c>
      <x:c r="AG1809" s="7">
        <x:v>18125</x:v>
      </x:c>
      <x:c r="AH1809" s="7">
        <x:v>3500</x:v>
      </x:c>
      <x:c r="AI1809" t="str" s="2">
        <x:v>548</x:v>
      </x:c>
      <x:c r="AJ1809" s="0"/>
      <x:c r="AK1809" s="0"/>
    </x:row>
    <x:row r="1810">
      <x:c r="A1810" t="str" s="2">
        <x:f>=HYPERLINK("https://rsms.futurehomex.com/lead/40474", "Taeisha Robinson")</x:f>
      </x:c>
      <x:c r="B1810" t="n" s="2">
        <x:v>13</x:v>
      </x:c>
      <x:c r="C1810" t="str" s="2">
        <x:v/>
      </x:c>
      <x:c r="D1810" t="str" s="2">
        <x:f>=""</x:f>
      </x:c>
      <x:c r="E1810" s="0"/>
      <x:c r="F1810" t="str" s="2">
        <x:v>Website</x:v>
      </x:c>
      <x:c r="G1810" t="str" s="2">
        <x:v>Heritage Housing of Albany</x:v>
      </x:c>
      <x:c r="H1810" t="str" s="2">
        <x:v>Yanet Alvarez</x:v>
      </x:c>
      <x:c r="I1810" s="0"/>
      <x:c r="J1810" t="str" s="2">
        <x:v>Yanet Alvarez</x:v>
      </x:c>
      <x:c r="K1810" t="n" s="2">
        <x:v>5</x:v>
      </x:c>
      <x:c r="L1810" t="str" s="2">
        <x:v>1.1</x:v>
      </x:c>
      <x:c r="M1810" t="str" s="2">
        <x:v>Tentative</x:v>
      </x:c>
      <x:c r="N1810" t="str" s="2">
        <x:v>Deal Created</x:v>
      </x:c>
      <x:c r="O1810" s="0"/>
      <x:c r="P1810" s="6">
        <x:v>46295</x:v>
      </x:c>
      <x:c r="Q1810" s="6">
        <x:v>46295.65764579861</x:v>
      </x:c>
      <x:c r="R1810" s="0"/>
      <x:c r="S1810" s="0"/>
      <x:c r="T1810" s="0"/>
      <x:c r="U1810" s="0"/>
      <x:c r="V1810" s="0"/>
      <x:c r="W1810" s="0"/>
      <x:c r="X1810" t="str" s="2">
        <x:v>+13343559846</x:v>
      </x:c>
      <x:c r="Y1810" t="str" s="2">
        <x:v>robinsontaeisha@gmail.com</x:v>
      </x:c>
      <x:c r="Z1810" s="0"/>
      <x:c r="AA1810" s="0"/>
      <x:c r="AB1810" s="6">
        <x:v>46295.65764818287</x:v>
      </x:c>
      <x:c r="AC1810" t="n" s="2">
        <x:v>40474</x:v>
      </x:c>
      <x:c r="AD1810" s="0"/>
      <x:c r="AE1810" s="0"/>
      <x:c r="AF1810" s="0"/>
      <x:c r="AG1810" s="0"/>
      <x:c r="AH1810" s="0"/>
      <x:c r="AI1810" s="0"/>
      <x:c r="AJ1810" s="0"/>
      <x:c r="AK1810" s="0"/>
    </x:row>
    <x:row r="1811">
      <x:c r="A1811" t="str" s="2">
        <x:f>=HYPERLINK("https://rsms.futurehomex.com/lead/40475", "Patrick Schuchart")</x:f>
      </x:c>
      <x:c r="B1811" t="n" s="2">
        <x:v>13</x:v>
      </x:c>
      <x:c r="C1811" t="str" s="2">
        <x:v/>
      </x:c>
      <x:c r="D1811" t="str" s="2">
        <x:f>=""</x:f>
      </x:c>
      <x:c r="E1811" s="0"/>
      <x:c r="F1811" t="str" s="2">
        <x:v>Other</x:v>
      </x:c>
      <x:c r="G1811" t="str" s="2">
        <x:v>Heritage Housing of Minden</x:v>
      </x:c>
      <x:c r="H1811" t="str" s="2">
        <x:v>Patrick Schuchart</x:v>
      </x:c>
      <x:c r="I1811" s="0"/>
      <x:c r="J1811" s="0"/>
      <x:c r="K1811" t="n" s="2">
        <x:v>59</x:v>
      </x:c>
      <x:c r="L1811" t="str" s="2">
        <x:v>4.3</x:v>
      </x:c>
      <x:c r="M1811" t="str" s="2">
        <x:v>Inactive</x:v>
      </x:c>
      <x:c r="N1811" t="str" s="2">
        <x:v>Loan Approved</x:v>
      </x:c>
      <x:c r="O1811" s="0"/>
      <x:c r="P1811" s="6">
        <x:v>46295</x:v>
      </x:c>
      <x:c r="Q1811" s="6">
        <x:v>46295.72063221065</x:v>
      </x:c>
      <x:c r="R1811" s="0"/>
      <x:c r="S1811" s="6">
        <x:v>46295</x:v>
      </x:c>
      <x:c r="T1811" s="6">
        <x:v>46295</x:v>
      </x:c>
      <x:c r="U1811" s="6">
        <x:v>46295</x:v>
      </x:c>
      <x:c r="V1811" s="6">
        <x:v>46298</x:v>
      </x:c>
      <x:c r="W1811" s="0"/>
      <x:c r="X1811" t="str" s="2">
        <x:v>2148303625</x:v>
      </x:c>
      <x:c r="Y1811" t="str" s="2">
        <x:v>patrick.kristee@gmail.com</x:v>
      </x:c>
      <x:c r="Z1811" s="6">
        <x:v>46295.735012881945</x:v>
      </x:c>
      <x:c r="AA1811" t="str" s="2">
        <x:v>Patrick Schuchart</x:v>
      </x:c>
      <x:c r="AB1811" s="6">
        <x:v>46295.68337438657</x:v>
      </x:c>
      <x:c r="AC1811" t="n" s="2">
        <x:v>40475</x:v>
      </x:c>
      <x:c r="AD1811" t="str" s="2">
        <x:v>Singlewide</x:v>
      </x:c>
      <x:c r="AE1811" t="str" s="2">
        <x:v>Legacy Housing Corporation</x:v>
      </x:c>
      <x:c r="AF1811" s="7">
        <x:v>7200</x:v>
      </x:c>
      <x:c r="AG1811" s="7">
        <x:v>10000</x:v>
      </x:c>
      <x:c r="AH1811" s="7">
        <x:v>500</x:v>
      </x:c>
      <x:c r="AI1811" s="0"/>
      <x:c r="AJ1811" s="0"/>
      <x:c r="AK1811" s="0"/>
    </x:row>
    <x:row r="1812">
      <x:c r="A1812" t="str" s="2">
        <x:f>=HYPERLINK("https://rsms.futurehomex.com/lead/40476", "Dalton Baeriswyl")</x:f>
      </x:c>
      <x:c r="B1812" t="n" s="2">
        <x:v>13</x:v>
      </x:c>
      <x:c r="C1812" t="str" s="2">
        <x:v>1/4</x:v>
      </x:c>
      <x:c r="D1812" t="str" s="2">
        <x:f>=""</x:f>
      </x:c>
      <x:c r="E1812" s="0"/>
      <x:c r="F1812" t="str" s="2">
        <x:v>Financing Form</x:v>
      </x:c>
      <x:c r="G1812" t="str" s="2">
        <x:v>Heritage Housing of Oklahoma City</x:v>
      </x:c>
      <x:c r="H1812" t="str" s="2">
        <x:v>Devon McCoy</x:v>
      </x:c>
      <x:c r="I1812" s="0"/>
      <x:c r="J1812" t="str" s="2">
        <x:v>Richard Bell</x:v>
      </x:c>
      <x:c r="K1812" t="n" s="2">
        <x:v>5</x:v>
      </x:c>
      <x:c r="L1812" t="str" s="2">
        <x:v>1.1</x:v>
      </x:c>
      <x:c r="M1812" t="str" s="2">
        <x:v>Tentative</x:v>
      </x:c>
      <x:c r="N1812" t="str" s="2">
        <x:v>Deal Created</x:v>
      </x:c>
      <x:c r="O1812" s="0"/>
      <x:c r="P1812" s="6">
        <x:v>46295</x:v>
      </x:c>
      <x:c r="Q1812" s="6">
        <x:v>46295.6848215625</x:v>
      </x:c>
      <x:c r="R1812" s="0"/>
      <x:c r="S1812" s="0"/>
      <x:c r="T1812" s="0"/>
      <x:c r="U1812" s="0"/>
      <x:c r="V1812" s="0"/>
      <x:c r="W1812" s="0"/>
      <x:c r="X1812" t="str" s="2">
        <x:v>4054713847</x:v>
      </x:c>
      <x:c r="Y1812" t="str" s="2">
        <x:v>daltonbaeriswyl@yahoo.com</x:v>
      </x:c>
      <x:c r="Z1812" s="6">
        <x:v>46301.58370940972</x:v>
      </x:c>
      <x:c r="AA1812" t="str" s="2">
        <x:v>Devon McCoy</x:v>
      </x:c>
      <x:c r="AB1812" s="6">
        <x:v>46295.68482207176</x:v>
      </x:c>
      <x:c r="AC1812" t="n" s="2">
        <x:v>40476</x:v>
      </x:c>
      <x:c r="AD1812" s="0"/>
      <x:c r="AE1812" s="0"/>
      <x:c r="AF1812" s="0"/>
      <x:c r="AG1812" s="0"/>
      <x:c r="AH1812" s="0"/>
      <x:c r="AI1812" s="0"/>
      <x:c r="AJ1812" s="0"/>
      <x:c r="AK1812" s="0"/>
    </x:row>
    <x:row r="1813">
      <x:c r="A1813" t="str" s="2">
        <x:f>=HYPERLINK("https://rsms.futurehomex.com/lead/40477", "Joe Farrell")</x:f>
      </x:c>
      <x:c r="B1813" t="n" s="2">
        <x:v>13</x:v>
      </x:c>
      <x:c r="C1813" t="str" s="2">
        <x:v>1/3</x:v>
      </x:c>
      <x:c r="D1813" t="str" s="2">
        <x:f>=""</x:f>
      </x:c>
      <x:c r="E1813" s="0"/>
      <x:c r="F1813" t="str" s="2">
        <x:v>Landing_BPM</x:v>
      </x:c>
      <x:c r="G1813" t="str" s="2">
        <x:v>Heritage Housing of Oklahoma City</x:v>
      </x:c>
      <x:c r="H1813" t="str" s="2">
        <x:v>Devon McCoy</x:v>
      </x:c>
      <x:c r="I1813" s="0"/>
      <x:c r="J1813" t="str" s="2">
        <x:v>Richard Bell</x:v>
      </x:c>
      <x:c r="K1813" t="n" s="2">
        <x:v>5</x:v>
      </x:c>
      <x:c r="L1813" t="str" s="2">
        <x:v>1.1</x:v>
      </x:c>
      <x:c r="M1813" t="str" s="2">
        <x:v>Tentative</x:v>
      </x:c>
      <x:c r="N1813" t="str" s="2">
        <x:v>Deal Created</x:v>
      </x:c>
      <x:c r="O1813" s="0"/>
      <x:c r="P1813" s="6">
        <x:v>46295</x:v>
      </x:c>
      <x:c r="Q1813" s="6">
        <x:v>46295.68617677083</x:v>
      </x:c>
      <x:c r="R1813" s="0"/>
      <x:c r="S1813" s="0"/>
      <x:c r="T1813" s="0"/>
      <x:c r="U1813" s="0"/>
      <x:c r="V1813" s="0"/>
      <x:c r="W1813" s="0"/>
      <x:c r="X1813" t="str" s="2">
        <x:v>7084390461</x:v>
      </x:c>
      <x:c r="Y1813" t="str" s="2">
        <x:v>joerfarr@icloud.com</x:v>
      </x:c>
      <x:c r="Z1813" s="6">
        <x:v>46300.956447453704</x:v>
      </x:c>
      <x:c r="AA1813" t="str" s="2">
        <x:v>Devon McCoy</x:v>
      </x:c>
      <x:c r="AB1813" s="6">
        <x:v>46295.68592646991</x:v>
      </x:c>
      <x:c r="AC1813" t="n" s="2">
        <x:v>40477</x:v>
      </x:c>
      <x:c r="AD1813" s="0"/>
      <x:c r="AE1813" s="0"/>
      <x:c r="AF1813" s="0"/>
      <x:c r="AG1813" s="0"/>
      <x:c r="AH1813" s="0"/>
      <x:c r="AI1813" s="0"/>
      <x:c r="AJ1813" s="0"/>
      <x:c r="AK1813" s="0"/>
    </x:row>
    <x:row r="1814">
      <x:c r="A1814" t="str" s="2">
        <x:f>=HYPERLINK("https://rsms.futurehomex.com/lead/40478", "Carolena Carranco")</x:f>
      </x:c>
      <x:c r="B1814" t="n" s="2">
        <x:v>13</x:v>
      </x:c>
      <x:c r="C1814" t="str" s="2">
        <x:v>0/2</x:v>
      </x:c>
      <x:c r="D1814" t="str" s="2">
        <x:f>=""</x:f>
      </x:c>
      <x:c r="E1814" t="str" s="2">
        <x:v>Fredy Velazquez</x:v>
      </x:c>
      <x:c r="F1814" t="str" s="2">
        <x:v>Walk-in</x:v>
      </x:c>
      <x:c r="G1814" t="str" s="2">
        <x:v>Heritage Housing of Athens</x:v>
      </x:c>
      <x:c r="H1814" t="str" s="2">
        <x:v>Ethan Fossett</x:v>
      </x:c>
      <x:c r="I1814" s="0"/>
      <x:c r="J1814" s="0"/>
      <x:c r="K1814" t="n" s="2">
        <x:v>59</x:v>
      </x:c>
      <x:c r="L1814" t="str" s="2">
        <x:v>4.3</x:v>
      </x:c>
      <x:c r="M1814" t="str" s="2">
        <x:v>Active</x:v>
      </x:c>
      <x:c r="N1814" t="str" s="2">
        <x:v>Loan Approved</x:v>
      </x:c>
      <x:c r="O1814" s="0"/>
      <x:c r="P1814" s="6">
        <x:v>46295</x:v>
      </x:c>
      <x:c r="Q1814" s="6">
        <x:v>46308.56209575231</x:v>
      </x:c>
      <x:c r="R1814" s="0"/>
      <x:c r="S1814" s="6">
        <x:v>46295</x:v>
      </x:c>
      <x:c r="T1814" s="0"/>
      <x:c r="U1814" s="6">
        <x:v>46302</x:v>
      </x:c>
      <x:c r="V1814" s="0"/>
      <x:c r="W1814" s="0"/>
      <x:c r="X1814" t="str" s="2">
        <x:v>6786298247</x:v>
      </x:c>
      <x:c r="Y1814" t="str" s="2">
        <x:v>carolena1452@icloud.com</x:v>
      </x:c>
      <x:c r="Z1814" s="6">
        <x:v>46304.84374270833</x:v>
      </x:c>
      <x:c r="AA1814" t="str" s="2">
        <x:v>Ashley Palomera</x:v>
      </x:c>
      <x:c r="AB1814" s="6">
        <x:v>46295.691972685185</x:v>
      </x:c>
      <x:c r="AC1814" t="n" s="2">
        <x:v>40478</x:v>
      </x:c>
      <x:c r="AD1814" t="str" s="2">
        <x:v>Doublewide</x:v>
      </x:c>
      <x:c r="AE1814" t="str" s="2">
        <x:v>Legacy Housing Corporation</x:v>
      </x:c>
      <x:c r="AF1814" s="7">
        <x:v>13280</x:v>
      </x:c>
      <x:c r="AG1814" s="7">
        <x:v>13000</x:v>
      </x:c>
      <x:c r="AH1814" s="0"/>
      <x:c r="AI1814" t="str" s="2">
        <x:v>656</x:v>
      </x:c>
      <x:c r="AJ1814" s="0"/>
      <x:c r="AK1814" s="0"/>
    </x:row>
    <x:row r="1815">
      <x:c r="A1815" t="str" s="2">
        <x:f>=HYPERLINK("https://rsms.futurehomex.com/lead/40479", "Joe Farrell")</x:f>
      </x:c>
      <x:c r="B1815" t="n" s="2">
        <x:v>13</x:v>
      </x:c>
      <x:c r="C1815" t="str" s="2">
        <x:v>0/3</x:v>
      </x:c>
      <x:c r="D1815" t="str" s="2">
        <x:f>=""</x:f>
      </x:c>
      <x:c r="E1815" s="0"/>
      <x:c r="F1815" t="str" s="2">
        <x:v>Landing_BPM</x:v>
      </x:c>
      <x:c r="G1815" t="str" s="2">
        <x:v>Heritage Housing of Oklahoma City</x:v>
      </x:c>
      <x:c r="H1815" t="str" s="2">
        <x:v>Devon McCoy</x:v>
      </x:c>
      <x:c r="I1815" s="0"/>
      <x:c r="J1815" t="str" s="2">
        <x:v>Devon McCoy</x:v>
      </x:c>
      <x:c r="K1815" t="n" s="2">
        <x:v>5</x:v>
      </x:c>
      <x:c r="L1815" t="str" s="2">
        <x:v>1.1</x:v>
      </x:c>
      <x:c r="M1815" t="str" s="2">
        <x:v>Tentative</x:v>
      </x:c>
      <x:c r="N1815" t="str" s="2">
        <x:v>Deal Created</x:v>
      </x:c>
      <x:c r="O1815" s="0"/>
      <x:c r="P1815" s="6">
        <x:v>46295</x:v>
      </x:c>
      <x:c r="Q1815" s="6">
        <x:v>46295.69199837963</x:v>
      </x:c>
      <x:c r="R1815" s="0"/>
      <x:c r="S1815" s="0"/>
      <x:c r="T1815" s="0"/>
      <x:c r="U1815" s="0"/>
      <x:c r="V1815" s="0"/>
      <x:c r="W1815" s="0"/>
      <x:c r="X1815" t="str" s="2">
        <x:v>7084390461</x:v>
      </x:c>
      <x:c r="Y1815" t="str" s="2">
        <x:v>joerfarr@icloud.com</x:v>
      </x:c>
      <x:c r="Z1815" s="6">
        <x:v>46301.585981365744</x:v>
      </x:c>
      <x:c r="AA1815" t="str" s="2">
        <x:v>Devon McCoy</x:v>
      </x:c>
      <x:c r="AB1815" s="6">
        <x:v>46295.691998877315</x:v>
      </x:c>
      <x:c r="AC1815" t="n" s="2">
        <x:v>40479</x:v>
      </x:c>
      <x:c r="AD1815" s="0"/>
      <x:c r="AE1815" s="0"/>
      <x:c r="AF1815" s="0"/>
      <x:c r="AG1815" s="0"/>
      <x:c r="AH1815" s="0"/>
      <x:c r="AI1815" s="0"/>
      <x:c r="AJ1815" s="0"/>
      <x:c r="AK1815" s="0"/>
    </x:row>
    <x:row r="1816">
      <x:c r="A1816" t="str" s="2">
        <x:f>=HYPERLINK("https://rsms.futurehomex.com/lead/40480", "Sonya Sullivan")</x:f>
      </x:c>
      <x:c r="B1816" t="n" s="2">
        <x:v>13</x:v>
      </x:c>
      <x:c r="C1816" t="str" s="2">
        <x:v>0/2</x:v>
      </x:c>
      <x:c r="D1816" t="str" s="2">
        <x:f>=""</x:f>
      </x:c>
      <x:c r="E1816" s="0"/>
      <x:c r="F1816" t="str" s="2">
        <x:v>Landing_BPM</x:v>
      </x:c>
      <x:c r="G1816" t="str" s="2">
        <x:v>Heritage Housing of Oklahoma City</x:v>
      </x:c>
      <x:c r="H1816" t="str" s="2">
        <x:v>Devon McCoy</x:v>
      </x:c>
      <x:c r="I1816" s="0"/>
      <x:c r="J1816" t="str" s="2">
        <x:v>Devon McCoy</x:v>
      </x:c>
      <x:c r="K1816" t="n" s="2">
        <x:v>5</x:v>
      </x:c>
      <x:c r="L1816" t="str" s="2">
        <x:v>1.1</x:v>
      </x:c>
      <x:c r="M1816" t="str" s="2">
        <x:v>Tentative</x:v>
      </x:c>
      <x:c r="N1816" t="str" s="2">
        <x:v>Deal Created</x:v>
      </x:c>
      <x:c r="O1816" s="0"/>
      <x:c r="P1816" s="6">
        <x:v>46295</x:v>
      </x:c>
      <x:c r="Q1816" s="6">
        <x:v>46295.69501616898</x:v>
      </x:c>
      <x:c r="R1816" s="0"/>
      <x:c r="S1816" s="0"/>
      <x:c r="T1816" s="0"/>
      <x:c r="U1816" s="0"/>
      <x:c r="V1816" s="0"/>
      <x:c r="W1816" s="0"/>
      <x:c r="X1816" t="str" s="2">
        <x:v>4058162709</x:v>
      </x:c>
      <x:c r="Y1816" t="str" s="2">
        <x:v>warming.corneal.6i@icloud.com</x:v>
      </x:c>
      <x:c r="Z1816" s="6">
        <x:v>46301.583276157406</x:v>
      </x:c>
      <x:c r="AA1816" t="str" s="2">
        <x:v>Devon McCoy</x:v>
      </x:c>
      <x:c r="AB1816" s="6">
        <x:v>46295.695016631944</x:v>
      </x:c>
      <x:c r="AC1816" t="n" s="2">
        <x:v>40480</x:v>
      </x:c>
      <x:c r="AD1816" s="0"/>
      <x:c r="AE1816" s="0"/>
      <x:c r="AF1816" s="0"/>
      <x:c r="AG1816" s="0"/>
      <x:c r="AH1816" s="0"/>
      <x:c r="AI1816" s="0"/>
      <x:c r="AJ1816" s="0"/>
      <x:c r="AK1816" s="0"/>
    </x:row>
    <x:row r="1817">
      <x:c r="A1817" t="str" s="2">
        <x:f>=HYPERLINK("https://rsms.futurehomex.com/lead/40481", "Eduardo Figueroa")</x:f>
      </x:c>
      <x:c r="B1817" t="n" s="2">
        <x:v>13</x:v>
      </x:c>
      <x:c r="C1817" t="str" s="2">
        <x:v>0/3</x:v>
      </x:c>
      <x:c r="D1817" t="str" s="2">
        <x:f>=""</x:f>
      </x:c>
      <x:c r="E1817" s="0"/>
      <x:c r="F1817" t="str" s="2">
        <x:v>Facebook Messenger</x:v>
      </x:c>
      <x:c r="G1817" t="str" s="2">
        <x:v>Heritage Housing of Oklahoma City</x:v>
      </x:c>
      <x:c r="H1817" t="str" s="2">
        <x:v>Noemi Rojo</x:v>
      </x:c>
      <x:c r="I1817" s="0"/>
      <x:c r="J1817" t="str" s="2">
        <x:v>Richard Bell</x:v>
      </x:c>
      <x:c r="K1817" t="n" s="2">
        <x:v>5</x:v>
      </x:c>
      <x:c r="L1817" t="str" s="2">
        <x:v>1.1</x:v>
      </x:c>
      <x:c r="M1817" t="str" s="2">
        <x:v>Tentative</x:v>
      </x:c>
      <x:c r="N1817" t="str" s="2">
        <x:v>Deal Created</x:v>
      </x:c>
      <x:c r="O1817" s="0"/>
      <x:c r="P1817" s="6">
        <x:v>46295</x:v>
      </x:c>
      <x:c r="Q1817" s="6">
        <x:v>46295.70485474537</x:v>
      </x:c>
      <x:c r="R1817" s="0"/>
      <x:c r="S1817" s="0"/>
      <x:c r="T1817" s="0"/>
      <x:c r="U1817" s="0"/>
      <x:c r="V1817" s="0"/>
      <x:c r="W1817" s="0"/>
      <x:c r="X1817" t="str" s="2">
        <x:v>5127880065</x:v>
      </x:c>
      <x:c r="Y1817" t="str" s="2">
        <x:v>lalod05@icloud.com</x:v>
      </x:c>
      <x:c r="Z1817" s="6">
        <x:v>46304.972830011575</x:v>
      </x:c>
      <x:c r="AA1817" t="str" s="2">
        <x:v>Steve Castell</x:v>
      </x:c>
      <x:c r="AB1817" s="6">
        <x:v>46295.70485517361</x:v>
      </x:c>
      <x:c r="AC1817" t="n" s="2">
        <x:v>40481</x:v>
      </x:c>
      <x:c r="AD1817" s="0"/>
      <x:c r="AE1817" s="0"/>
      <x:c r="AF1817" s="0"/>
      <x:c r="AG1817" s="0"/>
      <x:c r="AH1817" s="0"/>
      <x:c r="AI1817" s="0"/>
      <x:c r="AJ1817" s="0"/>
      <x:c r="AK1817" s="0"/>
    </x:row>
    <x:row r="1818">
      <x:c r="A1818" t="str" s="2">
        <x:f>=HYPERLINK("https://rsms.futurehomex.com/lead/40482", "Sonya Sullivan")</x:f>
      </x:c>
      <x:c r="B1818" t="n" s="2">
        <x:v>13</x:v>
      </x:c>
      <x:c r="C1818" t="str" s="2">
        <x:v>0/4</x:v>
      </x:c>
      <x:c r="D1818" t="str" s="2">
        <x:f>=""</x:f>
      </x:c>
      <x:c r="E1818" s="0"/>
      <x:c r="F1818" t="str" s="2">
        <x:v>Landing_BPM</x:v>
      </x:c>
      <x:c r="G1818" t="str" s="2">
        <x:v>Heritage Housing of Oklahoma City</x:v>
      </x:c>
      <x:c r="H1818" t="str" s="2">
        <x:v>Devon McCoy</x:v>
      </x:c>
      <x:c r="I1818" s="0"/>
      <x:c r="J1818" t="str" s="2">
        <x:v>Devon McCoy</x:v>
      </x:c>
      <x:c r="K1818" t="n" s="2">
        <x:v>5</x:v>
      </x:c>
      <x:c r="L1818" t="str" s="2">
        <x:v>1.1</x:v>
      </x:c>
      <x:c r="M1818" t="str" s="2">
        <x:v>Tentative</x:v>
      </x:c>
      <x:c r="N1818" t="str" s="2">
        <x:v>Deal Created</x:v>
      </x:c>
      <x:c r="O1818" s="0"/>
      <x:c r="P1818" s="6">
        <x:v>46295</x:v>
      </x:c>
      <x:c r="Q1818" s="6">
        <x:v>46295.71005258102</x:v>
      </x:c>
      <x:c r="R1818" s="0"/>
      <x:c r="S1818" s="0"/>
      <x:c r="T1818" s="0"/>
      <x:c r="U1818" s="0"/>
      <x:c r="V1818" s="0"/>
      <x:c r="W1818" s="0"/>
      <x:c r="X1818" t="str" s="2">
        <x:v>4058162709</x:v>
      </x:c>
      <x:c r="Y1818" t="str" s="2">
        <x:v>warming.corneal.6i@icloud.com</x:v>
      </x:c>
      <x:c r="Z1818" s="6">
        <x:v>46304.63932144676</x:v>
      </x:c>
      <x:c r="AA1818" t="str" s="2">
        <x:v>Devon McCoy</x:v>
      </x:c>
      <x:c r="AB1818" s="6">
        <x:v>46295.710053125</x:v>
      </x:c>
      <x:c r="AC1818" t="n" s="2">
        <x:v>40482</x:v>
      </x:c>
      <x:c r="AD1818" s="0"/>
      <x:c r="AE1818" s="0"/>
      <x:c r="AF1818" s="0"/>
      <x:c r="AG1818" s="0"/>
      <x:c r="AH1818" s="0"/>
      <x:c r="AI1818" s="0"/>
      <x:c r="AJ1818" s="0"/>
      <x:c r="AK1818" s="0"/>
    </x:row>
    <x:row r="1819">
      <x:c r="A1819" t="str" s="2">
        <x:f>=HYPERLINK("https://rsms.futurehomex.com/lead/40483", "Seborn Tolver")</x:f>
      </x:c>
      <x:c r="B1819" t="n" s="2">
        <x:v>13</x:v>
      </x:c>
      <x:c r="C1819" t="str" s="2">
        <x:v/>
      </x:c>
      <x:c r="D1819" t="str" s="2">
        <x:f>=""</x:f>
      </x:c>
      <x:c r="E1819" s="0"/>
      <x:c r="F1819" t="str" s="2">
        <x:v>Walk-in</x:v>
      </x:c>
      <x:c r="G1819" t="str" s="2">
        <x:v>Heritage Housing of Augusta</x:v>
      </x:c>
      <x:c r="H1819" t="str" s="2">
        <x:v>Jennifer Johnson</x:v>
      </x:c>
      <x:c r="I1819" s="0"/>
      <x:c r="J1819" t="str" s="2">
        <x:v>Jennifer Johnson</x:v>
      </x:c>
      <x:c r="K1819" t="n" s="2">
        <x:v>5</x:v>
      </x:c>
      <x:c r="L1819" t="str" s="2">
        <x:v>1.1</x:v>
      </x:c>
      <x:c r="M1819" t="str" s="2">
        <x:v>Tentative</x:v>
      </x:c>
      <x:c r="N1819" t="str" s="2">
        <x:v>Deal Created</x:v>
      </x:c>
      <x:c r="O1819" s="0"/>
      <x:c r="P1819" s="6">
        <x:v>46295</x:v>
      </x:c>
      <x:c r="Q1819" s="6">
        <x:v>46295.79754112269</x:v>
      </x:c>
      <x:c r="R1819" s="0"/>
      <x:c r="S1819" s="0"/>
      <x:c r="T1819" s="0"/>
      <x:c r="U1819" s="0"/>
      <x:c r="V1819" s="0"/>
      <x:c r="W1819" s="0"/>
      <x:c r="X1819" t="str" s="2">
        <x:v>7062842434</x:v>
      </x:c>
      <x:c r="Y1819" t="str" s="2">
        <x:v>7062842434</x:v>
      </x:c>
      <x:c r="Z1819" s="6">
        <x:v>46298.71290038194</x:v>
      </x:c>
      <x:c r="AA1819" t="str" s="2">
        <x:v>Jennifer Johnson</x:v>
      </x:c>
      <x:c r="AB1819" s="6">
        <x:v>46295.71116388889</x:v>
      </x:c>
      <x:c r="AC1819" t="n" s="2">
        <x:v>40483</x:v>
      </x:c>
      <x:c r="AD1819" s="0"/>
      <x:c r="AE1819" s="0"/>
      <x:c r="AF1819" s="0"/>
      <x:c r="AG1819" s="0"/>
      <x:c r="AH1819" s="0"/>
      <x:c r="AI1819" s="0"/>
      <x:c r="AJ1819" s="0"/>
      <x:c r="AK1819" s="0"/>
    </x:row>
    <x:row r="1820">
      <x:c r="A1820" t="str" s="2">
        <x:f>=HYPERLINK("https://rsms.futurehomex.com/lead/40484", "Damien Sinegal")</x:f>
      </x:c>
      <x:c r="B1820" t="n" s="2">
        <x:v>13</x:v>
      </x:c>
      <x:c r="C1820" t="str" s="2">
        <x:v/>
      </x:c>
      <x:c r="D1820" t="str" s="2">
        <x:f>=""</x:f>
      </x:c>
      <x:c r="E1820" s="0"/>
      <x:c r="F1820" t="str" s="2">
        <x:v>Landing_BPM</x:v>
      </x:c>
      <x:c r="G1820" t="str" s="2">
        <x:v>Heritage Housing of Jennings</x:v>
      </x:c>
      <x:c r="H1820" t="str" s="2">
        <x:v>Mervin Leslie Smith</x:v>
      </x:c>
      <x:c r="I1820" s="0"/>
      <x:c r="J1820" t="str" s="2">
        <x:v>Mervin Leslie Smith</x:v>
      </x:c>
      <x:c r="K1820" t="n" s="2">
        <x:v>5</x:v>
      </x:c>
      <x:c r="L1820" t="str" s="2">
        <x:v>1.1</x:v>
      </x:c>
      <x:c r="M1820" t="str" s="2">
        <x:v>Inactive</x:v>
      </x:c>
      <x:c r="N1820" t="str" s="2">
        <x:v>Deal Created</x:v>
      </x:c>
      <x:c r="O1820" s="0"/>
      <x:c r="P1820" s="6">
        <x:v>46295</x:v>
      </x:c>
      <x:c r="Q1820" s="6">
        <x:v>46295.71170474537</x:v>
      </x:c>
      <x:c r="R1820" s="0"/>
      <x:c r="S1820" s="0"/>
      <x:c r="T1820" s="0"/>
      <x:c r="U1820" s="0"/>
      <x:c r="V1820" s="0"/>
      <x:c r="W1820" s="0"/>
      <x:c r="X1820" t="str" s="2">
        <x:v>3372230425</x:v>
      </x:c>
      <x:c r="Y1820" t="str" s="2">
        <x:v>damazon330@yahoo.com</x:v>
      </x:c>
      <x:c r="Z1820" s="6">
        <x:v>46295.713043599535</x:v>
      </x:c>
      <x:c r="AA1820" t="str" s="2">
        <x:v>Mervin Leslie Smith</x:v>
      </x:c>
      <x:c r="AB1820" s="6">
        <x:v>46295.71170532407</x:v>
      </x:c>
      <x:c r="AC1820" t="n" s="2">
        <x:v>40484</x:v>
      </x:c>
      <x:c r="AD1820" s="0"/>
      <x:c r="AE1820" s="0"/>
      <x:c r="AF1820" s="0"/>
      <x:c r="AG1820" s="0"/>
      <x:c r="AH1820" s="0"/>
      <x:c r="AI1820" s="0"/>
      <x:c r="AJ1820" s="0"/>
      <x:c r="AK1820" s="0"/>
    </x:row>
    <x:row r="1821">
      <x:c r="A1821" t="str" s="2">
        <x:f>=HYPERLINK("https://rsms.futurehomex.com/lead/40486", "Amy Crawley")</x:f>
      </x:c>
      <x:c r="B1821" t="n" s="2">
        <x:v>13</x:v>
      </x:c>
      <x:c r="C1821" t="str" s="2">
        <x:v/>
      </x:c>
      <x:c r="D1821" t="str" s="2">
        <x:f>=""</x:f>
      </x:c>
      <x:c r="E1821" s="0"/>
      <x:c r="F1821" t="str" s="2">
        <x:v>Walk-in</x:v>
      </x:c>
      <x:c r="G1821" t="str" s="2">
        <x:v>Heritage Housing of Tulsa</x:v>
      </x:c>
      <x:c r="H1821" t="str" s="2">
        <x:v>Jenna Fransisco</x:v>
      </x:c>
      <x:c r="I1821" s="0"/>
      <x:c r="J1821" s="0"/>
      <x:c r="K1821" t="n" s="2">
        <x:v>5</x:v>
      </x:c>
      <x:c r="L1821" t="str" s="2">
        <x:v>1.1</x:v>
      </x:c>
      <x:c r="M1821" t="str" s="2">
        <x:v>Tentative</x:v>
      </x:c>
      <x:c r="N1821" t="str" s="2">
        <x:v>Prospect</x:v>
      </x:c>
      <x:c r="O1821" s="0"/>
      <x:c r="P1821" s="6">
        <x:v>46295</x:v>
      </x:c>
      <x:c r="Q1821" s="6">
        <x:v>46295.725920289355</x:v>
      </x:c>
      <x:c r="R1821" s="0"/>
      <x:c r="S1821" s="0"/>
      <x:c r="T1821" s="0"/>
      <x:c r="U1821" s="0"/>
      <x:c r="V1821" s="0"/>
      <x:c r="W1821" s="0"/>
      <x:c r="X1821" t="str" s="2">
        <x:v>4052682403</x:v>
      </x:c>
      <x:c r="Y1821" t="str" s="2">
        <x:v>amycrawley@hotmail.com</x:v>
      </x:c>
      <x:c r="Z1821" s="0"/>
      <x:c r="AA1821" s="0"/>
      <x:c r="AB1821" s="6">
        <x:v>46295.725920717596</x:v>
      </x:c>
      <x:c r="AC1821" t="n" s="2">
        <x:v>40486</x:v>
      </x:c>
      <x:c r="AD1821" s="0"/>
      <x:c r="AE1821" s="0"/>
      <x:c r="AF1821" s="0"/>
      <x:c r="AG1821" s="0"/>
      <x:c r="AH1821" s="0"/>
      <x:c r="AI1821" s="0"/>
      <x:c r="AJ1821" s="0"/>
      <x:c r="AK1821" s="0"/>
    </x:row>
    <x:row r="1822">
      <x:c r="A1822" t="str" s="2">
        <x:f>=HYPERLINK("https://rsms.futurehomex.com/lead/40487", "Jessica Padgett")</x:f>
      </x:c>
      <x:c r="B1822" t="n" s="2">
        <x:v>13</x:v>
      </x:c>
      <x:c r="C1822" t="str" s="2">
        <x:v/>
      </x:c>
      <x:c r="D1822" t="str" s="2">
        <x:f>=""</x:f>
      </x:c>
      <x:c r="E1822" s="0"/>
      <x:c r="F1822" t="str" s="2">
        <x:v>Walk-in</x:v>
      </x:c>
      <x:c r="G1822" t="str" s="2">
        <x:v>Heritage Housing of Augusta</x:v>
      </x:c>
      <x:c r="H1822" t="str" s="2">
        <x:v>Jose Chavez</x:v>
      </x:c>
      <x:c r="I1822" s="0"/>
      <x:c r="J1822" s="0"/>
      <x:c r="K1822" t="n" s="2">
        <x:v>5</x:v>
      </x:c>
      <x:c r="L1822" t="str" s="2">
        <x:v>1.1</x:v>
      </x:c>
      <x:c r="M1822" t="str" s="2">
        <x:v>Tentative</x:v>
      </x:c>
      <x:c r="N1822" t="str" s="2">
        <x:v>Prospect</x:v>
      </x:c>
      <x:c r="O1822" s="0"/>
      <x:c r="P1822" s="6">
        <x:v>46295</x:v>
      </x:c>
      <x:c r="Q1822" s="6">
        <x:v>46295.728086111114</x:v>
      </x:c>
      <x:c r="R1822" s="0"/>
      <x:c r="S1822" s="0"/>
      <x:c r="T1822" s="0"/>
      <x:c r="U1822" s="0"/>
      <x:c r="V1822" s="0"/>
      <x:c r="W1822" s="0"/>
      <x:c r="X1822" t="str" s="2">
        <x:v>7063050321</x:v>
      </x:c>
      <x:c r="Y1822" t="str" s="2">
        <x:v>essica123@gmail.com</x:v>
      </x:c>
      <x:c r="Z1822" s="0"/>
      <x:c r="AA1822" s="0"/>
      <x:c r="AB1822" s="6">
        <x:v>46295.73047106482</x:v>
      </x:c>
      <x:c r="AC1822" t="n" s="2">
        <x:v>40487</x:v>
      </x:c>
      <x:c r="AD1822" s="0"/>
      <x:c r="AE1822" s="0"/>
      <x:c r="AF1822" s="0"/>
      <x:c r="AG1822" s="0"/>
      <x:c r="AH1822" s="0"/>
      <x:c r="AI1822" s="0"/>
      <x:c r="AJ1822" s="0"/>
      <x:c r="AK1822" s="0"/>
    </x:row>
    <x:row r="1823">
      <x:c r="A1823" t="str" s="2">
        <x:f>=HYPERLINK("https://rsms.futurehomex.com/lead/40488", "Jessica Greynolds")</x:f>
      </x:c>
      <x:c r="B1823" t="n" s="2">
        <x:v>13</x:v>
      </x:c>
      <x:c r="C1823" t="str" s="2">
        <x:v/>
      </x:c>
      <x:c r="D1823" t="str" s="2">
        <x:f>=""</x:f>
      </x:c>
      <x:c r="E1823" s="0"/>
      <x:c r="F1823" t="str" s="2">
        <x:v>Walk-in</x:v>
      </x:c>
      <x:c r="G1823" t="str" s="2">
        <x:v>Heritage Housing of Augusta</x:v>
      </x:c>
      <x:c r="H1823" t="str" s="2">
        <x:v>Jose Chavez</x:v>
      </x:c>
      <x:c r="I1823" s="0"/>
      <x:c r="J1823" s="0"/>
      <x:c r="K1823" t="n" s="2">
        <x:v>5</x:v>
      </x:c>
      <x:c r="L1823" t="str" s="2">
        <x:v>1.1</x:v>
      </x:c>
      <x:c r="M1823" t="str" s="2">
        <x:v>Tentative</x:v>
      </x:c>
      <x:c r="N1823" t="str" s="2">
        <x:v>Prospect</x:v>
      </x:c>
      <x:c r="O1823" s="0"/>
      <x:c r="P1823" s="6">
        <x:v>46295</x:v>
      </x:c>
      <x:c r="Q1823" s="6">
        <x:v>46295.73922306713</x:v>
      </x:c>
      <x:c r="R1823" s="0"/>
      <x:c r="S1823" s="0"/>
      <x:c r="T1823" s="0"/>
      <x:c r="U1823" s="0"/>
      <x:c r="V1823" s="0"/>
      <x:c r="W1823" s="0"/>
      <x:c r="X1823" t="str" s="2">
        <x:v>7069411256</x:v>
      </x:c>
      <x:c r="Y1823" t="str" s="2">
        <x:v>jessicagreynolds0885@gmail.com</x:v>
      </x:c>
      <x:c r="Z1823" s="0"/>
      <x:c r="AA1823" s="0"/>
      <x:c r="AB1823" s="6">
        <x:v>46295.73922349537</x:v>
      </x:c>
      <x:c r="AC1823" t="n" s="2">
        <x:v>40488</x:v>
      </x:c>
      <x:c r="AD1823" s="0"/>
      <x:c r="AE1823" s="0"/>
      <x:c r="AF1823" s="0"/>
      <x:c r="AG1823" s="0"/>
      <x:c r="AH1823" s="0"/>
      <x:c r="AI1823" s="0"/>
      <x:c r="AJ1823" s="0"/>
      <x:c r="AK1823" s="0"/>
    </x:row>
    <x:row r="1824">
      <x:c r="A1824" t="str" s="2">
        <x:f>=HYPERLINK("https://rsms.futurehomex.com/lead/40489", "Charles Hook")</x:f>
      </x:c>
      <x:c r="B1824" t="n" s="2">
        <x:v>13</x:v>
      </x:c>
      <x:c r="C1824" t="str" s="2">
        <x:v>1/1</x:v>
      </x:c>
      <x:c r="D1824" t="str" s="2">
        <x:f>=""</x:f>
      </x:c>
      <x:c r="E1824" s="0"/>
      <x:c r="F1824" t="str" s="2">
        <x:v>Walk-in</x:v>
      </x:c>
      <x:c r="G1824" t="str" s="2">
        <x:v>Heritage Housing of Tulsa</x:v>
      </x:c>
      <x:c r="H1824" t="str" s="2">
        <x:v>Jenna Fransisco</x:v>
      </x:c>
      <x:c r="I1824" s="0"/>
      <x:c r="J1824" s="0"/>
      <x:c r="K1824" t="n" s="2">
        <x:v>5</x:v>
      </x:c>
      <x:c r="L1824" t="str" s="2">
        <x:v>1.1</x:v>
      </x:c>
      <x:c r="M1824" t="str" s="2">
        <x:v>Tentative</x:v>
      </x:c>
      <x:c r="N1824" t="str" s="2">
        <x:v>Prospect</x:v>
      </x:c>
      <x:c r="O1824" s="0"/>
      <x:c r="P1824" s="6">
        <x:v>46295</x:v>
      </x:c>
      <x:c r="Q1824" s="6">
        <x:v>46295.74664849537</x:v>
      </x:c>
      <x:c r="R1824" s="0"/>
      <x:c r="S1824" s="6">
        <x:v>46295</x:v>
      </x:c>
      <x:c r="T1824" s="0"/>
      <x:c r="U1824" s="0"/>
      <x:c r="V1824" s="0"/>
      <x:c r="W1824" s="0"/>
      <x:c r="X1824" t="str" s="2">
        <x:v>9185271634</x:v>
      </x:c>
      <x:c r="Y1824" t="str" s="2">
        <x:v>charleshook7@yahoo.com</x:v>
      </x:c>
      <x:c r="Z1824" s="6">
        <x:v>46295.74753359954</x:v>
      </x:c>
      <x:c r="AA1824" t="str" s="2">
        <x:v>Derek Searcy</x:v>
      </x:c>
      <x:c r="AB1824" s="6">
        <x:v>46295.7455119213</x:v>
      </x:c>
      <x:c r="AC1824" t="n" s="2">
        <x:v>40489</x:v>
      </x:c>
      <x:c r="AD1824" s="0"/>
      <x:c r="AE1824" s="0"/>
      <x:c r="AF1824" s="0"/>
      <x:c r="AG1824" s="0"/>
      <x:c r="AH1824" s="0"/>
      <x:c r="AI1824" s="0"/>
      <x:c r="AJ1824" s="0"/>
      <x:c r="AK1824" s="0"/>
    </x:row>
    <x:row r="1825">
      <x:c r="A1825" t="str" s="2">
        <x:f>=HYPERLINK("https://rsms.futurehomex.com/lead/40490", "Kayshon Berry")</x:f>
      </x:c>
      <x:c r="B1825" t="n" s="2">
        <x:v>13</x:v>
      </x:c>
      <x:c r="C1825" t="str" s="2">
        <x:v>1/1</x:v>
      </x:c>
      <x:c r="D1825" t="str" s="2">
        <x:f>=""</x:f>
      </x:c>
      <x:c r="E1825" s="0"/>
      <x:c r="F1825" t="str" s="2">
        <x:v>Office Hot Calls</x:v>
      </x:c>
      <x:c r="G1825" t="str" s="2">
        <x:v>Heritage Housing of Oklahoma City</x:v>
      </x:c>
      <x:c r="H1825" t="str" s="2">
        <x:v>Trey Rixleben</x:v>
      </x:c>
      <x:c r="I1825" t="str" s="2">
        <x:v>Karol Romero</x:v>
      </x:c>
      <x:c r="J1825" s="0"/>
      <x:c r="K1825" t="n" s="2">
        <x:v>5</x:v>
      </x:c>
      <x:c r="L1825" t="str" s="2">
        <x:v>1.1</x:v>
      </x:c>
      <x:c r="M1825" t="str" s="2">
        <x:v>Tentative</x:v>
      </x:c>
      <x:c r="N1825" t="str" s="2">
        <x:v>Deal Created</x:v>
      </x:c>
      <x:c r="O1825" s="0"/>
      <x:c r="P1825" s="6">
        <x:v>46295</x:v>
      </x:c>
      <x:c r="Q1825" s="6">
        <x:v>46295.75566767361</x:v>
      </x:c>
      <x:c r="R1825" s="0"/>
      <x:c r="S1825" s="6">
        <x:v>46295</x:v>
      </x:c>
      <x:c r="T1825" s="0"/>
      <x:c r="U1825" s="0"/>
      <x:c r="V1825" s="0"/>
      <x:c r="W1825" s="0"/>
      <x:c r="X1825" t="str" s="2">
        <x:v>4056695164</x:v>
      </x:c>
      <x:c r="Y1825" t="str" s="2">
        <x:v>kayshonasberry123@icloud.com</x:v>
      </x:c>
      <x:c r="Z1825" s="6">
        <x:v>46296.6613878125</x:v>
      </x:c>
      <x:c r="AA1825" t="str" s="2">
        <x:v>Trey Rixleben</x:v>
      </x:c>
      <x:c r="AB1825" s="6">
        <x:v>46295.755669363425</x:v>
      </x:c>
      <x:c r="AC1825" t="n" s="2">
        <x:v>40490</x:v>
      </x:c>
      <x:c r="AD1825" s="0"/>
      <x:c r="AE1825" s="0"/>
      <x:c r="AF1825" s="0"/>
      <x:c r="AG1825" s="0"/>
      <x:c r="AH1825" s="0"/>
      <x:c r="AI1825" s="0"/>
      <x:c r="AJ1825" s="0"/>
      <x:c r="AK1825" s="0"/>
    </x:row>
    <x:row r="1826">
      <x:c r="A1826" t="str" s="2">
        <x:f>=HYPERLINK("https://rsms.futurehomex.com/lead/40491", "Jonathon James")</x:f>
      </x:c>
      <x:c r="B1826" t="n" s="2">
        <x:v>13</x:v>
      </x:c>
      <x:c r="C1826" t="str" s="2">
        <x:v>0/1</x:v>
      </x:c>
      <x:c r="D1826" t="str" s="2">
        <x:f>=""</x:f>
      </x:c>
      <x:c r="E1826" s="0"/>
      <x:c r="F1826" t="str" s="2">
        <x:v>Walk-in</x:v>
      </x:c>
      <x:c r="G1826" t="str" s="2">
        <x:v>Heritage Housing of Minden</x:v>
      </x:c>
      <x:c r="H1826" t="str" s="2">
        <x:v>Patrick Schuchart</x:v>
      </x:c>
      <x:c r="I1826" t="str" s="2">
        <x:v>Karol Romero</x:v>
      </x:c>
      <x:c r="J1826" t="str" s="2">
        <x:v>Patrick Schuchart</x:v>
      </x:c>
      <x:c r="K1826" t="n" s="2">
        <x:v>5</x:v>
      </x:c>
      <x:c r="L1826" t="str" s="2">
        <x:v>1.1</x:v>
      </x:c>
      <x:c r="M1826" t="str" s="2">
        <x:v>Tentative</x:v>
      </x:c>
      <x:c r="N1826" t="str" s="2">
        <x:v>Deal Created</x:v>
      </x:c>
      <x:c r="O1826" s="0"/>
      <x:c r="P1826" s="6">
        <x:v>46295</x:v>
      </x:c>
      <x:c r="Q1826" s="6">
        <x:v>46295.7625121875</x:v>
      </x:c>
      <x:c r="R1826" t="str" s="2">
        <x:v>Patrick Schuchart</x:v>
      </x:c>
      <x:c r="S1826" s="6">
        <x:v>46295</x:v>
      </x:c>
      <x:c r="T1826" s="0"/>
      <x:c r="U1826" s="0"/>
      <x:c r="V1826" s="0"/>
      <x:c r="W1826" s="0"/>
      <x:c r="X1826" t="str" s="2">
        <x:v>3184646208</x:v>
      </x:c>
      <x:c r="Y1826" t="str" s="2">
        <x:v>3184646208</x:v>
      </x:c>
      <x:c r="Z1826" s="6">
        <x:v>46295.78119918981</x:v>
      </x:c>
      <x:c r="AA1826" t="str" s="2">
        <x:v>Kyla Brown</x:v>
      </x:c>
      <x:c r="AB1826" s="6">
        <x:v>46295.762513622685</x:v>
      </x:c>
      <x:c r="AC1826" t="n" s="2">
        <x:v>40491</x:v>
      </x:c>
      <x:c r="AD1826" s="0"/>
      <x:c r="AE1826" s="0"/>
      <x:c r="AF1826" s="0"/>
      <x:c r="AG1826" s="0"/>
      <x:c r="AH1826" s="0"/>
      <x:c r="AI1826" s="0"/>
      <x:c r="AJ1826" s="0"/>
      <x:c r="AK1826" s="0"/>
    </x:row>
    <x:row r="1827">
      <x:c r="A1827" t="str" s="2">
        <x:f>=HYPERLINK("https://rsms.futurehomex.com/lead/40493", "Bill Ross")</x:f>
      </x:c>
      <x:c r="B1827" t="n" s="2">
        <x:v>13</x:v>
      </x:c>
      <x:c r="C1827" t="str" s="2">
        <x:v/>
      </x:c>
      <x:c r="D1827" t="str" s="2">
        <x:f>=""</x:f>
      </x:c>
      <x:c r="E1827" s="0"/>
      <x:c r="F1827" t="str" s="2">
        <x:v>Facebook Messenger</x:v>
      </x:c>
      <x:c r="G1827" t="str" s="2">
        <x:v>Heritage Housing of Oklahoma City</x:v>
      </x:c>
      <x:c r="H1827" t="str" s="2">
        <x:v>Devon McCoy</x:v>
      </x:c>
      <x:c r="I1827" t="str" s="2">
        <x:v>Karol Romero</x:v>
      </x:c>
      <x:c r="J1827" t="str" s="2">
        <x:v>Devon McCoy</x:v>
      </x:c>
      <x:c r="K1827" t="n" s="2">
        <x:v>5</x:v>
      </x:c>
      <x:c r="L1827" t="str" s="2">
        <x:v>1.1</x:v>
      </x:c>
      <x:c r="M1827" t="str" s="2">
        <x:v>Tentative</x:v>
      </x:c>
      <x:c r="N1827" t="str" s="2">
        <x:v>Deal Created</x:v>
      </x:c>
      <x:c r="O1827" s="0"/>
      <x:c r="P1827" s="6">
        <x:v>46295</x:v>
      </x:c>
      <x:c r="Q1827" s="6">
        <x:v>46295.803164386576</x:v>
      </x:c>
      <x:c r="R1827" s="0"/>
      <x:c r="S1827" s="0"/>
      <x:c r="T1827" s="0"/>
      <x:c r="U1827" s="0"/>
      <x:c r="V1827" s="0"/>
      <x:c r="W1827" s="0"/>
      <x:c r="X1827" t="str" s="2">
        <x:v>3342355740</x:v>
      </x:c>
      <x:c r="Y1827" t="str" s="2">
        <x:v>3342355740</x:v>
      </x:c>
      <x:c r="Z1827" s="6">
        <x:v>46295.80864193287</x:v>
      </x:c>
      <x:c r="AA1827" t="str" s="2">
        <x:v>Devon McCoy</x:v>
      </x:c>
      <x:c r="AB1827" s="6">
        <x:v>46295.80316565972</x:v>
      </x:c>
      <x:c r="AC1827" t="n" s="2">
        <x:v>40493</x:v>
      </x:c>
      <x:c r="AD1827" s="0"/>
      <x:c r="AE1827" s="0"/>
      <x:c r="AF1827" s="0"/>
      <x:c r="AG1827" s="0"/>
      <x:c r="AH1827" s="0"/>
      <x:c r="AI1827" s="0"/>
      <x:c r="AJ1827" s="0"/>
      <x:c r="AK1827" s="0"/>
    </x:row>
    <x:row r="1828">
      <x:c r="A1828" t="str" s="2">
        <x:f>=HYPERLINK("https://rsms.futurehomex.com/lead/40494", "Tammy Bishop")</x:f>
      </x:c>
      <x:c r="B1828" t="n" s="2">
        <x:v>13</x:v>
      </x:c>
      <x:c r="C1828" t="str" s="2">
        <x:v>1/3</x:v>
      </x:c>
      <x:c r="D1828" t="str" s="2">
        <x:f>=""</x:f>
      </x:c>
      <x:c r="E1828" s="0"/>
      <x:c r="F1828" t="str" s="2">
        <x:v>Facebook Messenger</x:v>
      </x:c>
      <x:c r="G1828" t="str" s="2">
        <x:v>Heritage Housing of Oklahoma City</x:v>
      </x:c>
      <x:c r="H1828" t="str" s="2">
        <x:v>Devon McCoy</x:v>
      </x:c>
      <x:c r="I1828" t="str" s="2">
        <x:v>Karol Romero</x:v>
      </x:c>
      <x:c r="J1828" t="str" s="2">
        <x:v>Devon McCoy</x:v>
      </x:c>
      <x:c r="K1828" t="n" s="2">
        <x:v>5</x:v>
      </x:c>
      <x:c r="L1828" t="str" s="2">
        <x:v>1.1</x:v>
      </x:c>
      <x:c r="M1828" t="str" s="2">
        <x:v>Tentative</x:v>
      </x:c>
      <x:c r="N1828" t="str" s="2">
        <x:v>Deal Created</x:v>
      </x:c>
      <x:c r="O1828" s="0"/>
      <x:c r="P1828" s="6">
        <x:v>46295</x:v>
      </x:c>
      <x:c r="Q1828" s="6">
        <x:v>46295.86829818287</x:v>
      </x:c>
      <x:c r="R1828" s="0"/>
      <x:c r="S1828" s="0"/>
      <x:c r="T1828" s="0"/>
      <x:c r="U1828" s="0"/>
      <x:c r="V1828" s="0"/>
      <x:c r="W1828" s="0"/>
      <x:c r="X1828" t="str" s="2">
        <x:v>5803994399</x:v>
      </x:c>
      <x:c r="Y1828" t="str" s="2">
        <x:v>tammiebishop.tb@gmail.com</x:v>
      </x:c>
      <x:c r="Z1828" s="6">
        <x:v>46301.582441631945</x:v>
      </x:c>
      <x:c r="AA1828" t="str" s="2">
        <x:v>Devon McCoy</x:v>
      </x:c>
      <x:c r="AB1828" s="6">
        <x:v>46295.86829976852</x:v>
      </x:c>
      <x:c r="AC1828" t="n" s="2">
        <x:v>40494</x:v>
      </x:c>
      <x:c r="AD1828" s="0"/>
      <x:c r="AE1828" s="0"/>
      <x:c r="AF1828" s="0"/>
      <x:c r="AG1828" s="0"/>
      <x:c r="AH1828" s="0"/>
      <x:c r="AI1828" s="0"/>
      <x:c r="AJ1828" s="0"/>
      <x:c r="AK1828" s="0"/>
    </x:row>
    <x:row r="1829">
      <x:c r="A1829" t="str" s="2">
        <x:f>=HYPERLINK("https://rsms.futurehomex.com/lead/40495", "Cynthia Starner")</x:f>
      </x:c>
      <x:c r="B1829" t="n" s="2">
        <x:v>13</x:v>
      </x:c>
      <x:c r="C1829" t="str" s="2">
        <x:v/>
      </x:c>
      <x:c r="D1829" t="str" s="2">
        <x:f>=""</x:f>
      </x:c>
      <x:c r="E1829" t="str" s="2">
        <x:v>Jefferson Hicks</x:v>
      </x:c>
      <x:c r="F1829" t="str" s="2">
        <x:v>Walk-in</x:v>
      </x:c>
      <x:c r="G1829" t="str" s="2">
        <x:v>Heritage Housing of Tulsa</x:v>
      </x:c>
      <x:c r="H1829" t="str" s="2">
        <x:v>Jenna Fransisco</x:v>
      </x:c>
      <x:c r="I1829" s="0"/>
      <x:c r="J1829" s="0"/>
      <x:c r="K1829" t="n" s="2">
        <x:v>5</x:v>
      </x:c>
      <x:c r="L1829" t="str" s="2">
        <x:v>1.1</x:v>
      </x:c>
      <x:c r="M1829" t="str" s="2">
        <x:v>Tentative</x:v>
      </x:c>
      <x:c r="N1829" t="str" s="2">
        <x:v>Prospect</x:v>
      </x:c>
      <x:c r="O1829" s="0"/>
      <x:c r="P1829" s="6">
        <x:v>46295</x:v>
      </x:c>
      <x:c r="Q1829" s="6">
        <x:v>46295.899748414355</x:v>
      </x:c>
      <x:c r="R1829" s="0"/>
      <x:c r="S1829" s="0"/>
      <x:c r="T1829" s="0"/>
      <x:c r="U1829" s="0"/>
      <x:c r="V1829" s="0"/>
      <x:c r="W1829" s="0"/>
      <x:c r="X1829" t="str" s="2">
        <x:v>9185764527</x:v>
      </x:c>
      <x:c r="Y1829" t="str" s="2">
        <x:v>nivsv2230@gmail.com</x:v>
      </x:c>
      <x:c r="Z1829" s="0"/>
      <x:c r="AA1829" s="0"/>
      <x:c r="AB1829" s="6">
        <x:v>46295.87635868056</x:v>
      </x:c>
      <x:c r="AC1829" t="n" s="2">
        <x:v>40495</x:v>
      </x:c>
      <x:c r="AD1829" s="0"/>
      <x:c r="AE1829" s="0"/>
      <x:c r="AF1829" s="0"/>
      <x:c r="AG1829" s="0"/>
      <x:c r="AH1829" s="0"/>
      <x:c r="AI1829" s="0"/>
      <x:c r="AJ1829" s="0"/>
      <x:c r="AK1829" s="0"/>
    </x:row>
    <x:row r="1830">
      <x:c r="A1830" t="str" s="2">
        <x:f>=HYPERLINK("https://rsms.futurehomex.com/lead/40496", "Natasha Carter")</x:f>
      </x:c>
      <x:c r="B1830" t="n" s="2">
        <x:v>13</x:v>
      </x:c>
      <x:c r="C1830" t="str" s="2">
        <x:v/>
      </x:c>
      <x:c r="D1830" t="str" s="2">
        <x:f>=""</x:f>
      </x:c>
      <x:c r="E1830" s="0"/>
      <x:c r="F1830" t="str" s="2">
        <x:v>Facebook Messenger</x:v>
      </x:c>
      <x:c r="G1830" t="str" s="2">
        <x:v>Heritage Housing of Athens</x:v>
      </x:c>
      <x:c r="H1830" t="str" s="2">
        <x:v>Nathan Bishop</x:v>
      </x:c>
      <x:c r="I1830" s="0"/>
      <x:c r="J1830" t="str" s="2">
        <x:v>Nathan Bishop</x:v>
      </x:c>
      <x:c r="K1830" t="n" s="2">
        <x:v>5</x:v>
      </x:c>
      <x:c r="L1830" t="str" s="2">
        <x:v>1.1</x:v>
      </x:c>
      <x:c r="M1830" t="str" s="2">
        <x:v>Tentative</x:v>
      </x:c>
      <x:c r="N1830" t="str" s="2">
        <x:v>Deal Created</x:v>
      </x:c>
      <x:c r="O1830" s="0"/>
      <x:c r="P1830" s="6">
        <x:v>46295</x:v>
      </x:c>
      <x:c r="Q1830" s="6">
        <x:v>46295.89174027778</x:v>
      </x:c>
      <x:c r="R1830" s="0"/>
      <x:c r="S1830" s="6">
        <x:v>46295</x:v>
      </x:c>
      <x:c r="T1830" s="0"/>
      <x:c r="U1830" s="0"/>
      <x:c r="V1830" s="0"/>
      <x:c r="W1830" s="0"/>
      <x:c r="X1830" t="str" s="2">
        <x:v>6789738311</x:v>
      </x:c>
      <x:c r="Y1830" t="str" s="2">
        <x:v>natashaec82@gmail.com</x:v>
      </x:c>
      <x:c r="Z1830" s="6">
        <x:v>46295.93858815972</x:v>
      </x:c>
      <x:c r="AA1830" t="str" s="2">
        <x:v>Nathan Bishop</x:v>
      </x:c>
      <x:c r="AB1830" s="6">
        <x:v>46295.89174209491</x:v>
      </x:c>
      <x:c r="AC1830" t="n" s="2">
        <x:v>40496</x:v>
      </x:c>
      <x:c r="AD1830" s="0"/>
      <x:c r="AE1830" s="0"/>
      <x:c r="AF1830" s="0"/>
      <x:c r="AG1830" s="0"/>
      <x:c r="AH1830" s="0"/>
      <x:c r="AI1830" s="0"/>
      <x:c r="AJ1830" s="0"/>
      <x:c r="AK1830" s="0"/>
    </x:row>
    <x:row r="1831">
      <x:c r="A1831" t="str" s="2">
        <x:f>=HYPERLINK("https://rsms.futurehomex.com/lead/40497", "Lyman Pray")</x:f>
      </x:c>
      <x:c r="B1831" t="n" s="2">
        <x:v>13</x:v>
      </x:c>
      <x:c r="C1831" t="str" s="2">
        <x:v>0/3</x:v>
      </x:c>
      <x:c r="D1831" t="str" s="2">
        <x:f>=""</x:f>
      </x:c>
      <x:c r="E1831" s="0"/>
      <x:c r="F1831" t="str" s="2">
        <x:v>Facebook Messenger</x:v>
      </x:c>
      <x:c r="G1831" t="str" s="2">
        <x:v>Heritage Housing of Oklahoma City</x:v>
      </x:c>
      <x:c r="H1831" t="str" s="2">
        <x:v>Devon McCoy</x:v>
      </x:c>
      <x:c r="I1831" t="str" s="2">
        <x:v>Karol Romero</x:v>
      </x:c>
      <x:c r="J1831" t="str" s="2">
        <x:v>Devon McCoy</x:v>
      </x:c>
      <x:c r="K1831" t="n" s="2">
        <x:v>5</x:v>
      </x:c>
      <x:c r="L1831" t="str" s="2">
        <x:v>1.1</x:v>
      </x:c>
      <x:c r="M1831" t="str" s="2">
        <x:v>Tentative</x:v>
      </x:c>
      <x:c r="N1831" t="str" s="2">
        <x:v>Prospect</x:v>
      </x:c>
      <x:c r="O1831" s="0"/>
      <x:c r="P1831" s="6">
        <x:v>46295</x:v>
      </x:c>
      <x:c r="Q1831" s="6">
        <x:v>46295.900876817126</x:v>
      </x:c>
      <x:c r="R1831" s="0"/>
      <x:c r="S1831" s="6">
        <x:v>46295</x:v>
      </x:c>
      <x:c r="T1831" s="0"/>
      <x:c r="U1831" s="0"/>
      <x:c r="V1831" s="0"/>
      <x:c r="W1831" s="0"/>
      <x:c r="X1831" t="str" s="2">
        <x:v>4059908187</x:v>
      </x:c>
      <x:c r="Y1831" t="str" s="2">
        <x:v>4059908187</x:v>
      </x:c>
      <x:c r="Z1831" s="6">
        <x:v>46304.69192534722</x:v>
      </x:c>
      <x:c r="AA1831" t="str" s="2">
        <x:v>Devon McCoy</x:v>
      </x:c>
      <x:c r="AB1831" s="6">
        <x:v>46295.90087820602</x:v>
      </x:c>
      <x:c r="AC1831" t="n" s="2">
        <x:v>40497</x:v>
      </x:c>
      <x:c r="AD1831" s="0"/>
      <x:c r="AE1831" s="0"/>
      <x:c r="AF1831" s="0"/>
      <x:c r="AG1831" s="0"/>
      <x:c r="AH1831" s="0"/>
      <x:c r="AI1831" s="0"/>
      <x:c r="AJ1831" s="0"/>
      <x:c r="AK1831" s="0"/>
    </x:row>
    <x:row r="1832">
      <x:c r="A1832" t="str" s="2">
        <x:f>=HYPERLINK("https://rsms.futurehomex.com/lead/40498", "Pam Curry")</x:f>
      </x:c>
      <x:c r="B1832" t="n" s="2">
        <x:v>13</x:v>
      </x:c>
      <x:c r="C1832" t="str" s="2">
        <x:v/>
      </x:c>
      <x:c r="D1832" t="str" s="2">
        <x:f>=""</x:f>
      </x:c>
      <x:c r="E1832" s="0"/>
      <x:c r="F1832" t="str" s="2">
        <x:v>Website</x:v>
      </x:c>
      <x:c r="G1832" t="str" s="2">
        <x:v>Heritage Housing of Oklahoma City</x:v>
      </x:c>
      <x:c r="H1832" t="str" s="2">
        <x:v>Noemi Rojo</x:v>
      </x:c>
      <x:c r="I1832" s="0"/>
      <x:c r="J1832" t="str" s="2">
        <x:v>Noemi Rojo</x:v>
      </x:c>
      <x:c r="K1832" t="n" s="2">
        <x:v>5</x:v>
      </x:c>
      <x:c r="L1832" t="str" s="2">
        <x:v>1.1</x:v>
      </x:c>
      <x:c r="M1832" t="str" s="2">
        <x:v>Tentative</x:v>
      </x:c>
      <x:c r="N1832" t="str" s="2">
        <x:v>Deal Created</x:v>
      </x:c>
      <x:c r="O1832" s="0"/>
      <x:c r="P1832" s="6">
        <x:v>46295</x:v>
      </x:c>
      <x:c r="Q1832" s="6">
        <x:v>46295.93442873842</x:v>
      </x:c>
      <x:c r="R1832" s="0"/>
      <x:c r="S1832" s="0"/>
      <x:c r="T1832" s="0"/>
      <x:c r="U1832" s="0"/>
      <x:c r="V1832" s="0"/>
      <x:c r="W1832" s="0"/>
      <x:c r="X1832" t="str" s="2">
        <x:v>7725381559</x:v>
      </x:c>
      <x:c r="Y1832" t="str" s="2">
        <x:v>howdie00@outlook.com</x:v>
      </x:c>
      <x:c r="Z1832" s="0"/>
      <x:c r="AA1832" s="0"/>
      <x:c r="AB1832" s="6">
        <x:v>46295.934286261574</x:v>
      </x:c>
      <x:c r="AC1832" t="n" s="2">
        <x:v>40498</x:v>
      </x:c>
      <x:c r="AD1832" s="0"/>
      <x:c r="AE1832" s="0"/>
      <x:c r="AF1832" s="0"/>
      <x:c r="AG1832" s="0"/>
      <x:c r="AH1832" s="0"/>
      <x:c r="AI1832" s="0"/>
      <x:c r="AJ1832" s="0"/>
      <x:c r="AK1832" s="0"/>
    </x:row>
    <x:row r="1833">
      <x:c r="A1833" t="str" s="2">
        <x:f>=HYPERLINK("https://rsms.futurehomex.com/lead/40499", "Russell Kelly")</x:f>
      </x:c>
      <x:c r="B1833" t="n" s="2">
        <x:v>12</x:v>
      </x:c>
      <x:c r="C1833" t="str" s="2">
        <x:v/>
      </x:c>
      <x:c r="D1833" t="str" s="2">
        <x:f>=""</x:f>
      </x:c>
      <x:c r="E1833" s="0"/>
      <x:c r="F1833" t="str" s="2">
        <x:v>Walk-in</x:v>
      </x:c>
      <x:c r="G1833" t="str" s="2">
        <x:v>Heritage Housing of Albany</x:v>
      </x:c>
      <x:c r="H1833" t="str" s="2">
        <x:v>Justin Johnson</x:v>
      </x:c>
      <x:c r="I1833" s="0"/>
      <x:c r="J1833" t="str" s="2">
        <x:v>Yanet Alvarez</x:v>
      </x:c>
      <x:c r="K1833" t="n" s="2">
        <x:v>5</x:v>
      </x:c>
      <x:c r="L1833" t="str" s="2">
        <x:v>1.1</x:v>
      </x:c>
      <x:c r="M1833" t="str" s="2">
        <x:v>Tentative</x:v>
      </x:c>
      <x:c r="N1833" t="str" s="2">
        <x:v>Deal Created</x:v>
      </x:c>
      <x:c r="O1833" s="0"/>
      <x:c r="P1833" s="6">
        <x:v>46296</x:v>
      </x:c>
      <x:c r="Q1833" s="6">
        <x:v>46296.54651056713</x:v>
      </x:c>
      <x:c r="R1833" s="0"/>
      <x:c r="S1833" s="0"/>
      <x:c r="T1833" s="0"/>
      <x:c r="U1833" s="0"/>
      <x:c r="V1833" s="0"/>
      <x:c r="W1833" s="0"/>
      <x:c r="X1833" t="str" s="2">
        <x:v>2292208291</x:v>
      </x:c>
      <x:c r="Y1833" t="str" s="2">
        <x:v>2292208291</x:v>
      </x:c>
      <x:c r="Z1833" s="0"/>
      <x:c r="AA1833" s="0"/>
      <x:c r="AB1833" s="6">
        <x:v>46296.546512581015</x:v>
      </x:c>
      <x:c r="AC1833" t="n" s="2">
        <x:v>40499</x:v>
      </x:c>
      <x:c r="AD1833" s="0"/>
      <x:c r="AE1833" s="0"/>
      <x:c r="AF1833" s="0"/>
      <x:c r="AG1833" s="0"/>
      <x:c r="AH1833" s="0"/>
      <x:c r="AI1833" s="0"/>
      <x:c r="AJ1833" s="0"/>
      <x:c r="AK1833" s="0"/>
    </x:row>
    <x:row r="1834">
      <x:c r="A1834" t="str" s="2">
        <x:f>=HYPERLINK("https://rsms.futurehomex.com/lead/40500", "Terry Simonton")</x:f>
      </x:c>
      <x:c r="B1834" t="n" s="2">
        <x:v>12</x:v>
      </x:c>
      <x:c r="C1834" t="str" s="2">
        <x:v/>
      </x:c>
      <x:c r="D1834" t="str" s="2">
        <x:f>=""</x:f>
      </x:c>
      <x:c r="E1834" s="0"/>
      <x:c r="F1834" t="str" s="2">
        <x:v>Walk-in</x:v>
      </x:c>
      <x:c r="G1834" t="str" s="2">
        <x:v>Heritage Housing of Athens</x:v>
      </x:c>
      <x:c r="H1834" t="str" s="2">
        <x:v>Nathan Bishop</x:v>
      </x:c>
      <x:c r="I1834" s="0"/>
      <x:c r="J1834" t="str" s="2">
        <x:v>Nathan Bishop</x:v>
      </x:c>
      <x:c r="K1834" t="n" s="2">
        <x:v>5</x:v>
      </x:c>
      <x:c r="L1834" t="str" s="2">
        <x:v>1.1</x:v>
      </x:c>
      <x:c r="M1834" t="str" s="2">
        <x:v>Tentative</x:v>
      </x:c>
      <x:c r="N1834" t="str" s="2">
        <x:v>Deal Created</x:v>
      </x:c>
      <x:c r="O1834" s="0"/>
      <x:c r="P1834" s="6">
        <x:v>46296</x:v>
      </x:c>
      <x:c r="Q1834" s="6">
        <x:v>46296.56585601852</x:v>
      </x:c>
      <x:c r="R1834" s="0"/>
      <x:c r="S1834" s="6">
        <x:v>46292</x:v>
      </x:c>
      <x:c r="T1834" s="0"/>
      <x:c r="U1834" s="0"/>
      <x:c r="V1834" s="0"/>
      <x:c r="W1834" s="0"/>
      <x:c r="X1834" t="str" s="2">
        <x:v>6789751767</x:v>
      </x:c>
      <x:c r="Y1834" t="str" s="2">
        <x:v>6789751767</x:v>
      </x:c>
      <x:c r="Z1834" s="6">
        <x:v>46296.56684105324</x:v>
      </x:c>
      <x:c r="AA1834" t="str" s="2">
        <x:v>Nathan Bishop</x:v>
      </x:c>
      <x:c r="AB1834" s="6">
        <x:v>46296.56585763889</x:v>
      </x:c>
      <x:c r="AC1834" t="n" s="2">
        <x:v>40500</x:v>
      </x:c>
      <x:c r="AD1834" s="0"/>
      <x:c r="AE1834" s="0"/>
      <x:c r="AF1834" s="0"/>
      <x:c r="AG1834" s="0"/>
      <x:c r="AH1834" s="0"/>
      <x:c r="AI1834" s="0"/>
      <x:c r="AJ1834" s="0"/>
      <x:c r="AK1834" s="0"/>
    </x:row>
    <x:row r="1835">
      <x:c r="A1835" t="str" s="2">
        <x:f>=HYPERLINK("https://rsms.futurehomex.com/lead/40501", "JERRY BROWN BROWN")</x:f>
      </x:c>
      <x:c r="B1835" t="n" s="2">
        <x:v>12</x:v>
      </x:c>
      <x:c r="C1835" t="str" s="2">
        <x:v>1/1</x:v>
      </x:c>
      <x:c r="D1835" t="str" s="2">
        <x:f>=""</x:f>
      </x:c>
      <x:c r="E1835" s="0"/>
      <x:c r="F1835" t="str" s="2">
        <x:v>Landing_BPM</x:v>
      </x:c>
      <x:c r="G1835" t="str" s="2">
        <x:v>Heritage Housing of Asheboro</x:v>
      </x:c>
      <x:c r="H1835" t="str" s="2">
        <x:v>Kate Gutierrez</x:v>
      </x:c>
      <x:c r="I1835" s="0"/>
      <x:c r="J1835" t="str" s="2">
        <x:v>Kate Gutierrez</x:v>
      </x:c>
      <x:c r="K1835" t="n" s="2">
        <x:v>5</x:v>
      </x:c>
      <x:c r="L1835" t="str" s="2">
        <x:v>1.1</x:v>
      </x:c>
      <x:c r="M1835" t="str" s="2">
        <x:v>Tentative</x:v>
      </x:c>
      <x:c r="N1835" t="str" s="2">
        <x:v>Prospect</x:v>
      </x:c>
      <x:c r="O1835" s="0"/>
      <x:c r="P1835" s="6">
        <x:v>46296</x:v>
      </x:c>
      <x:c r="Q1835" s="6">
        <x:v>46296.59431728009</x:v>
      </x:c>
      <x:c r="R1835" s="0"/>
      <x:c r="S1835" s="0"/>
      <x:c r="T1835" s="0"/>
      <x:c r="U1835" s="0"/>
      <x:c r="V1835" s="0"/>
      <x:c r="W1835" s="0"/>
      <x:c r="X1835" t="str" s="2">
        <x:v>4048079259</x:v>
      </x:c>
      <x:c r="Y1835" t="str" s="2">
        <x:v>jbrown6689@yahoo.com</x:v>
      </x:c>
      <x:c r="Z1835" s="0"/>
      <x:c r="AA1835" s="0"/>
      <x:c r="AB1835" s="6">
        <x:v>46296.59431782407</x:v>
      </x:c>
      <x:c r="AC1835" t="n" s="2">
        <x:v>40501</x:v>
      </x:c>
      <x:c r="AD1835" s="0"/>
      <x:c r="AE1835" s="0"/>
      <x:c r="AF1835" s="0"/>
      <x:c r="AG1835" s="0"/>
      <x:c r="AH1835" s="0"/>
      <x:c r="AI1835" s="0"/>
      <x:c r="AJ1835" s="0"/>
      <x:c r="AK1835" s="0"/>
    </x:row>
    <x:row r="1836">
      <x:c r="A1836" t="str" s="2">
        <x:f>=HYPERLINK("https://rsms.futurehomex.com/lead/40502", "Olando Newell")</x:f>
      </x:c>
      <x:c r="B1836" t="n" s="2">
        <x:v>12</x:v>
      </x:c>
      <x:c r="C1836" t="str" s="2">
        <x:v/>
      </x:c>
      <x:c r="D1836" t="str" s="2">
        <x:f>=""</x:f>
      </x:c>
      <x:c r="E1836" s="0"/>
      <x:c r="F1836" t="str" s="2">
        <x:v>Facebook Messenger</x:v>
      </x:c>
      <x:c r="G1836" t="str" s="2">
        <x:v>Heritage Housing of Athens</x:v>
      </x:c>
      <x:c r="H1836" t="str" s="2">
        <x:v>Nathan Bishop</x:v>
      </x:c>
      <x:c r="I1836" s="0"/>
      <x:c r="J1836" t="str" s="2">
        <x:v>Nathan Bishop</x:v>
      </x:c>
      <x:c r="K1836" t="n" s="2">
        <x:v>21</x:v>
      </x:c>
      <x:c r="L1836" t="str" s="2">
        <x:v>2.1</x:v>
      </x:c>
      <x:c r="M1836" t="str" s="2">
        <x:v>Tentative</x:v>
      </x:c>
      <x:c r="N1836" t="str" s="2">
        <x:v>Qualified</x:v>
      </x:c>
      <x:c r="O1836" s="0"/>
      <x:c r="P1836" s="6">
        <x:v>46296</x:v>
      </x:c>
      <x:c r="Q1836" s="6">
        <x:v>46296.61779456019</x:v>
      </x:c>
      <x:c r="R1836" s="0"/>
      <x:c r="S1836" s="0"/>
      <x:c r="T1836" s="0"/>
      <x:c r="U1836" s="0"/>
      <x:c r="V1836" s="0"/>
      <x:c r="W1836" s="0"/>
      <x:c r="X1836" t="str" s="2">
        <x:v>6784161092</x:v>
      </x:c>
      <x:c r="Y1836" t="str" s="2">
        <x:v>6784161092</x:v>
      </x:c>
      <x:c r="Z1836" s="6">
        <x:v>46296.7228349537</x:v>
      </x:c>
      <x:c r="AA1836" t="str" s="2">
        <x:v>Jeremy Jacques</x:v>
      </x:c>
      <x:c r="AB1836" s="6">
        <x:v>46296.61779603009</x:v>
      </x:c>
      <x:c r="AC1836" t="n" s="2">
        <x:v>40502</x:v>
      </x:c>
      <x:c r="AD1836" s="0"/>
      <x:c r="AE1836" s="0"/>
      <x:c r="AF1836" s="0"/>
      <x:c r="AG1836" s="0"/>
      <x:c r="AH1836" s="0"/>
      <x:c r="AI1836" s="0"/>
      <x:c r="AJ1836" s="0"/>
      <x:c r="AK1836" s="0"/>
    </x:row>
    <x:row r="1837">
      <x:c r="A1837" t="str" s="2">
        <x:f>=HYPERLINK("https://rsms.futurehomex.com/lead/40503", "Linda Sisk")</x:f>
      </x:c>
      <x:c r="B1837" t="n" s="2">
        <x:v>12</x:v>
      </x:c>
      <x:c r="C1837" t="str" s="2">
        <x:v/>
      </x:c>
      <x:c r="D1837" t="str" s="2">
        <x:f>=""</x:f>
      </x:c>
      <x:c r="E1837" s="0"/>
      <x:c r="F1837" t="str" s="2">
        <x:v>Walk-in</x:v>
      </x:c>
      <x:c r="G1837" t="str" s="2">
        <x:v>Heritage Housing of Athens</x:v>
      </x:c>
      <x:c r="H1837" t="str" s="2">
        <x:v>Ethan Fossett</x:v>
      </x:c>
      <x:c r="I1837" s="0"/>
      <x:c r="J1837" s="0"/>
      <x:c r="K1837" t="n" s="2">
        <x:v>21</x:v>
      </x:c>
      <x:c r="L1837" t="str" s="2">
        <x:v>2.1</x:v>
      </x:c>
      <x:c r="M1837" t="str" s="2">
        <x:v>Tentative</x:v>
      </x:c>
      <x:c r="N1837" t="str" s="2">
        <x:v>Qualified</x:v>
      </x:c>
      <x:c r="O1837" s="0"/>
      <x:c r="P1837" s="6">
        <x:v>46296</x:v>
      </x:c>
      <x:c r="Q1837" s="6">
        <x:v>46296.723153125</x:v>
      </x:c>
      <x:c r="R1837" s="0"/>
      <x:c r="S1837" s="0"/>
      <x:c r="T1837" s="0"/>
      <x:c r="U1837" s="0"/>
      <x:c r="V1837" s="0"/>
      <x:c r="W1837" s="0"/>
      <x:c r="X1837" t="str" s="2">
        <x:v>7062445067</x:v>
      </x:c>
      <x:c r="Y1837" t="str" s="2">
        <x:v>lindajeansisk@yahoo.com</x:v>
      </x:c>
      <x:c r="Z1837" s="6">
        <x:v>46296.723140821756</x:v>
      </x:c>
      <x:c r="AA1837" t="str" s="2">
        <x:v>Jeremy Jacques</x:v>
      </x:c>
      <x:c r="AB1837" s="6">
        <x:v>46296.62621793982</x:v>
      </x:c>
      <x:c r="AC1837" t="n" s="2">
        <x:v>40503</x:v>
      </x:c>
      <x:c r="AD1837" s="0"/>
      <x:c r="AE1837" s="0"/>
      <x:c r="AF1837" s="0"/>
      <x:c r="AG1837" s="0"/>
      <x:c r="AH1837" s="0"/>
      <x:c r="AI1837" s="0"/>
      <x:c r="AJ1837" s="0"/>
      <x:c r="AK1837" s="0"/>
    </x:row>
    <x:row r="1838">
      <x:c r="A1838" t="str" s="2">
        <x:f>=HYPERLINK("https://rsms.futurehomex.com/lead/40504", "Louden Grover")</x:f>
      </x:c>
      <x:c r="B1838" t="n" s="2">
        <x:v>12</x:v>
      </x:c>
      <x:c r="C1838" t="str" s="2">
        <x:v/>
      </x:c>
      <x:c r="D1838" t="str" s="2">
        <x:f>=""</x:f>
      </x:c>
      <x:c r="E1838" s="0"/>
      <x:c r="F1838" t="str" s="2">
        <x:v>Walk-in</x:v>
      </x:c>
      <x:c r="G1838" t="str" s="2">
        <x:v>Heritage Housing of Augusta</x:v>
      </x:c>
      <x:c r="H1838" t="str" s="2">
        <x:v>Jose Chavez</x:v>
      </x:c>
      <x:c r="I1838" s="0"/>
      <x:c r="J1838" s="0"/>
      <x:c r="K1838" t="n" s="2">
        <x:v>21</x:v>
      </x:c>
      <x:c r="L1838" t="str" s="2">
        <x:v>2.1</x:v>
      </x:c>
      <x:c r="M1838" t="str" s="2">
        <x:v>Tentative</x:v>
      </x:c>
      <x:c r="N1838" t="str" s="2">
        <x:v>Qualified</x:v>
      </x:c>
      <x:c r="O1838" s="0"/>
      <x:c r="P1838" s="6">
        <x:v>46296</x:v>
      </x:c>
      <x:c r="Q1838" s="6">
        <x:v>46296.78136871528</x:v>
      </x:c>
      <x:c r="R1838" s="0"/>
      <x:c r="S1838" s="0"/>
      <x:c r="T1838" s="0"/>
      <x:c r="U1838" s="0"/>
      <x:c r="V1838" s="0"/>
      <x:c r="W1838" s="0"/>
      <x:c r="X1838" t="str" s="2">
        <x:v>9125966750</x:v>
      </x:c>
      <x:c r="Y1838" t="str" s="2">
        <x:v>groverlouden@yahoo.com</x:v>
      </x:c>
      <x:c r="Z1838" s="6">
        <x:v>46296.87406809028</x:v>
      </x:c>
      <x:c r="AA1838" t="str" s="2">
        <x:v>Jose Chavez</x:v>
      </x:c>
      <x:c r="AB1838" s="6">
        <x:v>46296.63492858796</x:v>
      </x:c>
      <x:c r="AC1838" t="n" s="2">
        <x:v>40504</x:v>
      </x:c>
      <x:c r="AD1838" s="0"/>
      <x:c r="AE1838" s="0"/>
      <x:c r="AF1838" s="0"/>
      <x:c r="AG1838" s="0"/>
      <x:c r="AH1838" s="0"/>
      <x:c r="AI1838" s="0"/>
      <x:c r="AJ1838" s="0"/>
      <x:c r="AK1838" s="0"/>
    </x:row>
    <x:row r="1839">
      <x:c r="A1839" t="str" s="2">
        <x:f>=HYPERLINK("https://rsms.futurehomex.com/lead/40505", "Teresa Sanabria")</x:f>
      </x:c>
      <x:c r="B1839" t="n" s="2">
        <x:v>12</x:v>
      </x:c>
      <x:c r="C1839" t="str" s="2">
        <x:v>0/6</x:v>
      </x:c>
      <x:c r="D1839" t="str" s="2">
        <x:f>=""</x:f>
      </x:c>
      <x:c r="E1839" s="0"/>
      <x:c r="F1839" t="str" s="2">
        <x:v>Walk-in</x:v>
      </x:c>
      <x:c r="G1839" t="str" s="2">
        <x:v>Heritage Housing of Albany</x:v>
      </x:c>
      <x:c r="H1839" t="str" s="2">
        <x:v>Yanet Alvarez</x:v>
      </x:c>
      <x:c r="I1839" s="0"/>
      <x:c r="J1839" t="str" s="2">
        <x:v>Yanet Alvarez</x:v>
      </x:c>
      <x:c r="K1839" t="n" s="2">
        <x:v>59</x:v>
      </x:c>
      <x:c r="L1839" t="str" s="2">
        <x:v>4.3</x:v>
      </x:c>
      <x:c r="M1839" t="str" s="2">
        <x:v>Active</x:v>
      </x:c>
      <x:c r="N1839" t="str" s="2">
        <x:v>Loan Approved</x:v>
      </x:c>
      <x:c r="O1839" s="0"/>
      <x:c r="P1839" s="6">
        <x:v>46296</x:v>
      </x:c>
      <x:c r="Q1839" s="6">
        <x:v>46300.91144927083</x:v>
      </x:c>
      <x:c r="R1839" s="0"/>
      <x:c r="S1839" s="6">
        <x:v>46296</x:v>
      </x:c>
      <x:c r="T1839" s="0"/>
      <x:c r="U1839" s="6">
        <x:v>46299</x:v>
      </x:c>
      <x:c r="V1839" s="0"/>
      <x:c r="W1839" s="0"/>
      <x:c r="X1839" t="str" s="2">
        <x:v>4783973608</x:v>
      </x:c>
      <x:c r="Y1839" t="str" s="2">
        <x:v>teresitasmaran@gmail.com</x:v>
      </x:c>
      <x:c r="Z1839" s="6">
        <x:v>46305.83884846065</x:v>
      </x:c>
      <x:c r="AA1839" t="str" s="2">
        <x:v>Yanet Alvarez</x:v>
      </x:c>
      <x:c r="AB1839" s="6">
        <x:v>46296.64606315972</x:v>
      </x:c>
      <x:c r="AC1839" t="n" s="2">
        <x:v>40505</x:v>
      </x:c>
      <x:c r="AD1839" t="str" s="2">
        <x:v>Singlewide</x:v>
      </x:c>
      <x:c r="AE1839" t="str" s="2">
        <x:v>Legacy Housing Corporation</x:v>
      </x:c>
      <x:c r="AF1839" s="0"/>
      <x:c r="AG1839" s="7">
        <x:v>10204.01</x:v>
      </x:c>
      <x:c r="AH1839" s="0"/>
      <x:c r="AI1839" t="str" s="2">
        <x:v>621</x:v>
      </x:c>
      <x:c r="AJ1839" s="0"/>
      <x:c r="AK1839" s="0"/>
    </x:row>
    <x:row r="1840">
      <x:c r="A1840" t="str" s="2">
        <x:f>=HYPERLINK("https://rsms.futurehomex.com/lead/40506", "Ricardo Guadarrama")</x:f>
      </x:c>
      <x:c r="B1840" t="n" s="2">
        <x:v>12</x:v>
      </x:c>
      <x:c r="C1840" t="str" s="2">
        <x:v/>
      </x:c>
      <x:c r="D1840" t="str" s="2">
        <x:f>=""</x:f>
      </x:c>
      <x:c r="E1840" s="0"/>
      <x:c r="F1840" t="str" s="2">
        <x:v>Walk-in</x:v>
      </x:c>
      <x:c r="G1840" t="str" s="2">
        <x:v>Heritage Housing of Athens</x:v>
      </x:c>
      <x:c r="H1840" t="str" s="2">
        <x:v>Nathan Bishop</x:v>
      </x:c>
      <x:c r="I1840" s="0"/>
      <x:c r="J1840" s="0"/>
      <x:c r="K1840" t="n" s="2">
        <x:v>5</x:v>
      </x:c>
      <x:c r="L1840" t="str" s="2">
        <x:v>1.1</x:v>
      </x:c>
      <x:c r="M1840" t="str" s="2">
        <x:v>Tentative</x:v>
      </x:c>
      <x:c r="N1840" t="str" s="2">
        <x:v>Prospect</x:v>
      </x:c>
      <x:c r="O1840" s="0"/>
      <x:c r="P1840" s="6">
        <x:v>46296</x:v>
      </x:c>
      <x:c r="Q1840" s="6">
        <x:v>46296.64706091435</x:v>
      </x:c>
      <x:c r="R1840" s="0"/>
      <x:c r="S1840" s="0"/>
      <x:c r="T1840" s="0"/>
      <x:c r="U1840" s="0"/>
      <x:c r="V1840" s="0"/>
      <x:c r="W1840" s="0"/>
      <x:c r="X1840" t="str" s="2">
        <x:v>7063714101</x:v>
      </x:c>
      <x:c r="Y1840" t="str" s="2">
        <x:v>ricardoguadarramajr.18@gmail.com</x:v>
      </x:c>
      <x:c r="Z1840" s="6">
        <x:v>46296.693340011574</x:v>
      </x:c>
      <x:c r="AA1840" t="str" s="2">
        <x:v>Nathan Bishop</x:v>
      </x:c>
      <x:c r="AB1840" s="6">
        <x:v>46296.64706137731</x:v>
      </x:c>
      <x:c r="AC1840" t="n" s="2">
        <x:v>40506</x:v>
      </x:c>
      <x:c r="AD1840" s="0"/>
      <x:c r="AE1840" s="0"/>
      <x:c r="AF1840" s="0"/>
      <x:c r="AG1840" s="0"/>
      <x:c r="AH1840" s="0"/>
      <x:c r="AI1840" s="0"/>
      <x:c r="AJ1840" s="0"/>
      <x:c r="AK1840" s="0"/>
    </x:row>
    <x:row r="1841">
      <x:c r="A1841" t="str" s="2">
        <x:f>=HYPERLINK("https://rsms.futurehomex.com/lead/40507", "Shantna young")</x:f>
      </x:c>
      <x:c r="B1841" t="n" s="2">
        <x:v>12</x:v>
      </x:c>
      <x:c r="C1841" t="str" s="2">
        <x:v/>
      </x:c>
      <x:c r="D1841" t="str" s="2">
        <x:f>=""</x:f>
      </x:c>
      <x:c r="E1841" s="0"/>
      <x:c r="F1841" t="str" s="2">
        <x:v>Landing_BPM</x:v>
      </x:c>
      <x:c r="G1841" t="str" s="2">
        <x:v>Heritage Housing of Oklahoma City</x:v>
      </x:c>
      <x:c r="H1841" t="str" s="2">
        <x:v>Noemi Rojo</x:v>
      </x:c>
      <x:c r="I1841" s="0"/>
      <x:c r="J1841" t="str" s="2">
        <x:v>Noemi Rojo</x:v>
      </x:c>
      <x:c r="K1841" t="n" s="2">
        <x:v>5</x:v>
      </x:c>
      <x:c r="L1841" t="str" s="2">
        <x:v>1.1</x:v>
      </x:c>
      <x:c r="M1841" t="str" s="2">
        <x:v>Tentative</x:v>
      </x:c>
      <x:c r="N1841" t="str" s="2">
        <x:v>Deal Created</x:v>
      </x:c>
      <x:c r="O1841" s="0"/>
      <x:c r="P1841" s="6">
        <x:v>46296</x:v>
      </x:c>
      <x:c r="Q1841" s="6">
        <x:v>46296.663186956015</x:v>
      </x:c>
      <x:c r="R1841" s="0"/>
      <x:c r="S1841" s="0"/>
      <x:c r="T1841" s="0"/>
      <x:c r="U1841" s="0"/>
      <x:c r="V1841" s="0"/>
      <x:c r="W1841" s="0"/>
      <x:c r="X1841" t="str" s="2">
        <x:v>7252334828</x:v>
      </x:c>
      <x:c r="Y1841" t="str" s="2">
        <x:v>yshantna@gmail.com</x:v>
      </x:c>
      <x:c r="Z1841" s="0"/>
      <x:c r="AA1841" s="0"/>
      <x:c r="AB1841" s="6">
        <x:v>46296.662939236114</x:v>
      </x:c>
      <x:c r="AC1841" t="n" s="2">
        <x:v>40507</x:v>
      </x:c>
      <x:c r="AD1841" s="0"/>
      <x:c r="AE1841" s="0"/>
      <x:c r="AF1841" s="0"/>
      <x:c r="AG1841" s="0"/>
      <x:c r="AH1841" s="0"/>
      <x:c r="AI1841" s="0"/>
      <x:c r="AJ1841" s="0"/>
      <x:c r="AK1841" s="0"/>
    </x:row>
    <x:row r="1842">
      <x:c r="A1842" t="str" s="2">
        <x:f>=HYPERLINK("https://rsms.futurehomex.com/lead/40509", "Savie Helm")</x:f>
      </x:c>
      <x:c r="B1842" t="n" s="2">
        <x:v>12</x:v>
      </x:c>
      <x:c r="C1842" t="str" s="2">
        <x:v>1/2</x:v>
      </x:c>
      <x:c r="D1842" t="str" s="2">
        <x:f>=""</x:f>
      </x:c>
      <x:c r="E1842" s="0"/>
      <x:c r="F1842" t="str" s="2">
        <x:v>Facebook Messenger</x:v>
      </x:c>
      <x:c r="G1842" t="str" s="2">
        <x:v>Heritage Housing of Oklahoma City</x:v>
      </x:c>
      <x:c r="H1842" t="str" s="2">
        <x:v>Steve Castell</x:v>
      </x:c>
      <x:c r="I1842" s="0"/>
      <x:c r="J1842" t="str" s="2">
        <x:v>Steve Castell</x:v>
      </x:c>
      <x:c r="K1842" t="n" s="2">
        <x:v>5</x:v>
      </x:c>
      <x:c r="L1842" t="str" s="2">
        <x:v>1.1</x:v>
      </x:c>
      <x:c r="M1842" t="str" s="2">
        <x:v>Tentative</x:v>
      </x:c>
      <x:c r="N1842" t="str" s="2">
        <x:v>Deal Created</x:v>
      </x:c>
      <x:c r="O1842" s="0"/>
      <x:c r="P1842" s="6">
        <x:v>46296</x:v>
      </x:c>
      <x:c r="Q1842" s="6">
        <x:v>46296.67058938657</x:v>
      </x:c>
      <x:c r="R1842" s="0"/>
      <x:c r="S1842" s="0"/>
      <x:c r="T1842" s="0"/>
      <x:c r="U1842" s="0"/>
      <x:c r="V1842" s="0"/>
      <x:c r="W1842" s="0"/>
      <x:c r="X1842" t="str" s="2">
        <x:v>5807981179</x:v>
      </x:c>
      <x:c r="Y1842" t="str" s="2">
        <x:v>5807981179</x:v>
      </x:c>
      <x:c r="Z1842" s="6">
        <x:v>46303.95437519676</x:v>
      </x:c>
      <x:c r="AA1842" t="str" s="2">
        <x:v>Steve Castell</x:v>
      </x:c>
      <x:c r="AB1842" s="6">
        <x:v>46296.67059001158</x:v>
      </x:c>
      <x:c r="AC1842" t="n" s="2">
        <x:v>40509</x:v>
      </x:c>
      <x:c r="AD1842" s="0"/>
      <x:c r="AE1842" s="0"/>
      <x:c r="AF1842" s="0"/>
      <x:c r="AG1842" s="0"/>
      <x:c r="AH1842" s="0"/>
      <x:c r="AI1842" s="0"/>
      <x:c r="AJ1842" s="0"/>
      <x:c r="AK1842" s="0"/>
    </x:row>
    <x:row r="1843">
      <x:c r="A1843" t="str" s="2">
        <x:f>=HYPERLINK("https://rsms.futurehomex.com/lead/40510", "Joy Leon")</x:f>
      </x:c>
      <x:c r="B1843" t="n" s="2">
        <x:v>12</x:v>
      </x:c>
      <x:c r="C1843" t="str" s="2">
        <x:v/>
      </x:c>
      <x:c r="D1843" t="str" s="2">
        <x:f>=""</x:f>
      </x:c>
      <x:c r="E1843" s="0"/>
      <x:c r="F1843" t="str" s="2">
        <x:v>Walk-in</x:v>
      </x:c>
      <x:c r="G1843" t="str" s="2">
        <x:v>Heritage Housing of Asheboro</x:v>
      </x:c>
      <x:c r="H1843" t="str" s="2">
        <x:v>Kate Gutierrez</x:v>
      </x:c>
      <x:c r="I1843" s="0"/>
      <x:c r="J1843" s="0"/>
      <x:c r="K1843" t="n" s="2">
        <x:v>21</x:v>
      </x:c>
      <x:c r="L1843" t="str" s="2">
        <x:v>2.1</x:v>
      </x:c>
      <x:c r="M1843" t="str" s="2">
        <x:v>Tentative</x:v>
      </x:c>
      <x:c r="N1843" t="str" s="2">
        <x:v>Qualified</x:v>
      </x:c>
      <x:c r="O1843" s="0"/>
      <x:c r="P1843" s="6">
        <x:v>46296</x:v>
      </x:c>
      <x:c r="Q1843" s="6">
        <x:v>46296.72175204861</x:v>
      </x:c>
      <x:c r="R1843" s="0"/>
      <x:c r="S1843" s="0"/>
      <x:c r="T1843" s="0"/>
      <x:c r="U1843" s="0"/>
      <x:c r="V1843" s="0"/>
      <x:c r="W1843" s="0"/>
      <x:c r="X1843" t="str" s="2">
        <x:v>3369649016</x:v>
      </x:c>
      <x:c r="Y1843" t="str" s="2">
        <x:v>joymartinez416@yahoo.com</x:v>
      </x:c>
      <x:c r="Z1843" s="6">
        <x:v>46296.721738506945</x:v>
      </x:c>
      <x:c r="AA1843" t="str" s="2">
        <x:v>Jeremy Jacques</x:v>
      </x:c>
      <x:c r="AB1843" s="6">
        <x:v>46296.6890602662</x:v>
      </x:c>
      <x:c r="AC1843" t="n" s="2">
        <x:v>40510</x:v>
      </x:c>
      <x:c r="AD1843" s="0"/>
      <x:c r="AE1843" s="0"/>
      <x:c r="AF1843" s="0"/>
      <x:c r="AG1843" s="0"/>
      <x:c r="AH1843" s="0"/>
      <x:c r="AI1843" s="0"/>
      <x:c r="AJ1843" s="0"/>
      <x:c r="AK1843" s="0"/>
    </x:row>
    <x:row r="1844">
      <x:c r="A1844" t="str" s="2">
        <x:f>=HYPERLINK("https://rsms.futurehomex.com/lead/40511", "James Ratterree")</x:f>
      </x:c>
      <x:c r="B1844" t="n" s="2">
        <x:v>12</x:v>
      </x:c>
      <x:c r="C1844" t="str" s="2">
        <x:v/>
      </x:c>
      <x:c r="D1844" t="str" s="2">
        <x:f>=""</x:f>
      </x:c>
      <x:c r="E1844" s="0"/>
      <x:c r="F1844" t="str" s="2">
        <x:v>Walk-in</x:v>
      </x:c>
      <x:c r="G1844" t="str" s="2">
        <x:v>Heritage Housing of Tulsa</x:v>
      </x:c>
      <x:c r="H1844" t="str" s="2">
        <x:v>Derek Searcy</x:v>
      </x:c>
      <x:c r="I1844" s="0"/>
      <x:c r="J1844" s="0"/>
      <x:c r="K1844" t="n" s="2">
        <x:v>5</x:v>
      </x:c>
      <x:c r="L1844" t="str" s="2">
        <x:v>1.1</x:v>
      </x:c>
      <x:c r="M1844" t="str" s="2">
        <x:v>Tentative</x:v>
      </x:c>
      <x:c r="N1844" t="str" s="2">
        <x:v>Prospect</x:v>
      </x:c>
      <x:c r="O1844" s="0"/>
      <x:c r="P1844" s="6">
        <x:v>46296</x:v>
      </x:c>
      <x:c r="Q1844" s="6">
        <x:v>46296.75819394676</x:v>
      </x:c>
      <x:c r="R1844" s="0"/>
      <x:c r="S1844" s="0"/>
      <x:c r="T1844" s="0"/>
      <x:c r="U1844" s="0"/>
      <x:c r="V1844" s="0"/>
      <x:c r="W1844" s="0"/>
      <x:c r="X1844" t="str" s="2">
        <x:v>9183486900</x:v>
      </x:c>
      <x:c r="Y1844" t="str" s="2">
        <x:v>ratfox100@gmail.com</x:v>
      </x:c>
      <x:c r="Z1844" s="0"/>
      <x:c r="AA1844" s="0"/>
      <x:c r="AB1844" s="6">
        <x:v>46296.75819609954</x:v>
      </x:c>
      <x:c r="AC1844" t="n" s="2">
        <x:v>40511</x:v>
      </x:c>
      <x:c r="AD1844" s="0"/>
      <x:c r="AE1844" s="0"/>
      <x:c r="AF1844" s="0"/>
      <x:c r="AG1844" s="0"/>
      <x:c r="AH1844" s="0"/>
      <x:c r="AI1844" s="0"/>
      <x:c r="AJ1844" s="0"/>
      <x:c r="AK1844" s="0"/>
    </x:row>
    <x:row r="1845">
      <x:c r="A1845" t="str" s="2">
        <x:f>=HYPERLINK("https://rsms.futurehomex.com/lead/40512", "Jerome Anderson")</x:f>
      </x:c>
      <x:c r="B1845" t="n" s="2">
        <x:v>12</x:v>
      </x:c>
      <x:c r="C1845" t="str" s="2">
        <x:v/>
      </x:c>
      <x:c r="D1845" t="str" s="2">
        <x:f>=""</x:f>
      </x:c>
      <x:c r="E1845" s="0"/>
      <x:c r="F1845" t="str" s="2">
        <x:v>Landing_BPM</x:v>
      </x:c>
      <x:c r="G1845" t="str" s="2">
        <x:v>Heritage Housing of Athens</x:v>
      </x:c>
      <x:c r="H1845" t="str" s="2">
        <x:v>Ethan Fossett</x:v>
      </x:c>
      <x:c r="I1845" s="0"/>
      <x:c r="J1845" t="str" s="2">
        <x:v>Ethan Fossett</x:v>
      </x:c>
      <x:c r="K1845" t="n" s="2">
        <x:v>5</x:v>
      </x:c>
      <x:c r="L1845" t="str" s="2">
        <x:v>1.1</x:v>
      </x:c>
      <x:c r="M1845" t="str" s="2">
        <x:v>Tentative</x:v>
      </x:c>
      <x:c r="N1845" t="str" s="2">
        <x:v>Prospect</x:v>
      </x:c>
      <x:c r="O1845" s="0"/>
      <x:c r="P1845" s="6">
        <x:v>46296</x:v>
      </x:c>
      <x:c r="Q1845" s="6">
        <x:v>46296.76265065972</x:v>
      </x:c>
      <x:c r="R1845" s="0"/>
      <x:c r="S1845" s="0"/>
      <x:c r="T1845" s="0"/>
      <x:c r="U1845" s="0"/>
      <x:c r="V1845" s="0"/>
      <x:c r="W1845" s="0"/>
      <x:c r="X1845" t="str" s="2">
        <x:v>7068181166</x:v>
      </x:c>
      <x:c r="Y1845" t="str" s="2">
        <x:v>jeromeanderson602@gmail.com</x:v>
      </x:c>
      <x:c r="Z1845" s="0"/>
      <x:c r="AA1845" s="0"/>
      <x:c r="AB1845" s="6">
        <x:v>46296.76265130787</x:v>
      </x:c>
      <x:c r="AC1845" t="n" s="2">
        <x:v>40512</x:v>
      </x:c>
      <x:c r="AD1845" s="0"/>
      <x:c r="AE1845" s="0"/>
      <x:c r="AF1845" s="0"/>
      <x:c r="AG1845" s="0"/>
      <x:c r="AH1845" s="0"/>
      <x:c r="AI1845" s="0"/>
      <x:c r="AJ1845" s="0"/>
      <x:c r="AK1845" s="0"/>
    </x:row>
    <x:row r="1846">
      <x:c r="A1846" t="str" s="2">
        <x:f>=HYPERLINK("https://rsms.futurehomex.com/lead/40513", "Steven Burger")</x:f>
      </x:c>
      <x:c r="B1846" t="n" s="2">
        <x:v>12</x:v>
      </x:c>
      <x:c r="C1846" t="str" s="2">
        <x:v>1/1</x:v>
      </x:c>
      <x:c r="D1846" t="str" s="2">
        <x:f>=""</x:f>
      </x:c>
      <x:c r="E1846" t="str" s="2">
        <x:v>Frances Burger</x:v>
      </x:c>
      <x:c r="F1846" t="str" s="2">
        <x:v>Walk-in</x:v>
      </x:c>
      <x:c r="G1846" t="str" s="2">
        <x:v>Heritage Housing of Oklahoma City</x:v>
      </x:c>
      <x:c r="H1846" t="str" s="2">
        <x:v>Trey Rixleben</x:v>
      </x:c>
      <x:c r="I1846" t="str" s="2">
        <x:v>Karol Romero</x:v>
      </x:c>
      <x:c r="J1846" t="str" s="2">
        <x:v>Trey Rixleben</x:v>
      </x:c>
      <x:c r="K1846" t="n" s="2">
        <x:v>5</x:v>
      </x:c>
      <x:c r="L1846" t="str" s="2">
        <x:v>1.1</x:v>
      </x:c>
      <x:c r="M1846" t="str" s="2">
        <x:v>Tentative</x:v>
      </x:c>
      <x:c r="N1846" t="str" s="2">
        <x:v>Deal Created</x:v>
      </x:c>
      <x:c r="O1846" s="0"/>
      <x:c r="P1846" s="6">
        <x:v>46296</x:v>
      </x:c>
      <x:c r="Q1846" s="6">
        <x:v>46296.79281747685</x:v>
      </x:c>
      <x:c r="R1846" s="0"/>
      <x:c r="S1846" s="6">
        <x:v>46296</x:v>
      </x:c>
      <x:c r="T1846" s="0"/>
      <x:c r="U1846" s="0"/>
      <x:c r="V1846" s="0"/>
      <x:c r="W1846" s="0"/>
      <x:c r="X1846" t="str" s="2">
        <x:v>4058274024</x:v>
      </x:c>
      <x:c r="Y1846" t="str" s="2">
        <x:v>4058274024</x:v>
      </x:c>
      <x:c r="Z1846" s="6">
        <x:v>46296.80123804398</x:v>
      </x:c>
      <x:c r="AA1846" t="str" s="2">
        <x:v>Trey Rixleben</x:v>
      </x:c>
      <x:c r="AB1846" s="6">
        <x:v>46296.785197337966</x:v>
      </x:c>
      <x:c r="AC1846" t="n" s="2">
        <x:v>40513</x:v>
      </x:c>
      <x:c r="AD1846" s="0"/>
      <x:c r="AE1846" s="0"/>
      <x:c r="AF1846" s="0"/>
      <x:c r="AG1846" s="0"/>
      <x:c r="AH1846" s="0"/>
      <x:c r="AI1846" s="0"/>
      <x:c r="AJ1846" s="0"/>
      <x:c r="AK1846" s="0"/>
    </x:row>
    <x:row r="1847">
      <x:c r="A1847" t="str" s="2">
        <x:f>=HYPERLINK("https://rsms.futurehomex.com/lead/40514", "Dave Banks")</x:f>
      </x:c>
      <x:c r="B1847" t="n" s="2">
        <x:v>12</x:v>
      </x:c>
      <x:c r="C1847" t="str" s="2">
        <x:v>0/3</x:v>
      </x:c>
      <x:c r="D1847" t="str" s="2">
        <x:f>=""</x:f>
      </x:c>
      <x:c r="E1847" s="0"/>
      <x:c r="F1847" t="str" s="2">
        <x:v>Meta Ads - Messenger</x:v>
      </x:c>
      <x:c r="G1847" t="str" s="2">
        <x:v>Heritage Housing of Oklahoma City</x:v>
      </x:c>
      <x:c r="H1847" t="str" s="2">
        <x:v>Alejandra Calderon</x:v>
      </x:c>
      <x:c r="I1847" t="str" s="2">
        <x:v>Karol Romero</x:v>
      </x:c>
      <x:c r="J1847" t="str" s="2">
        <x:v>Alejandra Calderon</x:v>
      </x:c>
      <x:c r="K1847" t="n" s="2">
        <x:v>5</x:v>
      </x:c>
      <x:c r="L1847" t="str" s="2">
        <x:v>1.1</x:v>
      </x:c>
      <x:c r="M1847" t="str" s="2">
        <x:v>Inactive</x:v>
      </x:c>
      <x:c r="N1847" t="str" s="2">
        <x:v>Deal Created</x:v>
      </x:c>
      <x:c r="O1847" s="0"/>
      <x:c r="P1847" s="6">
        <x:v>46296</x:v>
      </x:c>
      <x:c r="Q1847" s="6">
        <x:v>46296.828114895834</x:v>
      </x:c>
      <x:c r="R1847" s="0"/>
      <x:c r="S1847" s="6">
        <x:v>46297</x:v>
      </x:c>
      <x:c r="T1847" s="0"/>
      <x:c r="U1847" s="0"/>
      <x:c r="V1847" s="0"/>
      <x:c r="W1847" s="0"/>
      <x:c r="X1847" t="str" s="2">
        <x:v>4056958753</x:v>
      </x:c>
      <x:c r="Y1847" t="str" s="2">
        <x:v>4056958753</x:v>
      </x:c>
      <x:c r="Z1847" s="6">
        <x:v>46305.70493371528</x:v>
      </x:c>
      <x:c r="AA1847" t="str" s="2">
        <x:v>Alejandra Calderon</x:v>
      </x:c>
      <x:c r="AB1847" s="6">
        <x:v>46296.82811635417</x:v>
      </x:c>
      <x:c r="AC1847" t="n" s="2">
        <x:v>40514</x:v>
      </x:c>
      <x:c r="AD1847" s="0"/>
      <x:c r="AE1847" s="0"/>
      <x:c r="AF1847" s="0"/>
      <x:c r="AG1847" s="0"/>
      <x:c r="AH1847" s="0"/>
      <x:c r="AI1847" s="0"/>
      <x:c r="AJ1847" s="0"/>
      <x:c r="AK1847" s="0"/>
    </x:row>
    <x:row r="1848">
      <x:c r="A1848" t="str" s="2">
        <x:f>=HYPERLINK("https://rsms.futurehomex.com/lead/40515", "Kris Holder")</x:f>
      </x:c>
      <x:c r="B1848" t="n" s="2">
        <x:v>12</x:v>
      </x:c>
      <x:c r="C1848" t="str" s="2">
        <x:v/>
      </x:c>
      <x:c r="D1848" t="str" s="2">
        <x:f>=""</x:f>
      </x:c>
      <x:c r="E1848" s="0"/>
      <x:c r="F1848" t="str" s="2">
        <x:v>Walk-in</x:v>
      </x:c>
      <x:c r="G1848" t="str" s="2">
        <x:v>Heritage Housing Gainesville</x:v>
      </x:c>
      <x:c r="H1848" t="str" s="2">
        <x:v>Kelly Ford</x:v>
      </x:c>
      <x:c r="I1848" s="0"/>
      <x:c r="J1848" t="str" s="2">
        <x:v>Kelly Ford</x:v>
      </x:c>
      <x:c r="K1848" t="n" s="2">
        <x:v>5</x:v>
      </x:c>
      <x:c r="L1848" t="str" s="2">
        <x:v>1.1</x:v>
      </x:c>
      <x:c r="M1848" t="str" s="2">
        <x:v>Tentative</x:v>
      </x:c>
      <x:c r="N1848" t="str" s="2">
        <x:v>Deal Created</x:v>
      </x:c>
      <x:c r="O1848" s="0"/>
      <x:c r="P1848" s="6">
        <x:v>46296</x:v>
      </x:c>
      <x:c r="Q1848" s="6">
        <x:v>46296.844671527775</x:v>
      </x:c>
      <x:c r="R1848" s="0"/>
      <x:c r="S1848" s="0"/>
      <x:c r="T1848" s="0"/>
      <x:c r="U1848" s="0"/>
      <x:c r="V1848" s="0"/>
      <x:c r="W1848" s="0"/>
      <x:c r="X1848" t="str" s="2">
        <x:v>9408596476</x:v>
      </x:c>
      <x:c r="Y1848" t="str" s="2">
        <x:v>9408596476</x:v>
      </x:c>
      <x:c r="Z1848" s="6">
        <x:v>46296.846756631945</x:v>
      </x:c>
      <x:c r="AA1848" t="str" s="2">
        <x:v>Kelly Ford</x:v>
      </x:c>
      <x:c r="AB1848" s="6">
        <x:v>46296.844673113425</x:v>
      </x:c>
      <x:c r="AC1848" t="n" s="2">
        <x:v>40515</x:v>
      </x:c>
      <x:c r="AD1848" s="0"/>
      <x:c r="AE1848" s="0"/>
      <x:c r="AF1848" s="0"/>
      <x:c r="AG1848" s="0"/>
      <x:c r="AH1848" s="0"/>
      <x:c r="AI1848" s="0"/>
      <x:c r="AJ1848" s="0"/>
      <x:c r="AK1848" s="0"/>
    </x:row>
    <x:row r="1849">
      <x:c r="A1849" t="str" s="2">
        <x:f>=HYPERLINK("https://rsms.futurehomex.com/lead/40516", "Leticia Hernandez")</x:f>
      </x:c>
      <x:c r="B1849" t="n" s="2">
        <x:v>12</x:v>
      </x:c>
      <x:c r="C1849" t="str" s="2">
        <x:v/>
      </x:c>
      <x:c r="D1849" t="str" s="2">
        <x:f>=""</x:f>
      </x:c>
      <x:c r="E1849" s="0"/>
      <x:c r="F1849" t="str" s="2">
        <x:v>Walk-in</x:v>
      </x:c>
      <x:c r="G1849" t="str" s="2">
        <x:v>Heritage Housing of Asheboro</x:v>
      </x:c>
      <x:c r="H1849" t="str" s="2">
        <x:v>Kate Gutierrez</x:v>
      </x:c>
      <x:c r="I1849" s="0"/>
      <x:c r="J1849" s="0"/>
      <x:c r="K1849" t="n" s="2">
        <x:v>21</x:v>
      </x:c>
      <x:c r="L1849" t="str" s="2">
        <x:v>2.1</x:v>
      </x:c>
      <x:c r="M1849" t="str" s="2">
        <x:v>Tentative</x:v>
      </x:c>
      <x:c r="N1849" t="str" s="2">
        <x:v>Qualified</x:v>
      </x:c>
      <x:c r="O1849" s="0"/>
      <x:c r="P1849" s="6">
        <x:v>46296</x:v>
      </x:c>
      <x:c r="Q1849" s="6">
        <x:v>46303.5562849537</x:v>
      </x:c>
      <x:c r="R1849" s="0"/>
      <x:c r="S1849" s="0"/>
      <x:c r="T1849" s="0"/>
      <x:c r="U1849" s="0"/>
      <x:c r="V1849" s="0"/>
      <x:c r="W1849" s="0"/>
      <x:c r="X1849" t="str" s="2">
        <x:v>9567779913</x:v>
      </x:c>
      <x:c r="Y1849" t="str" s="2">
        <x:v>gugarc72@gmail.com</x:v>
      </x:c>
      <x:c r="Z1849" s="6">
        <x:v>46303.55627068287</x:v>
      </x:c>
      <x:c r="AA1849" t="str" s="2">
        <x:v>Jeremy Jacques</x:v>
      </x:c>
      <x:c r="AB1849" s="6">
        <x:v>46296.84691516204</x:v>
      </x:c>
      <x:c r="AC1849" t="n" s="2">
        <x:v>40516</x:v>
      </x:c>
      <x:c r="AD1849" s="0"/>
      <x:c r="AE1849" s="0"/>
      <x:c r="AF1849" s="0"/>
      <x:c r="AG1849" s="0"/>
      <x:c r="AH1849" s="0"/>
      <x:c r="AI1849" s="0"/>
      <x:c r="AJ1849" s="0"/>
      <x:c r="AK1849" s="0"/>
    </x:row>
    <x:row r="1850">
      <x:c r="A1850" t="str" s="2">
        <x:f>=HYPERLINK("https://rsms.futurehomex.com/lead/40517", "Nathan Price")</x:f>
      </x:c>
      <x:c r="B1850" t="n" s="2">
        <x:v>12</x:v>
      </x:c>
      <x:c r="C1850" t="str" s="2">
        <x:v>1/1</x:v>
      </x:c>
      <x:c r="D1850" t="str" s="2">
        <x:f>=""</x:f>
      </x:c>
      <x:c r="E1850" s="0"/>
      <x:c r="F1850" t="str" s="2">
        <x:v>Landing_BPM</x:v>
      </x:c>
      <x:c r="G1850" t="str" s="2">
        <x:v>Heritage Housing of Oklahoma City</x:v>
      </x:c>
      <x:c r="H1850" t="str" s="2">
        <x:v>Trey Rixleben</x:v>
      </x:c>
      <x:c r="I1850" s="0"/>
      <x:c r="J1850" t="str" s="2">
        <x:v>Trey Rixleben</x:v>
      </x:c>
      <x:c r="K1850" t="n" s="2">
        <x:v>5</x:v>
      </x:c>
      <x:c r="L1850" t="str" s="2">
        <x:v>1.1</x:v>
      </x:c>
      <x:c r="M1850" t="str" s="2">
        <x:v>Tentative</x:v>
      </x:c>
      <x:c r="N1850" t="str" s="2">
        <x:v>Deal Created</x:v>
      </x:c>
      <x:c r="O1850" s="0"/>
      <x:c r="P1850" s="6">
        <x:v>46296</x:v>
      </x:c>
      <x:c r="Q1850" s="6">
        <x:v>46296.886568981485</x:v>
      </x:c>
      <x:c r="R1850" s="0"/>
      <x:c r="S1850" s="0"/>
      <x:c r="T1850" s="0"/>
      <x:c r="U1850" s="0"/>
      <x:c r="V1850" s="0"/>
      <x:c r="W1850" s="0"/>
      <x:c r="X1850" t="str" s="2">
        <x:v>4057477406</x:v>
      </x:c>
      <x:c r="Y1850" t="str" s="2">
        <x:v>nat38744@gmail.com</x:v>
      </x:c>
      <x:c r="Z1850" s="6">
        <x:v>46296.88846704861</x:v>
      </x:c>
      <x:c r="AA1850" t="str" s="2">
        <x:v>Trey Rixleben</x:v>
      </x:c>
      <x:c r="AB1850" s="6">
        <x:v>46296.88623394676</x:v>
      </x:c>
      <x:c r="AC1850" t="n" s="2">
        <x:v>40517</x:v>
      </x:c>
      <x:c r="AD1850" s="0"/>
      <x:c r="AE1850" s="0"/>
      <x:c r="AF1850" s="0"/>
      <x:c r="AG1850" s="0"/>
      <x:c r="AH1850" s="0"/>
      <x:c r="AI1850" s="0"/>
      <x:c r="AJ1850" s="0"/>
      <x:c r="AK1850" s="0"/>
    </x:row>
    <x:row r="1851">
      <x:c r="A1851" t="str" s="2">
        <x:f>=HYPERLINK("https://rsms.futurehomex.com/lead/40518", "Jerry Loggans")</x:f>
      </x:c>
      <x:c r="B1851" t="n" s="2">
        <x:v>12</x:v>
      </x:c>
      <x:c r="C1851" t="str" s="2">
        <x:v/>
      </x:c>
      <x:c r="D1851" t="str" s="2">
        <x:f>=""</x:f>
      </x:c>
      <x:c r="E1851" s="0"/>
      <x:c r="F1851" t="str" s="2">
        <x:v>Walk-in</x:v>
      </x:c>
      <x:c r="G1851" t="str" s="2">
        <x:v>Heritage Housing of Athens</x:v>
      </x:c>
      <x:c r="H1851" t="str" s="2">
        <x:v>Nathan Bishop</x:v>
      </x:c>
      <x:c r="I1851" s="0"/>
      <x:c r="J1851" t="str" s="2">
        <x:v>Nathan Bishop</x:v>
      </x:c>
      <x:c r="K1851" t="n" s="2">
        <x:v>5</x:v>
      </x:c>
      <x:c r="L1851" t="str" s="2">
        <x:v>1.1</x:v>
      </x:c>
      <x:c r="M1851" t="str" s="2">
        <x:v>Tentative</x:v>
      </x:c>
      <x:c r="N1851" t="str" s="2">
        <x:v>Deal Created</x:v>
      </x:c>
      <x:c r="O1851" s="0"/>
      <x:c r="P1851" s="6">
        <x:v>46296</x:v>
      </x:c>
      <x:c r="Q1851" s="6">
        <x:v>46296.9010630787</x:v>
      </x:c>
      <x:c r="R1851" s="0"/>
      <x:c r="S1851" s="6">
        <x:v>46296</x:v>
      </x:c>
      <x:c r="T1851" s="0"/>
      <x:c r="U1851" s="0"/>
      <x:c r="V1851" s="0"/>
      <x:c r="W1851" s="0"/>
      <x:c r="X1851" t="str" s="2">
        <x:v>7062071966</x:v>
      </x:c>
      <x:c r="Y1851" t="str" s="2">
        <x:v>7062071966</x:v>
      </x:c>
      <x:c r="Z1851" s="6">
        <x:v>46296.90180424768</x:v>
      </x:c>
      <x:c r="AA1851" t="str" s="2">
        <x:v>Nathan Bishop</x:v>
      </x:c>
      <x:c r="AB1851" s="6">
        <x:v>46296.901065474536</x:v>
      </x:c>
      <x:c r="AC1851" t="n" s="2">
        <x:v>40518</x:v>
      </x:c>
      <x:c r="AD1851" s="0"/>
      <x:c r="AE1851" s="0"/>
      <x:c r="AF1851" s="0"/>
      <x:c r="AG1851" s="0"/>
      <x:c r="AH1851" s="0"/>
      <x:c r="AI1851" s="0"/>
      <x:c r="AJ1851" s="0"/>
      <x:c r="AK1851" s="0"/>
    </x:row>
    <x:row r="1852">
      <x:c r="A1852" t="str" s="2">
        <x:f>=HYPERLINK("https://rsms.futurehomex.com/lead/40519", "Byron Duhon")</x:f>
      </x:c>
      <x:c r="B1852" t="n" s="2">
        <x:v>12</x:v>
      </x:c>
      <x:c r="C1852" t="str" s="2">
        <x:v>1/1</x:v>
      </x:c>
      <x:c r="D1852" t="str" s="2">
        <x:f>=""</x:f>
      </x:c>
      <x:c r="E1852" s="0"/>
      <x:c r="F1852" t="str" s="2">
        <x:v>Referrals</x:v>
      </x:c>
      <x:c r="G1852" t="str" s="2">
        <x:v>Heritage Housing of Oklahoma City</x:v>
      </x:c>
      <x:c r="H1852" t="str" s="2">
        <x:v>Trey Rixleben</x:v>
      </x:c>
      <x:c r="I1852" t="str" s="2">
        <x:v>Karol Romero</x:v>
      </x:c>
      <x:c r="J1852" t="str" s="2">
        <x:v>Trey Rixleben</x:v>
      </x:c>
      <x:c r="K1852" t="n" s="2">
        <x:v>5</x:v>
      </x:c>
      <x:c r="L1852" t="str" s="2">
        <x:v>1.1</x:v>
      </x:c>
      <x:c r="M1852" t="str" s="2">
        <x:v>Tentative</x:v>
      </x:c>
      <x:c r="N1852" t="str" s="2">
        <x:v>Deal Created</x:v>
      </x:c>
      <x:c r="O1852" s="0"/>
      <x:c r="P1852" s="6">
        <x:v>46296</x:v>
      </x:c>
      <x:c r="Q1852" s="6">
        <x:v>46300.9993716088</x:v>
      </x:c>
      <x:c r="R1852" s="0"/>
      <x:c r="S1852" s="0"/>
      <x:c r="T1852" s="0"/>
      <x:c r="U1852" s="0"/>
      <x:c r="V1852" s="0"/>
      <x:c r="W1852" s="0"/>
      <x:c r="X1852" t="str" s="2">
        <x:v>4058201950</x:v>
      </x:c>
      <x:c r="Y1852" t="str" s="2">
        <x:v>byronduhon78@gmail.com</x:v>
      </x:c>
      <x:c r="Z1852" s="6">
        <x:v>46301.00039082176</x:v>
      </x:c>
      <x:c r="AA1852" t="str" s="2">
        <x:v>Trey Rixleben</x:v>
      </x:c>
      <x:c r="AB1852" s="6">
        <x:v>46296.91565917824</x:v>
      </x:c>
      <x:c r="AC1852" t="n" s="2">
        <x:v>40519</x:v>
      </x:c>
      <x:c r="AD1852" s="0"/>
      <x:c r="AE1852" s="0"/>
      <x:c r="AF1852" s="0"/>
      <x:c r="AG1852" s="0"/>
      <x:c r="AH1852" s="0"/>
      <x:c r="AI1852" s="0"/>
      <x:c r="AJ1852" s="0"/>
      <x:c r="AK1852" s="0"/>
    </x:row>
    <x:row r="1853">
      <x:c r="A1853" t="str" s="2">
        <x:f>=HYPERLINK("https://rsms.futurehomex.com/lead/40520", "Paula shadix")</x:f>
      </x:c>
      <x:c r="B1853" t="n" s="2">
        <x:v>12</x:v>
      </x:c>
      <x:c r="C1853" t="str" s="2">
        <x:v>1/3</x:v>
      </x:c>
      <x:c r="D1853" t="str" s="2">
        <x:f>=""</x:f>
      </x:c>
      <x:c r="E1853" s="0"/>
      <x:c r="F1853" t="str" s="2">
        <x:v>Landing_BPM</x:v>
      </x:c>
      <x:c r="G1853" t="str" s="2">
        <x:v>Heritage Housing of Oklahoma City</x:v>
      </x:c>
      <x:c r="H1853" t="str" s="2">
        <x:v>Alejandra Calderon</x:v>
      </x:c>
      <x:c r="I1853" s="0"/>
      <x:c r="J1853" t="str" s="2">
        <x:v>Alejandra Calderon</x:v>
      </x:c>
      <x:c r="K1853" t="n" s="2">
        <x:v>5</x:v>
      </x:c>
      <x:c r="L1853" t="str" s="2">
        <x:v>1.1</x:v>
      </x:c>
      <x:c r="M1853" t="str" s="2">
        <x:v>Tentative</x:v>
      </x:c>
      <x:c r="N1853" t="str" s="2">
        <x:v>Deal Created</x:v>
      </x:c>
      <x:c r="O1853" s="0"/>
      <x:c r="P1853" s="6">
        <x:v>46296</x:v>
      </x:c>
      <x:c r="Q1853" s="6">
        <x:v>46297.7697625</x:v>
      </x:c>
      <x:c r="R1853" s="0"/>
      <x:c r="S1853" s="0"/>
      <x:c r="T1853" s="0"/>
      <x:c r="U1853" s="0"/>
      <x:c r="V1853" s="0"/>
      <x:c r="W1853" s="0"/>
      <x:c r="X1853" t="str" s="2">
        <x:v>4057886199</x:v>
      </x:c>
      <x:c r="Y1853" t="str" s="2">
        <x:v>paulashadix405@gmail.com</x:v>
      </x:c>
      <x:c r="Z1853" s="6">
        <x:v>46302.961088275464</x:v>
      </x:c>
      <x:c r="AA1853" t="str" s="2">
        <x:v>Alejandra Calderon</x:v>
      </x:c>
      <x:c r="AB1853" s="6">
        <x:v>46296.94327681713</x:v>
      </x:c>
      <x:c r="AC1853" t="n" s="2">
        <x:v>40520</x:v>
      </x:c>
      <x:c r="AD1853" s="0"/>
      <x:c r="AE1853" s="0"/>
      <x:c r="AF1853" s="0"/>
      <x:c r="AG1853" s="0"/>
      <x:c r="AH1853" s="0"/>
      <x:c r="AI1853" s="0"/>
      <x:c r="AJ1853" s="0"/>
      <x:c r="AK1853" s="0"/>
    </x:row>
    <x:row r="1854">
      <x:c r="A1854" t="str" s="2">
        <x:f>=HYPERLINK("https://rsms.futurehomex.com/lead/40521", "Steve Williams")</x:f>
      </x:c>
      <x:c r="B1854" t="n" s="2">
        <x:v>12</x:v>
      </x:c>
      <x:c r="C1854" t="str" s="2">
        <x:v/>
      </x:c>
      <x:c r="D1854" t="str" s="2">
        <x:f>=""</x:f>
      </x:c>
      <x:c r="E1854" s="0"/>
      <x:c r="F1854" t="str" s="2">
        <x:v>Walk-in</x:v>
      </x:c>
      <x:c r="G1854" t="str" s="2">
        <x:v>Heritage Housing of Minden</x:v>
      </x:c>
      <x:c r="H1854" t="str" s="2">
        <x:v>Patrick Schuchart</x:v>
      </x:c>
      <x:c r="I1854" s="0"/>
      <x:c r="J1854" s="0"/>
      <x:c r="K1854" t="n" s="2">
        <x:v>5</x:v>
      </x:c>
      <x:c r="L1854" t="str" s="2">
        <x:v>1.1</x:v>
      </x:c>
      <x:c r="M1854" t="str" s="2">
        <x:v>Tentative</x:v>
      </x:c>
      <x:c r="N1854" t="str" s="2">
        <x:v>Prospect</x:v>
      </x:c>
      <x:c r="O1854" s="0"/>
      <x:c r="P1854" s="6">
        <x:v>46296</x:v>
      </x:c>
      <x:c r="Q1854" s="6">
        <x:v>46296.95567978009</x:v>
      </x:c>
      <x:c r="R1854" s="0"/>
      <x:c r="S1854" s="0"/>
      <x:c r="T1854" s="0"/>
      <x:c r="U1854" s="0"/>
      <x:c r="V1854" s="0"/>
      <x:c r="W1854" s="0"/>
      <x:c r="X1854" t="str" s="2">
        <x:v>3184260489</x:v>
      </x:c>
      <x:c r="Y1854" t="str" s="2">
        <x:v>sdwilliams549@gmail.com</x:v>
      </x:c>
      <x:c r="Z1854" s="0"/>
      <x:c r="AA1854" s="0"/>
      <x:c r="AB1854" s="6">
        <x:v>46296.95568032408</x:v>
      </x:c>
      <x:c r="AC1854" t="n" s="2">
        <x:v>40521</x:v>
      </x:c>
      <x:c r="AD1854" s="0"/>
      <x:c r="AE1854" s="0"/>
      <x:c r="AF1854" s="0"/>
      <x:c r="AG1854" s="0"/>
      <x:c r="AH1854" s="0"/>
      <x:c r="AI1854" s="0"/>
      <x:c r="AJ1854" s="0"/>
      <x:c r="AK1854" s="0"/>
    </x:row>
    <x:row r="1855">
      <x:c r="A1855" t="str" s="2">
        <x:f>=HYPERLINK("https://rsms.futurehomex.com/lead/40522", "Sherilyn Deeter")</x:f>
      </x:c>
      <x:c r="B1855" t="n" s="2">
        <x:v>12</x:v>
      </x:c>
      <x:c r="C1855" t="str" s="2">
        <x:v>1/1</x:v>
      </x:c>
      <x:c r="D1855" t="str" s="2">
        <x:f>=""</x:f>
      </x:c>
      <x:c r="E1855" s="0"/>
      <x:c r="F1855" t="str" s="2">
        <x:v>Landing_BPM</x:v>
      </x:c>
      <x:c r="G1855" t="str" s="2">
        <x:v>Heritage Housing of Oklahoma City</x:v>
      </x:c>
      <x:c r="H1855" t="str" s="2">
        <x:v>Trey Rixleben</x:v>
      </x:c>
      <x:c r="I1855" s="0"/>
      <x:c r="J1855" t="str" s="2">
        <x:v>Trey Rixleben</x:v>
      </x:c>
      <x:c r="K1855" t="n" s="2">
        <x:v>5</x:v>
      </x:c>
      <x:c r="L1855" t="str" s="2">
        <x:v>1.1</x:v>
      </x:c>
      <x:c r="M1855" t="str" s="2">
        <x:v>Tentative</x:v>
      </x:c>
      <x:c r="N1855" t="str" s="2">
        <x:v>Deal Created</x:v>
      </x:c>
      <x:c r="O1855" s="0"/>
      <x:c r="P1855" s="6">
        <x:v>46296</x:v>
      </x:c>
      <x:c r="Q1855" s="6">
        <x:v>46296.96687696759</x:v>
      </x:c>
      <x:c r="R1855" s="0"/>
      <x:c r="S1855" s="0"/>
      <x:c r="T1855" s="0"/>
      <x:c r="U1855" s="0"/>
      <x:c r="V1855" s="0"/>
      <x:c r="W1855" s="0"/>
      <x:c r="X1855" t="str" s="2">
        <x:v>4059566288</x:v>
      </x:c>
      <x:c r="Y1855" t="str" s="2">
        <x:v>sherilyndeeter@icloud.com</x:v>
      </x:c>
      <x:c r="Z1855" s="6">
        <x:v>46296.9682744213</x:v>
      </x:c>
      <x:c r="AA1855" t="str" s="2">
        <x:v>Trey Rixleben</x:v>
      </x:c>
      <x:c r="AB1855" s="6">
        <x:v>46296.963034803244</x:v>
      </x:c>
      <x:c r="AC1855" t="n" s="2">
        <x:v>40522</x:v>
      </x:c>
      <x:c r="AD1855" s="0"/>
      <x:c r="AE1855" s="0"/>
      <x:c r="AF1855" s="0"/>
      <x:c r="AG1855" s="0"/>
      <x:c r="AH1855" s="0"/>
      <x:c r="AI1855" s="0"/>
      <x:c r="AJ1855" s="0"/>
      <x:c r="AK1855" s="0"/>
    </x:row>
    <x:row r="1856">
      <x:c r="A1856" t="str" s="2">
        <x:f>=HYPERLINK("https://rsms.futurehomex.com/lead/40523", "Isaac Gregg")</x:f>
      </x:c>
      <x:c r="B1856" t="n" s="2">
        <x:v>12</x:v>
      </x:c>
      <x:c r="C1856" t="str" s="2">
        <x:v>1/1</x:v>
      </x:c>
      <x:c r="D1856" t="str" s="2">
        <x:f>=""</x:f>
      </x:c>
      <x:c r="E1856" s="0"/>
      <x:c r="F1856" t="str" s="2">
        <x:v>Landing_BPM</x:v>
      </x:c>
      <x:c r="G1856" t="str" s="2">
        <x:v>Heritage Housing of Oklahoma City</x:v>
      </x:c>
      <x:c r="H1856" t="str" s="2">
        <x:v>Trey Rixleben</x:v>
      </x:c>
      <x:c r="I1856" s="0"/>
      <x:c r="J1856" t="str" s="2">
        <x:v>Trey Rixleben</x:v>
      </x:c>
      <x:c r="K1856" t="n" s="2">
        <x:v>5</x:v>
      </x:c>
      <x:c r="L1856" t="str" s="2">
        <x:v>1.1</x:v>
      </x:c>
      <x:c r="M1856" t="str" s="2">
        <x:v>Tentative</x:v>
      </x:c>
      <x:c r="N1856" t="str" s="2">
        <x:v>Deal Created</x:v>
      </x:c>
      <x:c r="O1856" s="0"/>
      <x:c r="P1856" s="6">
        <x:v>46296</x:v>
      </x:c>
      <x:c r="Q1856" s="6">
        <x:v>46300.98856762731</x:v>
      </x:c>
      <x:c r="R1856" s="0"/>
      <x:c r="S1856" s="0"/>
      <x:c r="T1856" s="0"/>
      <x:c r="U1856" s="0"/>
      <x:c r="V1856" s="0"/>
      <x:c r="W1856" s="0"/>
      <x:c r="X1856" t="str" s="2">
        <x:v>5806152616</x:v>
      </x:c>
      <x:c r="Y1856" t="str" s="2">
        <x:v>isaacgregg95@gmail.com</x:v>
      </x:c>
      <x:c r="Z1856" s="6">
        <x:v>46296.97019846065</x:v>
      </x:c>
      <x:c r="AA1856" t="str" s="2">
        <x:v>Trey Rixleben</x:v>
      </x:c>
      <x:c r="AB1856" s="6">
        <x:v>46296.96892792824</x:v>
      </x:c>
      <x:c r="AC1856" t="n" s="2">
        <x:v>40523</x:v>
      </x:c>
      <x:c r="AD1856" s="0"/>
      <x:c r="AE1856" s="0"/>
      <x:c r="AF1856" s="0"/>
      <x:c r="AG1856" s="0"/>
      <x:c r="AH1856" s="0"/>
      <x:c r="AI1856" s="0"/>
      <x:c r="AJ1856" s="0"/>
      <x:c r="AK1856" s="0"/>
    </x:row>
    <x:row r="1857">
      <x:c r="A1857" t="str" s="2">
        <x:f>=HYPERLINK("https://rsms.futurehomex.com/lead/40526", "Chad Girouard")</x:f>
      </x:c>
      <x:c r="B1857" t="n" s="2">
        <x:v>11</x:v>
      </x:c>
      <x:c r="C1857" t="str" s="2">
        <x:v/>
      </x:c>
      <x:c r="D1857" t="str" s="2">
        <x:f>=""</x:f>
      </x:c>
      <x:c r="E1857" s="0"/>
      <x:c r="F1857" t="str" s="2">
        <x:v>Facebook Messenger</x:v>
      </x:c>
      <x:c r="G1857" t="str" s="2">
        <x:v>Heritage Housing of Jennings</x:v>
      </x:c>
      <x:c r="H1857" t="str" s="2">
        <x:v>Mervin Leslie Smith</x:v>
      </x:c>
      <x:c r="I1857" s="0"/>
      <x:c r="J1857" t="str" s="2">
        <x:v>Mervin Leslie Smith</x:v>
      </x:c>
      <x:c r="K1857" t="n" s="2">
        <x:v>5</x:v>
      </x:c>
      <x:c r="L1857" t="str" s="2">
        <x:v>1.1</x:v>
      </x:c>
      <x:c r="M1857" t="str" s="2">
        <x:v>Inactive</x:v>
      </x:c>
      <x:c r="N1857" t="str" s="2">
        <x:v>Deal Created</x:v>
      </x:c>
      <x:c r="O1857" s="0"/>
      <x:c r="P1857" s="6">
        <x:v>46297</x:v>
      </x:c>
      <x:c r="Q1857" s="6">
        <x:v>46297.61884065972</x:v>
      </x:c>
      <x:c r="R1857" t="str" s="2">
        <x:v>Clint O'Neal</x:v>
      </x:c>
      <x:c r="S1857" s="0"/>
      <x:c r="T1857" s="0"/>
      <x:c r="U1857" s="0"/>
      <x:c r="V1857" s="0"/>
      <x:c r="W1857" s="0"/>
      <x:c r="X1857" t="str" s="2">
        <x:v>13377728833</x:v>
      </x:c>
      <x:c r="Y1857" t="str" s="2">
        <x:v>CG@nomail.com</x:v>
      </x:c>
      <x:c r="Z1857" s="6">
        <x:v>46302.75250737269</x:v>
      </x:c>
      <x:c r="AA1857" t="str" s="2">
        <x:v>Mervin Leslie Smith</x:v>
      </x:c>
      <x:c r="AB1857" s="6">
        <x:v>46297.618842511576</x:v>
      </x:c>
      <x:c r="AC1857" t="n" s="2">
        <x:v>40526</x:v>
      </x:c>
      <x:c r="AD1857" s="0"/>
      <x:c r="AE1857" s="0"/>
      <x:c r="AF1857" s="0"/>
      <x:c r="AG1857" s="0"/>
      <x:c r="AH1857" s="0"/>
      <x:c r="AI1857" s="0"/>
      <x:c r="AJ1857" s="0"/>
      <x:c r="AK1857" s="0"/>
    </x:row>
    <x:row r="1858">
      <x:c r="A1858" t="str" s="2">
        <x:f>=HYPERLINK("https://rsms.futurehomex.com/lead/40528", "Carla Anderson")</x:f>
      </x:c>
      <x:c r="B1858" t="n" s="2">
        <x:v>11</x:v>
      </x:c>
      <x:c r="C1858" t="str" s="2">
        <x:v/>
      </x:c>
      <x:c r="D1858" t="str" s="2">
        <x:f>=""</x:f>
      </x:c>
      <x:c r="E1858" s="0"/>
      <x:c r="F1858" t="str" s="2">
        <x:v>Walk-in</x:v>
      </x:c>
      <x:c r="G1858" t="str" s="2">
        <x:v>Heritage Housing of Augusta</x:v>
      </x:c>
      <x:c r="H1858" t="str" s="2">
        <x:v>Jennifer Johnson</x:v>
      </x:c>
      <x:c r="I1858" s="0"/>
      <x:c r="J1858" t="str" s="2">
        <x:v>Jennifer Johnson</x:v>
      </x:c>
      <x:c r="K1858" t="n" s="2">
        <x:v>5</x:v>
      </x:c>
      <x:c r="L1858" t="str" s="2">
        <x:v>1.1</x:v>
      </x:c>
      <x:c r="M1858" t="str" s="2">
        <x:v>Tentative</x:v>
      </x:c>
      <x:c r="N1858" t="str" s="2">
        <x:v>Prospect</x:v>
      </x:c>
      <x:c r="O1858" s="0"/>
      <x:c r="P1858" s="6">
        <x:v>46297</x:v>
      </x:c>
      <x:c r="Q1858" s="6">
        <x:v>46297.643153240744</x:v>
      </x:c>
      <x:c r="R1858" s="0"/>
      <x:c r="S1858" s="0"/>
      <x:c r="T1858" s="0"/>
      <x:c r="U1858" s="0"/>
      <x:c r="V1858" s="0"/>
      <x:c r="W1858" s="0"/>
      <x:c r="X1858" t="str" s="2">
        <x:v>5023765001</x:v>
      </x:c>
      <x:c r="Y1858" t="str" s="2">
        <x:v>carla.anderson121314@gmail.com</x:v>
      </x:c>
      <x:c r="Z1858" s="6">
        <x:v>46297.65846936343</x:v>
      </x:c>
      <x:c r="AA1858" t="str" s="2">
        <x:v>Jennifer Johnson</x:v>
      </x:c>
      <x:c r="AB1858" s="6">
        <x:v>46297.64315366898</x:v>
      </x:c>
      <x:c r="AC1858" t="n" s="2">
        <x:v>40528</x:v>
      </x:c>
      <x:c r="AD1858" s="0"/>
      <x:c r="AE1858" s="0"/>
      <x:c r="AF1858" s="0"/>
      <x:c r="AG1858" s="0"/>
      <x:c r="AH1858" s="0"/>
      <x:c r="AI1858" s="0"/>
      <x:c r="AJ1858" s="0"/>
      <x:c r="AK1858" s="0"/>
    </x:row>
    <x:row r="1859">
      <x:c r="A1859" t="str" s="2">
        <x:f>=HYPERLINK("https://rsms.futurehomex.com/lead/40529", "Machella Dunn")</x:f>
      </x:c>
      <x:c r="B1859" t="n" s="2">
        <x:v>11</x:v>
      </x:c>
      <x:c r="C1859" t="str" s="2">
        <x:v>0/3</x:v>
      </x:c>
      <x:c r="D1859" t="str" s="2">
        <x:f>=""</x:f>
      </x:c>
      <x:c r="E1859" s="0"/>
      <x:c r="F1859" t="str" s="2">
        <x:v>Landing_BPM</x:v>
      </x:c>
      <x:c r="G1859" t="str" s="2">
        <x:v>Heritage Housing of Oklahoma City</x:v>
      </x:c>
      <x:c r="H1859" t="str" s="2">
        <x:v>Devon McCoy</x:v>
      </x:c>
      <x:c r="I1859" s="0"/>
      <x:c r="J1859" t="str" s="2">
        <x:v>Devon McCoy</x:v>
      </x:c>
      <x:c r="K1859" t="n" s="2">
        <x:v>5</x:v>
      </x:c>
      <x:c r="L1859" t="str" s="2">
        <x:v>1.1</x:v>
      </x:c>
      <x:c r="M1859" t="str" s="2">
        <x:v>Tentative</x:v>
      </x:c>
      <x:c r="N1859" t="str" s="2">
        <x:v>Deal Created</x:v>
      </x:c>
      <x:c r="O1859" s="0"/>
      <x:c r="P1859" s="6">
        <x:v>46297</x:v>
      </x:c>
      <x:c r="Q1859" s="6">
        <x:v>46297.64944702546</x:v>
      </x:c>
      <x:c r="R1859" s="0"/>
      <x:c r="S1859" s="0"/>
      <x:c r="T1859" s="0"/>
      <x:c r="U1859" s="0"/>
      <x:c r="V1859" s="0"/>
      <x:c r="W1859" s="0"/>
      <x:c r="X1859" t="str" s="2">
        <x:v>4793059921</x:v>
      </x:c>
      <x:c r="Y1859" t="str" s="2">
        <x:v>dunnishmael997@gmail.com</x:v>
      </x:c>
      <x:c r="Z1859" s="6">
        <x:v>46304.63962650463</x:v>
      </x:c>
      <x:c r="AA1859" t="str" s="2">
        <x:v>Devon McCoy</x:v>
      </x:c>
      <x:c r="AB1859" s="6">
        <x:v>46297.64944768519</x:v>
      </x:c>
      <x:c r="AC1859" t="n" s="2">
        <x:v>40529</x:v>
      </x:c>
      <x:c r="AD1859" s="0"/>
      <x:c r="AE1859" s="0"/>
      <x:c r="AF1859" s="0"/>
      <x:c r="AG1859" s="0"/>
      <x:c r="AH1859" s="0"/>
      <x:c r="AI1859" s="0"/>
      <x:c r="AJ1859" s="0"/>
      <x:c r="AK1859" s="0"/>
    </x:row>
    <x:row r="1860">
      <x:c r="A1860" t="str" s="2">
        <x:f>=HYPERLINK("https://rsms.futurehomex.com/lead/40530", "Shelley Rhode")</x:f>
      </x:c>
      <x:c r="B1860" t="n" s="2">
        <x:v>11</x:v>
      </x:c>
      <x:c r="C1860" t="str" s="2">
        <x:v>1/3</x:v>
      </x:c>
      <x:c r="D1860" t="str" s="2">
        <x:f>=""</x:f>
      </x:c>
      <x:c r="E1860" s="0"/>
      <x:c r="F1860" t="str" s="2">
        <x:v>Walk-in</x:v>
      </x:c>
      <x:c r="G1860" t="str" s="2">
        <x:v>Heritage Housing of Jennings</x:v>
      </x:c>
      <x:c r="H1860" t="str" s="2">
        <x:v>Mervin Leslie Smith</x:v>
      </x:c>
      <x:c r="I1860" s="0"/>
      <x:c r="J1860" t="str" s="2">
        <x:v>Mervin Leslie Smith</x:v>
      </x:c>
      <x:c r="K1860" t="n" s="2">
        <x:v>5</x:v>
      </x:c>
      <x:c r="L1860" t="str" s="2">
        <x:v>1.1</x:v>
      </x:c>
      <x:c r="M1860" t="str" s="2">
        <x:v>Tentative</x:v>
      </x:c>
      <x:c r="N1860" t="str" s="2">
        <x:v>Deal Created</x:v>
      </x:c>
      <x:c r="O1860" s="0"/>
      <x:c r="P1860" s="6">
        <x:v>46297</x:v>
      </x:c>
      <x:c r="Q1860" s="6">
        <x:v>46297.69080170139</x:v>
      </x:c>
      <x:c r="R1860" s="0"/>
      <x:c r="S1860" s="0"/>
      <x:c r="T1860" s="0"/>
      <x:c r="U1860" s="0"/>
      <x:c r="V1860" s="0"/>
      <x:c r="W1860" s="0"/>
      <x:c r="X1860" t="str" s="2">
        <x:v>7572911584</x:v>
      </x:c>
      <x:c r="Y1860" t="str" s="2">
        <x:v>shelleyrhoden@yahoo.com</x:v>
      </x:c>
      <x:c r="Z1860" s="6">
        <x:v>46308.66856119213</x:v>
      </x:c>
      <x:c r="AA1860" t="str" s="2">
        <x:v>Mervin Leslie Smith</x:v>
      </x:c>
      <x:c r="AB1860" s="6">
        <x:v>46297.69080358796</x:v>
      </x:c>
      <x:c r="AC1860" t="n" s="2">
        <x:v>40530</x:v>
      </x:c>
      <x:c r="AD1860" s="0"/>
      <x:c r="AE1860" s="0"/>
      <x:c r="AF1860" s="0"/>
      <x:c r="AG1860" s="0"/>
      <x:c r="AH1860" s="0"/>
      <x:c r="AI1860" s="0"/>
      <x:c r="AJ1860" s="0"/>
      <x:c r="AK1860" s="0"/>
    </x:row>
    <x:row r="1861">
      <x:c r="A1861" t="str" s="2">
        <x:f>=HYPERLINK("https://rsms.futurehomex.com/lead/40531", "John Guzzio")</x:f>
      </x:c>
      <x:c r="B1861" t="n" s="2">
        <x:v>11</x:v>
      </x:c>
      <x:c r="C1861" t="str" s="2">
        <x:v/>
      </x:c>
      <x:c r="D1861" t="str" s="2">
        <x:f>=""</x:f>
      </x:c>
      <x:c r="E1861" s="0"/>
      <x:c r="F1861" t="str" s="2">
        <x:v>Facebook Messenger</x:v>
      </x:c>
      <x:c r="G1861" t="str" s="2">
        <x:v>Heritage Housing of Greenville</x:v>
      </x:c>
      <x:c r="H1861" t="str" s="2">
        <x:v>Oscar Osorio</x:v>
      </x:c>
      <x:c r="I1861" s="0"/>
      <x:c r="J1861" t="str" s="2">
        <x:v>Oscar Osorio</x:v>
      </x:c>
      <x:c r="K1861" t="n" s="2">
        <x:v>80</x:v>
      </x:c>
      <x:c r="L1861" t="str" s="2">
        <x:v>5.3</x:v>
      </x:c>
      <x:c r="M1861" t="str" s="2">
        <x:v>Active</x:v>
      </x:c>
      <x:c r="N1861" t="str" s="2">
        <x:v>Pending Delivery</x:v>
      </x:c>
      <x:c r="O1861" s="6">
        <x:v>46303</x:v>
      </x:c>
      <x:c r="P1861" s="6">
        <x:v>46297</x:v>
      </x:c>
      <x:c r="Q1861" s="6">
        <x:v>46303.68787797454</x:v>
      </x:c>
      <x:c r="R1861" s="0"/>
      <x:c r="S1861" s="6">
        <x:v>45420</x:v>
      </x:c>
      <x:c r="T1861" s="0"/>
      <x:c r="U1861" s="6">
        <x:v>46303</x:v>
      </x:c>
      <x:c r="V1861" s="6">
        <x:v>46303</x:v>
      </x:c>
      <x:c r="W1861" s="6">
        <x:v>46310</x:v>
      </x:c>
      <x:c r="X1861" t="str" s="2">
        <x:v>8176069101</x:v>
      </x:c>
      <x:c r="Y1861" t="str" s="2">
        <x:v>8176069101</x:v>
      </x:c>
      <x:c r="Z1861" s="6">
        <x:v>46303.6872775463</x:v>
      </x:c>
      <x:c r="AA1861" t="str" s="2">
        <x:v>Brandie Sartor</x:v>
      </x:c>
      <x:c r="AB1861" s="6">
        <x:v>46297.7148650463</x:v>
      </x:c>
      <x:c r="AC1861" t="n" s="2">
        <x:v>40531</x:v>
      </x:c>
      <x:c r="AD1861" t="str" s="2">
        <x:v>Singlewide</x:v>
      </x:c>
      <x:c r="AE1861" s="0"/>
      <x:c r="AF1861" s="7">
        <x:v>44890</x:v>
      </x:c>
      <x:c r="AG1861" s="7">
        <x:v>44890</x:v>
      </x:c>
      <x:c r="AH1861" s="7">
        <x:v>44890</x:v>
      </x:c>
      <x:c r="AI1861" s="0"/>
      <x:c r="AJ1861" s="0"/>
      <x:c r="AK1861" t="str" s="6">
        <x:v>2026-10-16</x:v>
      </x:c>
    </x:row>
    <x:row r="1862">
      <x:c r="A1862" t="str" s="2">
        <x:f>=HYPERLINK("https://rsms.futurehomex.com/lead/40532", "Todd Wolak")</x:f>
      </x:c>
      <x:c r="B1862" t="n" s="2">
        <x:v>11</x:v>
      </x:c>
      <x:c r="C1862" t="str" s="2">
        <x:v/>
      </x:c>
      <x:c r="D1862" t="str" s="2">
        <x:f>=""</x:f>
      </x:c>
      <x:c r="E1862" s="0"/>
      <x:c r="F1862" t="str" s="2">
        <x:v>Walk-in</x:v>
      </x:c>
      <x:c r="G1862" t="str" s="2">
        <x:v>Heritage Housing of Athens</x:v>
      </x:c>
      <x:c r="H1862" t="str" s="2">
        <x:v>Ethan Fossett</x:v>
      </x:c>
      <x:c r="I1862" s="0"/>
      <x:c r="J1862" s="0"/>
      <x:c r="K1862" t="n" s="2">
        <x:v>5</x:v>
      </x:c>
      <x:c r="L1862" t="str" s="2">
        <x:v>1.1</x:v>
      </x:c>
      <x:c r="M1862" t="str" s="2">
        <x:v>Tentative</x:v>
      </x:c>
      <x:c r="N1862" t="str" s="2">
        <x:v>Prospect</x:v>
      </x:c>
      <x:c r="O1862" s="0"/>
      <x:c r="P1862" s="6">
        <x:v>46297</x:v>
      </x:c>
      <x:c r="Q1862" s="6">
        <x:v>46297.75126539352</x:v>
      </x:c>
      <x:c r="R1862" s="0"/>
      <x:c r="S1862" s="0"/>
      <x:c r="T1862" s="0"/>
      <x:c r="U1862" s="0"/>
      <x:c r="V1862" s="0"/>
      <x:c r="W1862" s="0"/>
      <x:c r="X1862" t="str" s="2">
        <x:v>1234567890</x:v>
      </x:c>
      <x:c r="Y1862" t="str" s="2">
        <x:v>todd.wolak@gmail.com</x:v>
      </x:c>
      <x:c r="Z1862" s="0"/>
      <x:c r="AA1862" s="0"/>
      <x:c r="AB1862" s="6">
        <x:v>46297.75126616898</x:v>
      </x:c>
      <x:c r="AC1862" t="n" s="2">
        <x:v>40532</x:v>
      </x:c>
      <x:c r="AD1862" s="0"/>
      <x:c r="AE1862" s="0"/>
      <x:c r="AF1862" s="0"/>
      <x:c r="AG1862" s="0"/>
      <x:c r="AH1862" s="0"/>
      <x:c r="AI1862" s="0"/>
      <x:c r="AJ1862" s="0"/>
      <x:c r="AK1862" s="0"/>
    </x:row>
    <x:row r="1863">
      <x:c r="A1863" t="str" s="2">
        <x:f>=HYPERLINK("https://rsms.futurehomex.com/lead/40533", "Yolanda Dominguez")</x:f>
      </x:c>
      <x:c r="B1863" t="n" s="2">
        <x:v>11</x:v>
      </x:c>
      <x:c r="C1863" t="str" s="2">
        <x:v>1/4</x:v>
      </x:c>
      <x:c r="D1863" t="str" s="2">
        <x:f>=""</x:f>
      </x:c>
      <x:c r="E1863" s="0"/>
      <x:c r="F1863" t="str" s="2">
        <x:v>Landing_BPM</x:v>
      </x:c>
      <x:c r="G1863" t="str" s="2">
        <x:v>Heritage Housing of Oklahoma City</x:v>
      </x:c>
      <x:c r="H1863" t="str" s="2">
        <x:v>Alejandra Calderon</x:v>
      </x:c>
      <x:c r="I1863" s="0"/>
      <x:c r="J1863" t="str" s="2">
        <x:v>Alejandra Calderon</x:v>
      </x:c>
      <x:c r="K1863" t="n" s="2">
        <x:v>5</x:v>
      </x:c>
      <x:c r="L1863" t="str" s="2">
        <x:v>1.1</x:v>
      </x:c>
      <x:c r="M1863" t="str" s="2">
        <x:v>Tentative</x:v>
      </x:c>
      <x:c r="N1863" t="str" s="2">
        <x:v>Deal Created</x:v>
      </x:c>
      <x:c r="O1863" s="0"/>
      <x:c r="P1863" s="6">
        <x:v>46297</x:v>
      </x:c>
      <x:c r="Q1863" s="6">
        <x:v>46297.76684795139</x:v>
      </x:c>
      <x:c r="R1863" s="0"/>
      <x:c r="S1863" s="0"/>
      <x:c r="T1863" s="0"/>
      <x:c r="U1863" s="0"/>
      <x:c r="V1863" s="0"/>
      <x:c r="W1863" s="0"/>
      <x:c r="X1863" t="str" s="2">
        <x:v>4692261633</x:v>
      </x:c>
      <x:c r="Y1863" t="str" s="2">
        <x:v>chancey1501@gmail.com</x:v>
      </x:c>
      <x:c r="Z1863" s="6">
        <x:v>46303.96362288194</x:v>
      </x:c>
      <x:c r="AA1863" t="str" s="2">
        <x:v>Alejandra Calderon</x:v>
      </x:c>
      <x:c r="AB1863" s="6">
        <x:v>46297.762339733796</x:v>
      </x:c>
      <x:c r="AC1863" t="n" s="2">
        <x:v>40533</x:v>
      </x:c>
      <x:c r="AD1863" s="0"/>
      <x:c r="AE1863" s="0"/>
      <x:c r="AF1863" s="0"/>
      <x:c r="AG1863" s="0"/>
      <x:c r="AH1863" s="0"/>
      <x:c r="AI1863" s="0"/>
      <x:c r="AJ1863" s="0"/>
      <x:c r="AK1863" s="0"/>
    </x:row>
    <x:row r="1864">
      <x:c r="A1864" t="str" s="2">
        <x:f>=HYPERLINK("https://rsms.futurehomex.com/lead/40535", "Anthony Koonce")</x:f>
      </x:c>
      <x:c r="B1864" t="n" s="2">
        <x:v>11</x:v>
      </x:c>
      <x:c r="C1864" t="str" s="2">
        <x:v/>
      </x:c>
      <x:c r="D1864" t="str" s="2">
        <x:f>=""</x:f>
      </x:c>
      <x:c r="E1864" s="0"/>
      <x:c r="F1864" t="str" s="2">
        <x:v>Walk-in</x:v>
      </x:c>
      <x:c r="G1864" t="str" s="2">
        <x:v>Heritage Housing of Jennings</x:v>
      </x:c>
      <x:c r="H1864" t="str" s="2">
        <x:v>Mervin Leslie Smith</x:v>
      </x:c>
      <x:c r="I1864" s="0"/>
      <x:c r="J1864" t="str" s="2">
        <x:v>Mervin Leslie Smith</x:v>
      </x:c>
      <x:c r="K1864" t="n" s="2">
        <x:v>5</x:v>
      </x:c>
      <x:c r="L1864" t="str" s="2">
        <x:v>1.1</x:v>
      </x:c>
      <x:c r="M1864" t="str" s="2">
        <x:v>Dead</x:v>
      </x:c>
      <x:c r="N1864" t="str" s="2">
        <x:v>Deal Created</x:v>
      </x:c>
      <x:c r="O1864" s="0"/>
      <x:c r="P1864" s="6">
        <x:v>46297</x:v>
      </x:c>
      <x:c r="Q1864" s="6">
        <x:v>46297.77910633102</x:v>
      </x:c>
      <x:c r="R1864" s="0"/>
      <x:c r="S1864" s="0"/>
      <x:c r="T1864" s="0"/>
      <x:c r="U1864" s="0"/>
      <x:c r="V1864" s="0"/>
      <x:c r="W1864" s="0"/>
      <x:c r="X1864" t="str" s="2">
        <x:v>3373048416</x:v>
      </x:c>
      <x:c r="Y1864" t="str" s="2">
        <x:v>ak@nomail.com</x:v>
      </x:c>
      <x:c r="Z1864" s="6">
        <x:v>46300.78336454861</x:v>
      </x:c>
      <x:c r="AA1864" t="str" s="2">
        <x:v>Mervin Leslie Smith</x:v>
      </x:c>
      <x:c r="AB1864" s="6">
        <x:v>46297.779108414354</x:v>
      </x:c>
      <x:c r="AC1864" t="n" s="2">
        <x:v>40535</x:v>
      </x:c>
      <x:c r="AD1864" s="0"/>
      <x:c r="AE1864" s="0"/>
      <x:c r="AF1864" s="0"/>
      <x:c r="AG1864" s="0"/>
      <x:c r="AH1864" s="0"/>
      <x:c r="AI1864" s="0"/>
      <x:c r="AJ1864" s="0"/>
      <x:c r="AK1864" s="0"/>
    </x:row>
    <x:row r="1865">
      <x:c r="A1865" t="str" s="2">
        <x:f>=HYPERLINK("https://rsms.futurehomex.com/lead/40538", "Lindbergh Simmons III")</x:f>
      </x:c>
      <x:c r="B1865" t="n" s="2">
        <x:v>11</x:v>
      </x:c>
      <x:c r="C1865" t="str" s="2">
        <x:v/>
      </x:c>
      <x:c r="D1865" t="str" s="2">
        <x:f>=""</x:f>
      </x:c>
      <x:c r="E1865" s="0"/>
      <x:c r="F1865" t="str" s="2">
        <x:v>Walk-in</x:v>
      </x:c>
      <x:c r="G1865" t="str" s="2">
        <x:v>Heritage Housing of Athens</x:v>
      </x:c>
      <x:c r="H1865" t="str" s="2">
        <x:v>Nathan Bishop</x:v>
      </x:c>
      <x:c r="I1865" s="0"/>
      <x:c r="J1865" s="0"/>
      <x:c r="K1865" t="n" s="2">
        <x:v>5</x:v>
      </x:c>
      <x:c r="L1865" t="str" s="2">
        <x:v>1.1</x:v>
      </x:c>
      <x:c r="M1865" t="str" s="2">
        <x:v>Tentative</x:v>
      </x:c>
      <x:c r="N1865" t="str" s="2">
        <x:v>Prospect</x:v>
      </x:c>
      <x:c r="O1865" s="0"/>
      <x:c r="P1865" s="6">
        <x:v>46297</x:v>
      </x:c>
      <x:c r="Q1865" s="6">
        <x:v>46297.90515871528</x:v>
      </x:c>
      <x:c r="R1865" s="0"/>
      <x:c r="S1865" s="0"/>
      <x:c r="T1865" s="0"/>
      <x:c r="U1865" s="0"/>
      <x:c r="V1865" s="0"/>
      <x:c r="W1865" s="0"/>
      <x:c r="X1865" t="str" s="2">
        <x:v>7062547378</x:v>
      </x:c>
      <x:c r="Y1865" t="str" s="2">
        <x:v>kidshortyy2@gmail.com</x:v>
      </x:c>
      <x:c r="Z1865" s="0"/>
      <x:c r="AA1865" s="0"/>
      <x:c r="AB1865" s="6">
        <x:v>46297.87035783565</x:v>
      </x:c>
      <x:c r="AC1865" t="n" s="2">
        <x:v>40538</x:v>
      </x:c>
      <x:c r="AD1865" s="0"/>
      <x:c r="AE1865" s="0"/>
      <x:c r="AF1865" s="0"/>
      <x:c r="AG1865" s="0"/>
      <x:c r="AH1865" s="0"/>
      <x:c r="AI1865" s="0"/>
      <x:c r="AJ1865" s="0"/>
      <x:c r="AK1865" s="0"/>
    </x:row>
    <x:row r="1866">
      <x:c r="A1866" t="str" s="2">
        <x:f>=HYPERLINK("https://rsms.futurehomex.com/lead/40539", "James Wright")</x:f>
      </x:c>
      <x:c r="B1866" t="n" s="2">
        <x:v>11</x:v>
      </x:c>
      <x:c r="C1866" t="str" s="2">
        <x:v>1/4</x:v>
      </x:c>
      <x:c r="D1866" t="str" s="2">
        <x:f>=""</x:f>
      </x:c>
      <x:c r="E1866" s="0"/>
      <x:c r="F1866" t="str" s="2">
        <x:v>Office Hot Calls</x:v>
      </x:c>
      <x:c r="G1866" t="str" s="2">
        <x:v>Heritage Housing of Jennings</x:v>
      </x:c>
      <x:c r="H1866" t="str" s="2">
        <x:v>Clint O'Neal</x:v>
      </x:c>
      <x:c r="I1866" s="0"/>
      <x:c r="J1866" s="0"/>
      <x:c r="K1866" t="n" s="2">
        <x:v>5</x:v>
      </x:c>
      <x:c r="L1866" t="str" s="2">
        <x:v>1.1</x:v>
      </x:c>
      <x:c r="M1866" t="str" s="2">
        <x:v>Tentative</x:v>
      </x:c>
      <x:c r="N1866" t="str" s="2">
        <x:v>Deal Created</x:v>
      </x:c>
      <x:c r="O1866" s="0"/>
      <x:c r="P1866" s="6">
        <x:v>46297</x:v>
      </x:c>
      <x:c r="Q1866" s="6">
        <x:v>46297.89298660879</x:v>
      </x:c>
      <x:c r="R1866" s="0"/>
      <x:c r="S1866" s="0"/>
      <x:c r="T1866" s="0"/>
      <x:c r="U1866" s="0"/>
      <x:c r="V1866" s="0"/>
      <x:c r="W1866" s="0"/>
      <x:c r="X1866" t="str" s="2">
        <x:v>4172318861</x:v>
      </x:c>
      <x:c r="Y1866" t="str" s="2">
        <x:v>4172318861</x:v>
      </x:c>
      <x:c r="Z1866" s="6">
        <x:v>46305.760116516205</x:v>
      </x:c>
      <x:c r="AA1866" t="str" s="2">
        <x:v>Clint O'Neal</x:v>
      </x:c>
      <x:c r="AB1866" s="6">
        <x:v>46297.89199710648</x:v>
      </x:c>
      <x:c r="AC1866" t="n" s="2">
        <x:v>40539</x:v>
      </x:c>
      <x:c r="AD1866" s="0"/>
      <x:c r="AE1866" s="0"/>
      <x:c r="AF1866" s="0"/>
      <x:c r="AG1866" s="0"/>
      <x:c r="AH1866" s="0"/>
      <x:c r="AI1866" s="0"/>
      <x:c r="AJ1866" s="0"/>
      <x:c r="AK1866" s="0"/>
    </x:row>
    <x:row r="1867">
      <x:c r="A1867" t="str" s="2">
        <x:f>=HYPERLINK("https://rsms.futurehomex.com/lead/40540", "Elisa Benitez")</x:f>
      </x:c>
      <x:c r="B1867" t="n" s="2">
        <x:v>11</x:v>
      </x:c>
      <x:c r="C1867" t="str" s="2">
        <x:v/>
      </x:c>
      <x:c r="D1867" t="str" s="2">
        <x:f>=""</x:f>
      </x:c>
      <x:c r="E1867" s="0"/>
      <x:c r="F1867" t="str" s="2">
        <x:v>Landing_BPM</x:v>
      </x:c>
      <x:c r="G1867" t="str" s="2">
        <x:v>Heritage Housing of Oklahoma City</x:v>
      </x:c>
      <x:c r="H1867" t="str" s="2">
        <x:v>Alejandra Calderon</x:v>
      </x:c>
      <x:c r="I1867" s="0"/>
      <x:c r="J1867" t="str" s="2">
        <x:v>Alejandra Calderon</x:v>
      </x:c>
      <x:c r="K1867" t="n" s="2">
        <x:v>5</x:v>
      </x:c>
      <x:c r="L1867" t="str" s="2">
        <x:v>1.1</x:v>
      </x:c>
      <x:c r="M1867" t="str" s="2">
        <x:v>Dead</x:v>
      </x:c>
      <x:c r="N1867" t="str" s="2">
        <x:v>Deal Created</x:v>
      </x:c>
      <x:c r="O1867" s="0"/>
      <x:c r="P1867" s="6">
        <x:v>46297</x:v>
      </x:c>
      <x:c r="Q1867" s="6">
        <x:v>46297.91301712963</x:v>
      </x:c>
      <x:c r="R1867" s="0"/>
      <x:c r="S1867" s="0"/>
      <x:c r="T1867" s="0"/>
      <x:c r="U1867" s="0"/>
      <x:c r="V1867" s="0"/>
      <x:c r="W1867" s="0"/>
      <x:c r="X1867" t="str" s="2">
        <x:v>405-992-4430</x:v>
      </x:c>
      <x:c r="Y1867" t="str" s="2">
        <x:v>morenachiquita144@gmail.com</x:v>
      </x:c>
      <x:c r="Z1867" s="6">
        <x:v>46297.916939236115</x:v>
      </x:c>
      <x:c r="AA1867" t="str" s="2">
        <x:v>Alejandra Calderon</x:v>
      </x:c>
      <x:c r="AB1867" s="6">
        <x:v>46297.91301751157</x:v>
      </x:c>
      <x:c r="AC1867" t="n" s="2">
        <x:v>40540</x:v>
      </x:c>
      <x:c r="AD1867" s="0"/>
      <x:c r="AE1867" s="0"/>
      <x:c r="AF1867" s="0"/>
      <x:c r="AG1867" s="0"/>
      <x:c r="AH1867" s="0"/>
      <x:c r="AI1867" s="0"/>
      <x:c r="AJ1867" s="0"/>
      <x:c r="AK1867" s="0"/>
    </x:row>
    <x:row r="1868">
      <x:c r="A1868" t="str" s="2">
        <x:f>=HYPERLINK("https://rsms.futurehomex.com/lead/40541", "Tyler Clavech")</x:f>
      </x:c>
      <x:c r="B1868" t="n" s="2">
        <x:v>11</x:v>
      </x:c>
      <x:c r="C1868" t="str" s="2">
        <x:v/>
      </x:c>
      <x:c r="D1868" t="str" s="2">
        <x:f>=""</x:f>
      </x:c>
      <x:c r="E1868" s="0"/>
      <x:c r="F1868" t="str" s="2">
        <x:v>Walk-in</x:v>
      </x:c>
      <x:c r="G1868" t="str" s="2">
        <x:v>Heritage Housing of Minden</x:v>
      </x:c>
      <x:c r="H1868" t="str" s="2">
        <x:v>Patrick Schuchart</x:v>
      </x:c>
      <x:c r="I1868" s="0"/>
      <x:c r="J1868" t="str" s="2">
        <x:v>Patrick Schuchart</x:v>
      </x:c>
      <x:c r="K1868" t="n" s="2">
        <x:v>5</x:v>
      </x:c>
      <x:c r="L1868" t="str" s="2">
        <x:v>1.1</x:v>
      </x:c>
      <x:c r="M1868" t="str" s="2">
        <x:v>Active</x:v>
      </x:c>
      <x:c r="N1868" t="str" s="2">
        <x:v>Prospect</x:v>
      </x:c>
      <x:c r="O1868" s="0"/>
      <x:c r="P1868" s="6">
        <x:v>46297</x:v>
      </x:c>
      <x:c r="Q1868" s="6">
        <x:v>46297.91888877315</x:v>
      </x:c>
      <x:c r="R1868" t="str" s="2">
        <x:v>Patrick Schuchart</x:v>
      </x:c>
      <x:c r="S1868" s="0"/>
      <x:c r="T1868" s="0"/>
      <x:c r="U1868" s="0"/>
      <x:c r="V1868" s="0"/>
      <x:c r="W1868" s="0"/>
      <x:c r="X1868" t="str" s="2">
        <x:v>3186246648</x:v>
      </x:c>
      <x:c r="Y1868" t="str" s="2">
        <x:v>flowback94@gmail.com</x:v>
      </x:c>
      <x:c r="Z1868" s="6">
        <x:v>46297.926689618056</x:v>
      </x:c>
      <x:c r="AA1868" t="str" s="2">
        <x:v>Patrick Schuchart</x:v>
      </x:c>
      <x:c r="AB1868" s="6">
        <x:v>46297.91888900463</x:v>
      </x:c>
      <x:c r="AC1868" t="n" s="2">
        <x:v>40541</x:v>
      </x:c>
      <x:c r="AD1868" s="0"/>
      <x:c r="AE1868" s="0"/>
      <x:c r="AF1868" s="0"/>
      <x:c r="AG1868" s="0"/>
      <x:c r="AH1868" s="0"/>
      <x:c r="AI1868" s="0"/>
      <x:c r="AJ1868" s="0"/>
      <x:c r="AK1868" s="0"/>
    </x:row>
    <x:row r="1869">
      <x:c r="A1869" t="str" s="2">
        <x:f>=HYPERLINK("https://rsms.futurehomex.com/lead/40542", "Anita Karen")</x:f>
      </x:c>
      <x:c r="B1869" t="n" s="2">
        <x:v>11</x:v>
      </x:c>
      <x:c r="C1869" t="str" s="2">
        <x:v/>
      </x:c>
      <x:c r="D1869" t="str" s="2">
        <x:f>=""</x:f>
      </x:c>
      <x:c r="E1869" s="0"/>
      <x:c r="F1869" t="str" s="2">
        <x:v>Walk-in</x:v>
      </x:c>
      <x:c r="G1869" t="str" s="2">
        <x:v>Heritage Housing of Minden</x:v>
      </x:c>
      <x:c r="H1869" t="str" s="2">
        <x:v>Patrick Schuchart</x:v>
      </x:c>
      <x:c r="I1869" s="0"/>
      <x:c r="J1869" s="0"/>
      <x:c r="K1869" t="n" s="2">
        <x:v>5</x:v>
      </x:c>
      <x:c r="L1869" t="str" s="2">
        <x:v>1.1</x:v>
      </x:c>
      <x:c r="M1869" t="str" s="2">
        <x:v>Tentative</x:v>
      </x:c>
      <x:c r="N1869" t="str" s="2">
        <x:v>Prospect</x:v>
      </x:c>
      <x:c r="O1869" s="0"/>
      <x:c r="P1869" s="6">
        <x:v>46297</x:v>
      </x:c>
      <x:c r="Q1869" s="6">
        <x:v>46297.919947916664</x:v>
      </x:c>
      <x:c r="R1869" s="0"/>
      <x:c r="S1869" s="0"/>
      <x:c r="T1869" s="0"/>
      <x:c r="U1869" s="0"/>
      <x:c r="V1869" s="0"/>
      <x:c r="W1869" s="0"/>
      <x:c r="X1869" t="str" s="2">
        <x:v>3186244846</x:v>
      </x:c>
      <x:c r="Y1869" t="str" s="2">
        <x:v>karenreddington@gmail.com</x:v>
      </x:c>
      <x:c r="Z1869" s="6">
        <x:v>46297.928103391205</x:v>
      </x:c>
      <x:c r="AA1869" t="str" s="2">
        <x:v>Patrick Schuchart</x:v>
      </x:c>
      <x:c r="AB1869" s="6">
        <x:v>46297.919948229166</x:v>
      </x:c>
      <x:c r="AC1869" t="n" s="2">
        <x:v>40542</x:v>
      </x:c>
      <x:c r="AD1869" s="0"/>
      <x:c r="AE1869" s="0"/>
      <x:c r="AF1869" s="0"/>
      <x:c r="AG1869" s="0"/>
      <x:c r="AH1869" s="0"/>
      <x:c r="AI1869" s="0"/>
      <x:c r="AJ1869" s="0"/>
      <x:c r="AK1869" s="0"/>
    </x:row>
    <x:row r="1870">
      <x:c r="A1870" t="str" s="2">
        <x:f>=HYPERLINK("https://rsms.futurehomex.com/lead/40543", "Za’Kia Booker")</x:f>
      </x:c>
      <x:c r="B1870" t="n" s="2">
        <x:v>10</x:v>
      </x:c>
      <x:c r="C1870" t="str" s="2">
        <x:v/>
      </x:c>
      <x:c r="D1870" t="str" s="2">
        <x:f>=""</x:f>
      </x:c>
      <x:c r="E1870" s="0"/>
      <x:c r="F1870" t="str" s="2">
        <x:v>Landing_BPM</x:v>
      </x:c>
      <x:c r="G1870" t="str" s="2">
        <x:v>Heritage Housing of Athens</x:v>
      </x:c>
      <x:c r="H1870" t="str" s="2">
        <x:v>Nathan Bishop</x:v>
      </x:c>
      <x:c r="I1870" s="0"/>
      <x:c r="J1870" t="str" s="2">
        <x:v>Nathan Bishop</x:v>
      </x:c>
      <x:c r="K1870" t="n" s="2">
        <x:v>5</x:v>
      </x:c>
      <x:c r="L1870" t="str" s="2">
        <x:v>1.1</x:v>
      </x:c>
      <x:c r="M1870" t="str" s="2">
        <x:v>Tentative</x:v>
      </x:c>
      <x:c r="N1870" t="str" s="2">
        <x:v>Prospect</x:v>
      </x:c>
      <x:c r="O1870" s="0"/>
      <x:c r="P1870" s="6">
        <x:v>46298</x:v>
      </x:c>
      <x:c r="Q1870" s="6">
        <x:v>46298.636110300926</x:v>
      </x:c>
      <x:c r="R1870" s="0"/>
      <x:c r="S1870" s="6">
        <x:v>46298</x:v>
      </x:c>
      <x:c r="T1870" s="0"/>
      <x:c r="U1870" s="0"/>
      <x:c r="V1870" s="0"/>
      <x:c r="W1870" s="0"/>
      <x:c r="X1870" t="str" s="2">
        <x:v>7064010983</x:v>
      </x:c>
      <x:c r="Y1870" t="str" s="2">
        <x:v>zakiabooker18@gmail.com</x:v>
      </x:c>
      <x:c r="Z1870" s="6">
        <x:v>46298.57141967593</x:v>
      </x:c>
      <x:c r="AA1870" t="str" s="2">
        <x:v>Nathan Bishop</x:v>
      </x:c>
      <x:c r="AB1870" s="6">
        <x:v>46298.55181612269</x:v>
      </x:c>
      <x:c r="AC1870" t="n" s="2">
        <x:v>40543</x:v>
      </x:c>
      <x:c r="AD1870" s="0"/>
      <x:c r="AE1870" s="0"/>
      <x:c r="AF1870" s="0"/>
      <x:c r="AG1870" s="0"/>
      <x:c r="AH1870" s="0"/>
      <x:c r="AI1870" s="0"/>
      <x:c r="AJ1870" s="0"/>
      <x:c r="AK1870" s="0"/>
    </x:row>
    <x:row r="1871">
      <x:c r="A1871" t="str" s="2">
        <x:f>=HYPERLINK("https://rsms.futurehomex.com/lead/40544", "Nancy Kimble")</x:f>
      </x:c>
      <x:c r="B1871" t="n" s="2">
        <x:v>10</x:v>
      </x:c>
      <x:c r="C1871" t="str" s="2">
        <x:v/>
      </x:c>
      <x:c r="D1871" t="str" s="2">
        <x:f>=""</x:f>
      </x:c>
      <x:c r="E1871" s="0"/>
      <x:c r="F1871" t="str" s="2">
        <x:v>Walk-in</x:v>
      </x:c>
      <x:c r="G1871" t="str" s="2">
        <x:v>Heritage Housing of Augusta</x:v>
      </x:c>
      <x:c r="H1871" t="str" s="2">
        <x:v>Jennifer Johnson</x:v>
      </x:c>
      <x:c r="I1871" s="0"/>
      <x:c r="J1871" t="str" s="2">
        <x:v>Jennifer Johnson</x:v>
      </x:c>
      <x:c r="K1871" t="n" s="2">
        <x:v>5</x:v>
      </x:c>
      <x:c r="L1871" t="str" s="2">
        <x:v>1.1</x:v>
      </x:c>
      <x:c r="M1871" t="str" s="2">
        <x:v>Tentative</x:v>
      </x:c>
      <x:c r="N1871" t="str" s="2">
        <x:v>Prospect</x:v>
      </x:c>
      <x:c r="O1871" s="0"/>
      <x:c r="P1871" s="6">
        <x:v>46298</x:v>
      </x:c>
      <x:c r="Q1871" s="6">
        <x:v>46298.63698186343</x:v>
      </x:c>
      <x:c r="R1871" s="0"/>
      <x:c r="S1871" s="0"/>
      <x:c r="T1871" s="0"/>
      <x:c r="U1871" s="0"/>
      <x:c r="V1871" s="0"/>
      <x:c r="W1871" s="0"/>
      <x:c r="X1871" t="str" s="2">
        <x:v>4232206002</x:v>
      </x:c>
      <x:c r="Y1871" t="str" s="2">
        <x:v>kimblenancy1@gmail.com</x:v>
      </x:c>
      <x:c r="Z1871" s="0"/>
      <x:c r="AA1871" s="0"/>
      <x:c r="AB1871" s="6">
        <x:v>46298.63699699074</x:v>
      </x:c>
      <x:c r="AC1871" t="n" s="2">
        <x:v>40544</x:v>
      </x:c>
      <x:c r="AD1871" s="0"/>
      <x:c r="AE1871" s="0"/>
      <x:c r="AF1871" s="0"/>
      <x:c r="AG1871" s="0"/>
      <x:c r="AH1871" s="0"/>
      <x:c r="AI1871" s="0"/>
      <x:c r="AJ1871" s="0"/>
      <x:c r="AK1871" s="0"/>
    </x:row>
    <x:row r="1872">
      <x:c r="A1872" t="str" s="2">
        <x:f>=HYPERLINK("https://rsms.futurehomex.com/lead/40545", "Sandra Bingham")</x:f>
      </x:c>
      <x:c r="B1872" t="n" s="2">
        <x:v>10</x:v>
      </x:c>
      <x:c r="C1872" t="str" s="2">
        <x:v/>
      </x:c>
      <x:c r="D1872" t="str" s="2">
        <x:f>=""</x:f>
      </x:c>
      <x:c r="E1872" s="0"/>
      <x:c r="F1872" t="str" s="2">
        <x:v>Walk-in</x:v>
      </x:c>
      <x:c r="G1872" t="str" s="2">
        <x:v>Heritage Housing of Athens</x:v>
      </x:c>
      <x:c r="H1872" t="str" s="2">
        <x:v>Nathan Bishop</x:v>
      </x:c>
      <x:c r="I1872" s="0"/>
      <x:c r="J1872" s="0"/>
      <x:c r="K1872" t="n" s="2">
        <x:v>5</x:v>
      </x:c>
      <x:c r="L1872" t="str" s="2">
        <x:v>1.1</x:v>
      </x:c>
      <x:c r="M1872" t="str" s="2">
        <x:v>Tentative</x:v>
      </x:c>
      <x:c r="N1872" t="str" s="2">
        <x:v>Prospect</x:v>
      </x:c>
      <x:c r="O1872" s="0"/>
      <x:c r="P1872" s="6">
        <x:v>46298</x:v>
      </x:c>
      <x:c r="Q1872" s="6">
        <x:v>46298.667136724536</x:v>
      </x:c>
      <x:c r="R1872" s="0"/>
      <x:c r="S1872" s="6">
        <x:v>46298</x:v>
      </x:c>
      <x:c r="T1872" s="0"/>
      <x:c r="U1872" s="0"/>
      <x:c r="V1872" s="0"/>
      <x:c r="W1872" s="0"/>
      <x:c r="X1872" t="str" s="2">
        <x:v>4706607143</x:v>
      </x:c>
      <x:c r="Y1872" t="str" s="2">
        <x:v>rena.bingham@yahoo.com</x:v>
      </x:c>
      <x:c r="Z1872" s="6">
        <x:v>46298.6853690162</x:v>
      </x:c>
      <x:c r="AA1872" t="str" s="2">
        <x:v>Nathan Bishop</x:v>
      </x:c>
      <x:c r="AB1872" s="6">
        <x:v>46298.638168020836</x:v>
      </x:c>
      <x:c r="AC1872" t="n" s="2">
        <x:v>40545</x:v>
      </x:c>
      <x:c r="AD1872" s="0"/>
      <x:c r="AE1872" s="0"/>
      <x:c r="AF1872" s="0"/>
      <x:c r="AG1872" s="0"/>
      <x:c r="AH1872" s="0"/>
      <x:c r="AI1872" t="str" s="2">
        <x:v>694</x:v>
      </x:c>
      <x:c r="AJ1872" s="0"/>
      <x:c r="AK1872" s="0"/>
    </x:row>
    <x:row r="1873">
      <x:c r="A1873" t="str" s="2">
        <x:f>=HYPERLINK("https://rsms.futurehomex.com/lead/40547", "Noah Anglin")</x:f>
      </x:c>
      <x:c r="B1873" t="n" s="2">
        <x:v>10</x:v>
      </x:c>
      <x:c r="C1873" t="str" s="2">
        <x:v/>
      </x:c>
      <x:c r="D1873" t="str" s="2">
        <x:f>=""</x:f>
      </x:c>
      <x:c r="E1873" s="0"/>
      <x:c r="F1873" t="str" s="2">
        <x:v>Walk-in</x:v>
      </x:c>
      <x:c r="G1873" t="str" s="2">
        <x:v>Heritage Housing of Athens</x:v>
      </x:c>
      <x:c r="H1873" t="str" s="2">
        <x:v>Ethan Fossett</x:v>
      </x:c>
      <x:c r="I1873" s="0"/>
      <x:c r="J1873" s="0"/>
      <x:c r="K1873" t="n" s="2">
        <x:v>5</x:v>
      </x:c>
      <x:c r="L1873" t="str" s="2">
        <x:v>1.1</x:v>
      </x:c>
      <x:c r="M1873" t="str" s="2">
        <x:v>Tentative</x:v>
      </x:c>
      <x:c r="N1873" t="str" s="2">
        <x:v>Prospect</x:v>
      </x:c>
      <x:c r="O1873" s="0"/>
      <x:c r="P1873" s="6">
        <x:v>46298</x:v>
      </x:c>
      <x:c r="Q1873" s="6">
        <x:v>46298.666034953705</x:v>
      </x:c>
      <x:c r="R1873" s="0"/>
      <x:c r="S1873" s="0"/>
      <x:c r="T1873" s="0"/>
      <x:c r="U1873" s="0"/>
      <x:c r="V1873" s="0"/>
      <x:c r="W1873" s="0"/>
      <x:c r="X1873" t="str" s="2">
        <x:v>7064987395</x:v>
      </x:c>
      <x:c r="Y1873" t="str" s="2">
        <x:v>noahanglin08@gmail.com</x:v>
      </x:c>
      <x:c r="Z1873" s="0"/>
      <x:c r="AA1873" s="0"/>
      <x:c r="AB1873" s="6">
        <x:v>46298.66603503472</x:v>
      </x:c>
      <x:c r="AC1873" t="n" s="2">
        <x:v>40547</x:v>
      </x:c>
      <x:c r="AD1873" s="0"/>
      <x:c r="AE1873" s="0"/>
      <x:c r="AF1873" s="0"/>
      <x:c r="AG1873" s="0"/>
      <x:c r="AH1873" s="0"/>
      <x:c r="AI1873" s="0"/>
      <x:c r="AJ1873" s="0"/>
      <x:c r="AK1873" s="0"/>
    </x:row>
    <x:row r="1874">
      <x:c r="A1874" t="str" s="2">
        <x:f>=HYPERLINK("https://rsms.futurehomex.com/lead/40548", "Rick Patti")</x:f>
      </x:c>
      <x:c r="B1874" t="n" s="2">
        <x:v>10</x:v>
      </x:c>
      <x:c r="C1874" t="str" s="2">
        <x:v>1/1</x:v>
      </x:c>
      <x:c r="D1874" t="str" s="2">
        <x:f>=""</x:f>
      </x:c>
      <x:c r="E1874" s="0"/>
      <x:c r="F1874" t="str" s="2">
        <x:v>Walk-in</x:v>
      </x:c>
      <x:c r="G1874" t="str" s="2">
        <x:v>Heritage Housing of Oklahoma City</x:v>
      </x:c>
      <x:c r="H1874" t="str" s="2">
        <x:v>Trey Rixleben</x:v>
      </x:c>
      <x:c r="I1874" t="str" s="2">
        <x:v>Karol Romero</x:v>
      </x:c>
      <x:c r="J1874" s="0"/>
      <x:c r="K1874" t="n" s="2">
        <x:v>5</x:v>
      </x:c>
      <x:c r="L1874" t="str" s="2">
        <x:v>1.1</x:v>
      </x:c>
      <x:c r="M1874" t="str" s="2">
        <x:v>Tentative</x:v>
      </x:c>
      <x:c r="N1874" t="str" s="2">
        <x:v>Deal Created</x:v>
      </x:c>
      <x:c r="O1874" s="0"/>
      <x:c r="P1874" s="6">
        <x:v>46298</x:v>
      </x:c>
      <x:c r="Q1874" s="6">
        <x:v>46298.706168055556</x:v>
      </x:c>
      <x:c r="R1874" s="0"/>
      <x:c r="S1874" s="0"/>
      <x:c r="T1874" s="0"/>
      <x:c r="U1874" s="0"/>
      <x:c r="V1874" s="0"/>
      <x:c r="W1874" s="0"/>
      <x:c r="X1874" t="str" s="2">
        <x:v>4057654037</x:v>
      </x:c>
      <x:c r="Y1874" t="str" s="2">
        <x:v>4057654037</x:v>
      </x:c>
      <x:c r="Z1874" s="6">
        <x:v>46298.70838429398</x:v>
      </x:c>
      <x:c r="AA1874" t="str" s="2">
        <x:v>Trey Rixleben</x:v>
      </x:c>
      <x:c r="AB1874" s="6">
        <x:v>46298.70617005787</x:v>
      </x:c>
      <x:c r="AC1874" t="n" s="2">
        <x:v>40548</x:v>
      </x:c>
      <x:c r="AD1874" s="0"/>
      <x:c r="AE1874" s="0"/>
      <x:c r="AF1874" s="0"/>
      <x:c r="AG1874" s="0"/>
      <x:c r="AH1874" s="0"/>
      <x:c r="AI1874" s="0"/>
      <x:c r="AJ1874" s="0"/>
      <x:c r="AK1874" s="0"/>
    </x:row>
    <x:row r="1875">
      <x:c r="A1875" t="str" s="2">
        <x:f>=HYPERLINK("https://rsms.futurehomex.com/lead/40549", "Savannah Rider")</x:f>
      </x:c>
      <x:c r="B1875" t="n" s="2">
        <x:v>10</x:v>
      </x:c>
      <x:c r="C1875" t="str" s="2">
        <x:v/>
      </x:c>
      <x:c r="D1875" t="str" s="2">
        <x:f>=""</x:f>
      </x:c>
      <x:c r="E1875" s="0"/>
      <x:c r="F1875" t="str" s="2">
        <x:v>Landing_BPM</x:v>
      </x:c>
      <x:c r="G1875" t="str" s="2">
        <x:v>Heritage Housing of Minden</x:v>
      </x:c>
      <x:c r="H1875" t="str" s="2">
        <x:v>Patrick Schuchart</x:v>
      </x:c>
      <x:c r="I1875" s="0"/>
      <x:c r="J1875" t="str" s="2">
        <x:v>Patrick Schuchart</x:v>
      </x:c>
      <x:c r="K1875" t="n" s="2">
        <x:v>5</x:v>
      </x:c>
      <x:c r="L1875" t="str" s="2">
        <x:v>1.1</x:v>
      </x:c>
      <x:c r="M1875" t="str" s="2">
        <x:v>Tentative</x:v>
      </x:c>
      <x:c r="N1875" t="str" s="2">
        <x:v>Prospect</x:v>
      </x:c>
      <x:c r="O1875" s="0"/>
      <x:c r="P1875" s="6">
        <x:v>46298</x:v>
      </x:c>
      <x:c r="Q1875" s="6">
        <x:v>46298.707002511575</x:v>
      </x:c>
      <x:c r="R1875" t="str" s="2">
        <x:v>Patrick Schuchart</x:v>
      </x:c>
      <x:c r="S1875" s="0"/>
      <x:c r="T1875" s="0"/>
      <x:c r="U1875" s="0"/>
      <x:c r="V1875" s="0"/>
      <x:c r="W1875" s="0"/>
      <x:c r="X1875" t="str" s="2">
        <x:v>3189097213</x:v>
      </x:c>
      <x:c r="Y1875" t="str" s="2">
        <x:v>Savannahrider190@gmail.com</x:v>
      </x:c>
      <x:c r="Z1875" s="6">
        <x:v>46302.8541912037</x:v>
      </x:c>
      <x:c r="AA1875" t="str" s="2">
        <x:v>Patrick Schuchart</x:v>
      </x:c>
      <x:c r="AB1875" s="6">
        <x:v>46298.7070028588</x:v>
      </x:c>
      <x:c r="AC1875" t="n" s="2">
        <x:v>40549</x:v>
      </x:c>
      <x:c r="AD1875" s="0"/>
      <x:c r="AE1875" s="0"/>
      <x:c r="AF1875" s="0"/>
      <x:c r="AG1875" s="0"/>
      <x:c r="AH1875" s="0"/>
      <x:c r="AI1875" s="0"/>
      <x:c r="AJ1875" s="0"/>
      <x:c r="AK1875" s="0"/>
    </x:row>
    <x:row r="1876">
      <x:c r="A1876" t="str" s="2">
        <x:f>=HYPERLINK("https://rsms.futurehomex.com/lead/40550", "Robin Wright")</x:f>
      </x:c>
      <x:c r="B1876" t="n" s="2">
        <x:v>10</x:v>
      </x:c>
      <x:c r="C1876" t="str" s="2">
        <x:v/>
      </x:c>
      <x:c r="D1876" t="str" s="2">
        <x:f>=""</x:f>
      </x:c>
      <x:c r="E1876" s="0"/>
      <x:c r="F1876" t="str" s="2">
        <x:v>Walk-in</x:v>
      </x:c>
      <x:c r="G1876" t="str" s="2">
        <x:v>Heritage Housing of Athens</x:v>
      </x:c>
      <x:c r="H1876" t="str" s="2">
        <x:v>Nathan Bishop</x:v>
      </x:c>
      <x:c r="I1876" s="0"/>
      <x:c r="J1876" s="0"/>
      <x:c r="K1876" t="n" s="2">
        <x:v>5</x:v>
      </x:c>
      <x:c r="L1876" t="str" s="2">
        <x:v>1.1</x:v>
      </x:c>
      <x:c r="M1876" t="str" s="2">
        <x:v>Tentative</x:v>
      </x:c>
      <x:c r="N1876" t="str" s="2">
        <x:v>Prospect</x:v>
      </x:c>
      <x:c r="O1876" s="0"/>
      <x:c r="P1876" s="6">
        <x:v>46298</x:v>
      </x:c>
      <x:c r="Q1876" s="6">
        <x:v>46298.73661184028</x:v>
      </x:c>
      <x:c r="R1876" s="0"/>
      <x:c r="S1876" s="0"/>
      <x:c r="T1876" s="0"/>
      <x:c r="U1876" s="0"/>
      <x:c r="V1876" s="0"/>
      <x:c r="W1876" s="0"/>
      <x:c r="X1876" t="str" s="2">
        <x:v>7066124651</x:v>
      </x:c>
      <x:c r="Y1876" t="str" s="2">
        <x:v>wright_1063@yahoo.com</x:v>
      </x:c>
      <x:c r="Z1876" s="0"/>
      <x:c r="AA1876" s="0"/>
      <x:c r="AB1876" s="6">
        <x:v>46298.73661211805</x:v>
      </x:c>
      <x:c r="AC1876" t="n" s="2">
        <x:v>40550</x:v>
      </x:c>
      <x:c r="AD1876" s="0"/>
      <x:c r="AE1876" s="0"/>
      <x:c r="AF1876" s="0"/>
      <x:c r="AG1876" s="0"/>
      <x:c r="AH1876" s="0"/>
      <x:c r="AI1876" s="0"/>
      <x:c r="AJ1876" s="0"/>
      <x:c r="AK1876" s="0"/>
    </x:row>
    <x:row r="1877">
      <x:c r="A1877" t="str" s="2">
        <x:f>=HYPERLINK("https://rsms.futurehomex.com/lead/40552", "Erykah Runnels")</x:f>
      </x:c>
      <x:c r="B1877" t="n" s="2">
        <x:v>10</x:v>
      </x:c>
      <x:c r="C1877" t="str" s="2">
        <x:v/>
      </x:c>
      <x:c r="D1877" t="str" s="2">
        <x:f>=""</x:f>
      </x:c>
      <x:c r="E1877" s="0"/>
      <x:c r="F1877" t="str" s="2">
        <x:v>Landing_BPM</x:v>
      </x:c>
      <x:c r="G1877" t="str" s="2">
        <x:v>Heritage Housing of Oklahoma City</x:v>
      </x:c>
      <x:c r="H1877" t="str" s="2">
        <x:v>Alejandra Calderon</x:v>
      </x:c>
      <x:c r="I1877" s="0"/>
      <x:c r="J1877" t="str" s="2">
        <x:v>Alejandra Calderon</x:v>
      </x:c>
      <x:c r="K1877" t="n" s="2">
        <x:v>5</x:v>
      </x:c>
      <x:c r="L1877" t="str" s="2">
        <x:v>1.1</x:v>
      </x:c>
      <x:c r="M1877" t="str" s="2">
        <x:v>Tentative</x:v>
      </x:c>
      <x:c r="N1877" t="str" s="2">
        <x:v>Deal Created</x:v>
      </x:c>
      <x:c r="O1877" s="0"/>
      <x:c r="P1877" s="6">
        <x:v>46298</x:v>
      </x:c>
      <x:c r="Q1877" s="6">
        <x:v>46298.75041940972</x:v>
      </x:c>
      <x:c r="R1877" s="0"/>
      <x:c r="S1877" s="0"/>
      <x:c r="T1877" s="0"/>
      <x:c r="U1877" s="0"/>
      <x:c r="V1877" s="0"/>
      <x:c r="W1877" s="0"/>
      <x:c r="X1877" t="str" s="2">
        <x:v>4055906163</x:v>
      </x:c>
      <x:c r="Y1877" t="str" s="2">
        <x:v>christhtngga00@gmail.com</x:v>
      </x:c>
      <x:c r="Z1877" s="0"/>
      <x:c r="AA1877" s="0"/>
      <x:c r="AB1877" s="6">
        <x:v>46298.75042045139</x:v>
      </x:c>
      <x:c r="AC1877" t="n" s="2">
        <x:v>40552</x:v>
      </x:c>
      <x:c r="AD1877" s="0"/>
      <x:c r="AE1877" s="0"/>
      <x:c r="AF1877" s="0"/>
      <x:c r="AG1877" s="0"/>
      <x:c r="AH1877" s="0"/>
      <x:c r="AI1877" s="0"/>
      <x:c r="AJ1877" s="0"/>
      <x:c r="AK1877" s="0"/>
    </x:row>
    <x:row r="1878">
      <x:c r="A1878" t="str" s="2">
        <x:f>=HYPERLINK("https://rsms.futurehomex.com/lead/40553", "Scott Bailey")</x:f>
      </x:c>
      <x:c r="B1878" t="n" s="2">
        <x:v>10</x:v>
      </x:c>
      <x:c r="C1878" t="str" s="2">
        <x:v>0/1</x:v>
      </x:c>
      <x:c r="D1878" t="str" s="2">
        <x:f>=""</x:f>
      </x:c>
      <x:c r="E1878" s="0"/>
      <x:c r="F1878" t="str" s="2">
        <x:v>Youtube</x:v>
      </x:c>
      <x:c r="G1878" t="str" s="2">
        <x:v>Heritage Housing of Athens</x:v>
      </x:c>
      <x:c r="H1878" t="str" s="2">
        <x:v>Ethan Fossett</x:v>
      </x:c>
      <x:c r="I1878" s="0"/>
      <x:c r="J1878" t="str" s="2">
        <x:v>Ethan Fossett</x:v>
      </x:c>
      <x:c r="K1878" t="n" s="2">
        <x:v>38</x:v>
      </x:c>
      <x:c r="L1878" t="str" s="2">
        <x:v>3.2</x:v>
      </x:c>
      <x:c r="M1878" t="str" s="2">
        <x:v>Tentative</x:v>
      </x:c>
      <x:c r="N1878" t="str" s="2">
        <x:v>Application</x:v>
      </x:c>
      <x:c r="O1878" s="0"/>
      <x:c r="P1878" s="6">
        <x:v>46298</x:v>
      </x:c>
      <x:c r="Q1878" s="6">
        <x:v>46298.762532789355</x:v>
      </x:c>
      <x:c r="R1878" s="0"/>
      <x:c r="S1878" s="0"/>
      <x:c r="T1878" s="0"/>
      <x:c r="U1878" s="0"/>
      <x:c r="V1878" s="0"/>
      <x:c r="W1878" s="0"/>
      <x:c r="X1878" t="str" s="2">
        <x:v>4704585961</x:v>
      </x:c>
      <x:c r="Y1878" t="str" s="2">
        <x:v>sdbailey24601@gmail.com</x:v>
      </x:c>
      <x:c r="Z1878" s="6">
        <x:v>46300.85068376157</x:v>
      </x:c>
      <x:c r="AA1878" t="str" s="2">
        <x:v>Ethan Fossett</x:v>
      </x:c>
      <x:c r="AB1878" s="6">
        <x:v>46298.757269016205</x:v>
      </x:c>
      <x:c r="AC1878" t="n" s="2">
        <x:v>40553</x:v>
      </x:c>
      <x:c r="AD1878" s="0"/>
      <x:c r="AE1878" s="0"/>
      <x:c r="AF1878" s="0"/>
      <x:c r="AG1878" s="0"/>
      <x:c r="AH1878" s="0"/>
      <x:c r="AI1878" t="str" s="2">
        <x:v>624</x:v>
      </x:c>
      <x:c r="AJ1878" s="0"/>
      <x:c r="AK1878" s="0"/>
    </x:row>
    <x:row r="1879">
      <x:c r="A1879" t="str" s="2">
        <x:f>=HYPERLINK("https://rsms.futurehomex.com/lead/40554", "Neal Snyder")</x:f>
      </x:c>
      <x:c r="B1879" t="n" s="2">
        <x:v>10</x:v>
      </x:c>
      <x:c r="C1879" t="str" s="2">
        <x:v/>
      </x:c>
      <x:c r="D1879" t="str" s="2">
        <x:f>=""</x:f>
      </x:c>
      <x:c r="E1879" s="0"/>
      <x:c r="F1879" t="str" s="2">
        <x:v>Walk-in</x:v>
      </x:c>
      <x:c r="G1879" t="str" s="2">
        <x:v>Heritage Housing of Augusta</x:v>
      </x:c>
      <x:c r="H1879" t="str" s="2">
        <x:v>Jennifer Johnson</x:v>
      </x:c>
      <x:c r="I1879" s="0"/>
      <x:c r="J1879" t="str" s="2">
        <x:v>Jennifer Johnson</x:v>
      </x:c>
      <x:c r="K1879" t="n" s="2">
        <x:v>5</x:v>
      </x:c>
      <x:c r="L1879" t="str" s="2">
        <x:v>1.1</x:v>
      </x:c>
      <x:c r="M1879" t="str" s="2">
        <x:v>Tentative</x:v>
      </x:c>
      <x:c r="N1879" t="str" s="2">
        <x:v>Prospect</x:v>
      </x:c>
      <x:c r="O1879" s="0"/>
      <x:c r="P1879" s="6">
        <x:v>46298</x:v>
      </x:c>
      <x:c r="Q1879" s="6">
        <x:v>46298.78466921296</x:v>
      </x:c>
      <x:c r="R1879" s="0"/>
      <x:c r="S1879" s="0"/>
      <x:c r="T1879" s="0"/>
      <x:c r="U1879" s="0"/>
      <x:c r="V1879" s="0"/>
      <x:c r="W1879" s="0"/>
      <x:c r="X1879" t="str" s="2">
        <x:v>8037611977</x:v>
      </x:c>
      <x:c r="Y1879" t="str" s="2">
        <x:v>redynsn@gmail.com</x:v>
      </x:c>
      <x:c r="Z1879" s="0"/>
      <x:c r="AA1879" s="0"/>
      <x:c r="AB1879" s="6">
        <x:v>46298.78466990741</x:v>
      </x:c>
      <x:c r="AC1879" t="n" s="2">
        <x:v>40554</x:v>
      </x:c>
      <x:c r="AD1879" s="0"/>
      <x:c r="AE1879" s="0"/>
      <x:c r="AF1879" s="0"/>
      <x:c r="AG1879" s="0"/>
      <x:c r="AH1879" s="0"/>
      <x:c r="AI1879" s="0"/>
      <x:c r="AJ1879" s="0"/>
      <x:c r="AK1879" s="0"/>
    </x:row>
    <x:row r="1880">
      <x:c r="A1880" t="str" s="2">
        <x:f>=HYPERLINK("https://rsms.futurehomex.com/lead/40555", "Anahi Macedo")</x:f>
      </x:c>
      <x:c r="B1880" t="n" s="2">
        <x:v>10</x:v>
      </x:c>
      <x:c r="C1880" t="str" s="2">
        <x:v/>
      </x:c>
      <x:c r="D1880" t="str" s="2">
        <x:f>=""</x:f>
      </x:c>
      <x:c r="E1880" s="0"/>
      <x:c r="F1880" t="str" s="2">
        <x:v>Walk-in</x:v>
      </x:c>
      <x:c r="G1880" t="str" s="2">
        <x:v>Heritage Housing of Asheboro</x:v>
      </x:c>
      <x:c r="H1880" t="str" s="2">
        <x:v>Maria Lopez</x:v>
      </x:c>
      <x:c r="I1880" s="0"/>
      <x:c r="J1880" s="0"/>
      <x:c r="K1880" t="n" s="2">
        <x:v>21</x:v>
      </x:c>
      <x:c r="L1880" t="str" s="2">
        <x:v>2.1</x:v>
      </x:c>
      <x:c r="M1880" t="str" s="2">
        <x:v>Tentative</x:v>
      </x:c>
      <x:c r="N1880" t="str" s="2">
        <x:v>Qualified</x:v>
      </x:c>
      <x:c r="O1880" s="0"/>
      <x:c r="P1880" s="6">
        <x:v>46298</x:v>
      </x:c>
      <x:c r="Q1880" s="6">
        <x:v>46302.58873283565</x:v>
      </x:c>
      <x:c r="R1880" s="0"/>
      <x:c r="S1880" s="0"/>
      <x:c r="T1880" s="0"/>
      <x:c r="U1880" s="0"/>
      <x:c r="V1880" s="0"/>
      <x:c r="W1880" s="0"/>
      <x:c r="X1880" t="str" s="2">
        <x:v>3363086276</x:v>
      </x:c>
      <x:c r="Y1880" t="str" s="2">
        <x:v>anahimacedo01@icloud.com</x:v>
      </x:c>
      <x:c r="Z1880" s="6">
        <x:v>46302.588710729164</x:v>
      </x:c>
      <x:c r="AA1880" t="str" s="2">
        <x:v>Jeremy Jacques</x:v>
      </x:c>
      <x:c r="AB1880" s="6">
        <x:v>46298.78902962963</x:v>
      </x:c>
      <x:c r="AC1880" t="n" s="2">
        <x:v>40555</x:v>
      </x:c>
      <x:c r="AD1880" s="0"/>
      <x:c r="AE1880" s="0"/>
      <x:c r="AF1880" s="0"/>
      <x:c r="AG1880" s="0"/>
      <x:c r="AH1880" s="0"/>
      <x:c r="AI1880" s="0"/>
      <x:c r="AJ1880" s="0"/>
      <x:c r="AK1880" s="0"/>
    </x:row>
    <x:row r="1881">
      <x:c r="A1881" t="str" s="2">
        <x:f>=HYPERLINK("https://rsms.futurehomex.com/lead/40556", "Cesar Zavala")</x:f>
      </x:c>
      <x:c r="B1881" t="n" s="2">
        <x:v>10</x:v>
      </x:c>
      <x:c r="C1881" t="str" s="2">
        <x:v/>
      </x:c>
      <x:c r="D1881" t="str" s="2">
        <x:f>=""</x:f>
      </x:c>
      <x:c r="E1881" s="0"/>
      <x:c r="F1881" t="str" s="2">
        <x:v>Meta Ads - Messenger</x:v>
      </x:c>
      <x:c r="G1881" t="str" s="2">
        <x:v>Heritage Housing of Oklahoma City</x:v>
      </x:c>
      <x:c r="H1881" t="str" s="2">
        <x:v>Alejandra Calderon</x:v>
      </x:c>
      <x:c r="I1881" t="str" s="2">
        <x:v>Karol Romero</x:v>
      </x:c>
      <x:c r="J1881" t="str" s="2">
        <x:v>Alejandra Calderon</x:v>
      </x:c>
      <x:c r="K1881" t="n" s="2">
        <x:v>5</x:v>
      </x:c>
      <x:c r="L1881" t="str" s="2">
        <x:v>1.1</x:v>
      </x:c>
      <x:c r="M1881" t="str" s="2">
        <x:v>Tentative</x:v>
      </x:c>
      <x:c r="N1881" t="str" s="2">
        <x:v>Deal Created</x:v>
      </x:c>
      <x:c r="O1881" s="0"/>
      <x:c r="P1881" s="6">
        <x:v>46298</x:v>
      </x:c>
      <x:c r="Q1881" s="6">
        <x:v>46298.796714965276</x:v>
      </x:c>
      <x:c r="R1881" s="0"/>
      <x:c r="S1881" s="0"/>
      <x:c r="T1881" s="0"/>
      <x:c r="U1881" s="0"/>
      <x:c r="V1881" s="0"/>
      <x:c r="W1881" s="0"/>
      <x:c r="X1881" t="str" s="2">
        <x:v>9013375977</x:v>
      </x:c>
      <x:c r="Y1881" t="str" s="2">
        <x:v>9013375977</x:v>
      </x:c>
      <x:c r="Z1881" s="6">
        <x:v>46298.799514618055</x:v>
      </x:c>
      <x:c r="AA1881" t="str" s="2">
        <x:v>Alejandra Calderon</x:v>
      </x:c>
      <x:c r="AB1881" s="6">
        <x:v>46298.79671646991</x:v>
      </x:c>
      <x:c r="AC1881" t="n" s="2">
        <x:v>40556</x:v>
      </x:c>
      <x:c r="AD1881" s="0"/>
      <x:c r="AE1881" s="0"/>
      <x:c r="AF1881" s="0"/>
      <x:c r="AG1881" s="0"/>
      <x:c r="AH1881" s="0"/>
      <x:c r="AI1881" s="0"/>
      <x:c r="AJ1881" s="0"/>
      <x:c r="AK1881" s="0"/>
    </x:row>
    <x:row r="1882">
      <x:c r="A1882" t="str" s="2">
        <x:f>=HYPERLINK("https://rsms.futurehomex.com/lead/40557", "Faye Sorrells")</x:f>
      </x:c>
      <x:c r="B1882" t="n" s="2">
        <x:v>10</x:v>
      </x:c>
      <x:c r="C1882" t="str" s="2">
        <x:v/>
      </x:c>
      <x:c r="D1882" t="str" s="2">
        <x:f>=""</x:f>
      </x:c>
      <x:c r="E1882" t="str" s="2">
        <x:v>Clinton Sorrells</x:v>
      </x:c>
      <x:c r="F1882" t="str" s="2">
        <x:v>Walk-in</x:v>
      </x:c>
      <x:c r="G1882" t="str" s="2">
        <x:v>Heritage Housing of Athens</x:v>
      </x:c>
      <x:c r="H1882" t="str" s="2">
        <x:v>Nathan Bishop</x:v>
      </x:c>
      <x:c r="I1882" s="0"/>
      <x:c r="J1882" s="0"/>
      <x:c r="K1882" t="n" s="2">
        <x:v>5</x:v>
      </x:c>
      <x:c r="L1882" t="str" s="2">
        <x:v>1.1</x:v>
      </x:c>
      <x:c r="M1882" t="str" s="2">
        <x:v>Tentative</x:v>
      </x:c>
      <x:c r="N1882" t="str" s="2">
        <x:v>Prospect</x:v>
      </x:c>
      <x:c r="O1882" s="0"/>
      <x:c r="P1882" s="6">
        <x:v>46298</x:v>
      </x:c>
      <x:c r="Q1882" s="6">
        <x:v>46298.852470335645</x:v>
      </x:c>
      <x:c r="R1882" s="0"/>
      <x:c r="S1882" s="6">
        <x:v>46298</x:v>
      </x:c>
      <x:c r="T1882" s="0"/>
      <x:c r="U1882" s="0"/>
      <x:c r="V1882" s="0"/>
      <x:c r="W1882" s="0"/>
      <x:c r="X1882" t="str" s="2">
        <x:v>7064615561</x:v>
      </x:c>
      <x:c r="Y1882" t="str" s="2">
        <x:v>sitnhear@gmail.com</x:v>
      </x:c>
      <x:c r="Z1882" s="6">
        <x:v>46298.85390466435</x:v>
      </x:c>
      <x:c r="AA1882" t="str" s="2">
        <x:v>Nathan Bishop</x:v>
      </x:c>
      <x:c r="AB1882" s="6">
        <x:v>46298.79822708333</x:v>
      </x:c>
      <x:c r="AC1882" t="n" s="2">
        <x:v>40557</x:v>
      </x:c>
      <x:c r="AD1882" s="0"/>
      <x:c r="AE1882" s="0"/>
      <x:c r="AF1882" s="0"/>
      <x:c r="AG1882" s="0"/>
      <x:c r="AH1882" s="0"/>
      <x:c r="AI1882" s="0"/>
      <x:c r="AJ1882" s="0"/>
      <x:c r="AK1882" s="0"/>
    </x:row>
    <x:row r="1883">
      <x:c r="A1883" t="str" s="2">
        <x:f>=HYPERLINK("https://rsms.futurehomex.com/lead/40558", "Aaron Krueger")</x:f>
      </x:c>
      <x:c r="B1883" t="n" s="2">
        <x:v>10</x:v>
      </x:c>
      <x:c r="C1883" t="str" s="2">
        <x:v/>
      </x:c>
      <x:c r="D1883" t="str" s="2">
        <x:f>=""</x:f>
      </x:c>
      <x:c r="E1883" s="0"/>
      <x:c r="F1883" t="str" s="2">
        <x:v>Walk-in</x:v>
      </x:c>
      <x:c r="G1883" t="str" s="2">
        <x:v>Heritage Housing of Athens</x:v>
      </x:c>
      <x:c r="H1883" t="str" s="2">
        <x:v>Ethan Fossett</x:v>
      </x:c>
      <x:c r="I1883" s="0"/>
      <x:c r="J1883" s="0"/>
      <x:c r="K1883" t="n" s="2">
        <x:v>5</x:v>
      </x:c>
      <x:c r="L1883" t="str" s="2">
        <x:v>1.1</x:v>
      </x:c>
      <x:c r="M1883" t="str" s="2">
        <x:v>Tentative</x:v>
      </x:c>
      <x:c r="N1883" t="str" s="2">
        <x:v>Prospect</x:v>
      </x:c>
      <x:c r="O1883" s="0"/>
      <x:c r="P1883" s="6">
        <x:v>46298</x:v>
      </x:c>
      <x:c r="Q1883" s="6">
        <x:v>46298.80621886574</x:v>
      </x:c>
      <x:c r="R1883" s="0"/>
      <x:c r="S1883" s="0"/>
      <x:c r="T1883" s="0"/>
      <x:c r="U1883" s="0"/>
      <x:c r="V1883" s="0"/>
      <x:c r="W1883" s="0"/>
      <x:c r="X1883" t="str" s="2">
        <x:v>7708750137</x:v>
      </x:c>
      <x:c r="Y1883" t="str" s="2">
        <x:v>aaroonkrueger0123@yahoo.com</x:v>
      </x:c>
      <x:c r="Z1883" s="0"/>
      <x:c r="AA1883" s="0"/>
      <x:c r="AB1883" s="6">
        <x:v>46298.80621913195</x:v>
      </x:c>
      <x:c r="AC1883" t="n" s="2">
        <x:v>40558</x:v>
      </x:c>
      <x:c r="AD1883" s="0"/>
      <x:c r="AE1883" s="0"/>
      <x:c r="AF1883" s="0"/>
      <x:c r="AG1883" s="0"/>
      <x:c r="AH1883" s="0"/>
      <x:c r="AI1883" s="0"/>
      <x:c r="AJ1883" s="0"/>
      <x:c r="AK1883" s="0"/>
    </x:row>
    <x:row r="1884">
      <x:c r="A1884" t="str" s="2">
        <x:f>=HYPERLINK("https://rsms.futurehomex.com/lead/40559", "Allison Granier")</x:f>
      </x:c>
      <x:c r="B1884" t="n" s="2">
        <x:v>10</x:v>
      </x:c>
      <x:c r="C1884" t="str" s="2">
        <x:v>1/3</x:v>
      </x:c>
      <x:c r="D1884" t="str" s="2">
        <x:f>=""</x:f>
      </x:c>
      <x:c r="E1884" s="0"/>
      <x:c r="F1884" t="str" s="2">
        <x:v>Walk-in</x:v>
      </x:c>
      <x:c r="G1884" t="str" s="2">
        <x:v>Heritage Housing of Jennings</x:v>
      </x:c>
      <x:c r="H1884" t="str" s="2">
        <x:v>Mervin Leslie Smith</x:v>
      </x:c>
      <x:c r="I1884" s="0"/>
      <x:c r="J1884" s="0"/>
      <x:c r="K1884" t="n" s="2">
        <x:v>5</x:v>
      </x:c>
      <x:c r="L1884" t="str" s="2">
        <x:v>1.1</x:v>
      </x:c>
      <x:c r="M1884" t="str" s="2">
        <x:v>Tentative</x:v>
      </x:c>
      <x:c r="N1884" t="str" s="2">
        <x:v>Prospect</x:v>
      </x:c>
      <x:c r="O1884" s="0"/>
      <x:c r="P1884" s="6">
        <x:v>46298</x:v>
      </x:c>
      <x:c r="Q1884" s="6">
        <x:v>46298.8108877662</x:v>
      </x:c>
      <x:c r="R1884" s="0"/>
      <x:c r="S1884" s="6">
        <x:v>46298</x:v>
      </x:c>
      <x:c r="T1884" s="0"/>
      <x:c r="U1884" s="0"/>
      <x:c r="V1884" s="0"/>
      <x:c r="W1884" s="0"/>
      <x:c r="X1884" t="str" s="2">
        <x:v>9858556040</x:v>
      </x:c>
      <x:c r="Y1884" t="str" s="2">
        <x:v>allison.granier@gmail.com</x:v>
      </x:c>
      <x:c r="Z1884" s="6">
        <x:v>46302.75293711806</x:v>
      </x:c>
      <x:c r="AA1884" t="str" s="2">
        <x:v>Mervin Leslie Smith</x:v>
      </x:c>
      <x:c r="AB1884" s="6">
        <x:v>46298.825530752314</x:v>
      </x:c>
      <x:c r="AC1884" t="n" s="2">
        <x:v>40559</x:v>
      </x:c>
      <x:c r="AD1884" s="0"/>
      <x:c r="AE1884" s="0"/>
      <x:c r="AF1884" s="0"/>
      <x:c r="AG1884" s="0"/>
      <x:c r="AH1884" s="0"/>
      <x:c r="AI1884" s="0"/>
      <x:c r="AJ1884" s="0"/>
      <x:c r="AK1884" s="0"/>
    </x:row>
    <x:row r="1885">
      <x:c r="A1885" t="str" s="2">
        <x:f>=HYPERLINK("https://rsms.futurehomex.com/lead/40560", "Ruth Baker")</x:f>
      </x:c>
      <x:c r="B1885" t="n" s="2">
        <x:v>10</x:v>
      </x:c>
      <x:c r="C1885" t="str" s="2">
        <x:v>1/1</x:v>
      </x:c>
      <x:c r="D1885" t="str" s="2">
        <x:f>=""</x:f>
      </x:c>
      <x:c r="E1885" s="0"/>
      <x:c r="F1885" t="str" s="2">
        <x:v>Landing_BPM</x:v>
      </x:c>
      <x:c r="G1885" t="str" s="2">
        <x:v>Heritage Housing of Oklahoma City</x:v>
      </x:c>
      <x:c r="H1885" t="str" s="2">
        <x:v>Trey Rixleben</x:v>
      </x:c>
      <x:c r="I1885" s="0"/>
      <x:c r="J1885" t="str" s="2">
        <x:v>Trey Rixleben</x:v>
      </x:c>
      <x:c r="K1885" t="n" s="2">
        <x:v>5</x:v>
      </x:c>
      <x:c r="L1885" t="str" s="2">
        <x:v>1.1</x:v>
      </x:c>
      <x:c r="M1885" t="str" s="2">
        <x:v>Tentative</x:v>
      </x:c>
      <x:c r="N1885" t="str" s="2">
        <x:v>Deal Created</x:v>
      </x:c>
      <x:c r="O1885" s="0"/>
      <x:c r="P1885" s="6">
        <x:v>46298</x:v>
      </x:c>
      <x:c r="Q1885" s="6">
        <x:v>46298.81399293982</x:v>
      </x:c>
      <x:c r="R1885" s="0"/>
      <x:c r="S1885" s="0"/>
      <x:c r="T1885" s="0"/>
      <x:c r="U1885" s="0"/>
      <x:c r="V1885" s="0"/>
      <x:c r="W1885" s="0"/>
      <x:c r="X1885" t="str" s="2">
        <x:v>4054308581</x:v>
      </x:c>
      <x:c r="Y1885" t="str" s="2">
        <x:v>ruthchanningsale@gmail.com</x:v>
      </x:c>
      <x:c r="Z1885" s="6">
        <x:v>46298.81879189815</x:v>
      </x:c>
      <x:c r="AA1885" t="str" s="2">
        <x:v>Trey Rixleben</x:v>
      </x:c>
      <x:c r="AB1885" s="6">
        <x:v>46298.813993599535</x:v>
      </x:c>
      <x:c r="AC1885" t="n" s="2">
        <x:v>40560</x:v>
      </x:c>
      <x:c r="AD1885" s="0"/>
      <x:c r="AE1885" s="0"/>
      <x:c r="AF1885" s="0"/>
      <x:c r="AG1885" s="0"/>
      <x:c r="AH1885" s="0"/>
      <x:c r="AI1885" s="0"/>
      <x:c r="AJ1885" s="0"/>
      <x:c r="AK1885" s="0"/>
    </x:row>
    <x:row r="1886">
      <x:c r="A1886" t="str" s="2">
        <x:f>=HYPERLINK("https://rsms.futurehomex.com/lead/40561", "Lucas Sharp")</x:f>
      </x:c>
      <x:c r="B1886" t="n" s="2">
        <x:v>10</x:v>
      </x:c>
      <x:c r="C1886" t="str" s="2">
        <x:v>1/1</x:v>
      </x:c>
      <x:c r="D1886" t="str" s="2">
        <x:f>=""</x:f>
      </x:c>
      <x:c r="E1886" s="0"/>
      <x:c r="F1886" t="str" s="2">
        <x:v>Landing_BPM</x:v>
      </x:c>
      <x:c r="G1886" t="str" s="2">
        <x:v>Heritage Housing of Oklahoma City</x:v>
      </x:c>
      <x:c r="H1886" t="str" s="2">
        <x:v>Trey Rixleben</x:v>
      </x:c>
      <x:c r="I1886" s="0"/>
      <x:c r="J1886" t="str" s="2">
        <x:v>Trey Rixleben</x:v>
      </x:c>
      <x:c r="K1886" t="n" s="2">
        <x:v>5</x:v>
      </x:c>
      <x:c r="L1886" t="str" s="2">
        <x:v>1.1</x:v>
      </x:c>
      <x:c r="M1886" t="str" s="2">
        <x:v>Tentative</x:v>
      </x:c>
      <x:c r="N1886" t="str" s="2">
        <x:v>Deal Created</x:v>
      </x:c>
      <x:c r="O1886" s="0"/>
      <x:c r="P1886" s="6">
        <x:v>46298</x:v>
      </x:c>
      <x:c r="Q1886" s="6">
        <x:v>46308.646111608796</x:v>
      </x:c>
      <x:c r="R1886" s="0"/>
      <x:c r="S1886" s="0"/>
      <x:c r="T1886" s="0"/>
      <x:c r="U1886" s="0"/>
      <x:c r="V1886" s="0"/>
      <x:c r="W1886" s="0"/>
      <x:c r="X1886" t="str" s="2">
        <x:v>5397660413</x:v>
      </x:c>
      <x:c r="Y1886" t="str" s="2">
        <x:v>Lucas_sharp@myyahoo.com</x:v>
      </x:c>
      <x:c r="Z1886" s="6">
        <x:v>46308.645830092595</x:v>
      </x:c>
      <x:c r="AA1886" t="str" s="2">
        <x:v>Trey Rixleben</x:v>
      </x:c>
      <x:c r="AB1886" s="6">
        <x:v>46298.81950505787</x:v>
      </x:c>
      <x:c r="AC1886" t="n" s="2">
        <x:v>40561</x:v>
      </x:c>
      <x:c r="AD1886" s="0"/>
      <x:c r="AE1886" s="0"/>
      <x:c r="AF1886" s="0"/>
      <x:c r="AG1886" s="0"/>
      <x:c r="AH1886" s="0"/>
      <x:c r="AI1886" s="0"/>
      <x:c r="AJ1886" s="0"/>
      <x:c r="AK1886" s="0"/>
    </x:row>
    <x:row r="1887">
      <x:c r="A1887" t="str" s="2">
        <x:f>=HYPERLINK("https://rsms.futurehomex.com/lead/40562", "Aliya Bowdoin")</x:f>
      </x:c>
      <x:c r="B1887" t="n" s="2">
        <x:v>10</x:v>
      </x:c>
      <x:c r="C1887" t="str" s="2">
        <x:v/>
      </x:c>
      <x:c r="D1887" t="str" s="2">
        <x:f>=""</x:f>
      </x:c>
      <x:c r="E1887" s="0"/>
      <x:c r="F1887" t="str" s="2">
        <x:v>Office Hot Calls</x:v>
      </x:c>
      <x:c r="G1887" t="str" s="2">
        <x:v>Heritage Housing of Oklahoma City</x:v>
      </x:c>
      <x:c r="H1887" t="str" s="2">
        <x:v>Devon McCoy</x:v>
      </x:c>
      <x:c r="I1887" t="str" s="2">
        <x:v>Karol Romero</x:v>
      </x:c>
      <x:c r="J1887" t="str" s="2">
        <x:v>Devon McCoy</x:v>
      </x:c>
      <x:c r="K1887" t="n" s="2">
        <x:v>5</x:v>
      </x:c>
      <x:c r="L1887" t="str" s="2">
        <x:v>1.1</x:v>
      </x:c>
      <x:c r="M1887" t="str" s="2">
        <x:v>Tentative</x:v>
      </x:c>
      <x:c r="N1887" t="str" s="2">
        <x:v>Deal Created</x:v>
      </x:c>
      <x:c r="O1887" s="0"/>
      <x:c r="P1887" s="6">
        <x:v>46298</x:v>
      </x:c>
      <x:c r="Q1887" s="6">
        <x:v>46298.836099305554</x:v>
      </x:c>
      <x:c r="R1887" s="0"/>
      <x:c r="S1887" s="6">
        <x:v>46298</x:v>
      </x:c>
      <x:c r="T1887" s="0"/>
      <x:c r="U1887" s="0"/>
      <x:c r="V1887" s="0"/>
      <x:c r="W1887" s="0"/>
      <x:c r="X1887" t="str" s="2">
        <x:v>7015807055</x:v>
      </x:c>
      <x:c r="Y1887" t="str" s="2">
        <x:v>7015807055</x:v>
      </x:c>
      <x:c r="Z1887" s="6">
        <x:v>46298.837181944444</x:v>
      </x:c>
      <x:c r="AA1887" t="str" s="2">
        <x:v>Devon McCoy</x:v>
      </x:c>
      <x:c r="AB1887" s="6">
        <x:v>46298.83610069445</x:v>
      </x:c>
      <x:c r="AC1887" t="n" s="2">
        <x:v>40562</x:v>
      </x:c>
      <x:c r="AD1887" s="0"/>
      <x:c r="AE1887" s="0"/>
      <x:c r="AF1887" s="0"/>
      <x:c r="AG1887" s="0"/>
      <x:c r="AH1887" s="0"/>
      <x:c r="AI1887" s="0"/>
      <x:c r="AJ1887" s="0"/>
      <x:c r="AK1887" s="0"/>
    </x:row>
    <x:row r="1888">
      <x:c r="A1888" t="str" s="2">
        <x:f>=HYPERLINK("https://rsms.futurehomex.com/lead/40563", "Brandy Barker")</x:f>
      </x:c>
      <x:c r="B1888" t="n" s="2">
        <x:v>10</x:v>
      </x:c>
      <x:c r="C1888" t="str" s="2">
        <x:v/>
      </x:c>
      <x:c r="D1888" t="str" s="2">
        <x:f>=""</x:f>
      </x:c>
      <x:c r="E1888" s="0"/>
      <x:c r="F1888" t="str" s="2">
        <x:v>Financing Form</x:v>
      </x:c>
      <x:c r="G1888" t="str" s="2">
        <x:v>Heritage Housing of Asheboro</x:v>
      </x:c>
      <x:c r="H1888" t="str" s="2">
        <x:v>Maria Lopez</x:v>
      </x:c>
      <x:c r="I1888" t="str" s="2">
        <x:v>Karol Romero</x:v>
      </x:c>
      <x:c r="J1888" s="0"/>
      <x:c r="K1888" t="n" s="2">
        <x:v>21</x:v>
      </x:c>
      <x:c r="L1888" t="str" s="2">
        <x:v>2.1</x:v>
      </x:c>
      <x:c r="M1888" t="str" s="2">
        <x:v>Tentative</x:v>
      </x:c>
      <x:c r="N1888" t="str" s="2">
        <x:v>Qualified</x:v>
      </x:c>
      <x:c r="O1888" s="0"/>
      <x:c r="P1888" s="6">
        <x:v>46298</x:v>
      </x:c>
      <x:c r="Q1888" s="6">
        <x:v>46303.55381909722</x:v>
      </x:c>
      <x:c r="R1888" s="0"/>
      <x:c r="S1888" s="0"/>
      <x:c r="T1888" s="0"/>
      <x:c r="U1888" s="0"/>
      <x:c r="V1888" s="0"/>
      <x:c r="W1888" s="0"/>
      <x:c r="X1888" t="str" s="2">
        <x:v>7577545280</x:v>
      </x:c>
      <x:c r="Y1888" t="str" s="2">
        <x:v>brandybarker731@gmail.com</x:v>
      </x:c>
      <x:c r="Z1888" s="6">
        <x:v>46303.55380401621</x:v>
      </x:c>
      <x:c r="AA1888" t="str" s="2">
        <x:v>Jeremy Jacques</x:v>
      </x:c>
      <x:c r="AB1888" s="6">
        <x:v>46298.841523958334</x:v>
      </x:c>
      <x:c r="AC1888" t="n" s="2">
        <x:v>40563</x:v>
      </x:c>
      <x:c r="AD1888" s="0"/>
      <x:c r="AE1888" s="0"/>
      <x:c r="AF1888" s="0"/>
      <x:c r="AG1888" s="0"/>
      <x:c r="AH1888" s="0"/>
      <x:c r="AI1888" s="0"/>
      <x:c r="AJ1888" s="0"/>
      <x:c r="AK1888" s="0"/>
    </x:row>
    <x:row r="1889">
      <x:c r="A1889" t="str" s="2">
        <x:f>=HYPERLINK("https://rsms.futurehomex.com/lead/40565", "Blayne Lankford")</x:f>
      </x:c>
      <x:c r="B1889" t="n" s="2">
        <x:v>10</x:v>
      </x:c>
      <x:c r="C1889" t="str" s="2">
        <x:v>1/1</x:v>
      </x:c>
      <x:c r="D1889" t="str" s="2">
        <x:f>=""</x:f>
      </x:c>
      <x:c r="E1889" s="0"/>
      <x:c r="F1889" t="str" s="2">
        <x:v>Walk-in</x:v>
      </x:c>
      <x:c r="G1889" t="str" s="2">
        <x:v>Heritage Housing of Oklahoma City</x:v>
      </x:c>
      <x:c r="H1889" t="str" s="2">
        <x:v>Trey Rixleben</x:v>
      </x:c>
      <x:c r="I1889" t="str" s="2">
        <x:v>Karol Romero</x:v>
      </x:c>
      <x:c r="J1889" t="str" s="2">
        <x:v>Trey Rixleben</x:v>
      </x:c>
      <x:c r="K1889" t="n" s="2">
        <x:v>5</x:v>
      </x:c>
      <x:c r="L1889" t="str" s="2">
        <x:v>1.1</x:v>
      </x:c>
      <x:c r="M1889" t="str" s="2">
        <x:v>Tentative</x:v>
      </x:c>
      <x:c r="N1889" t="str" s="2">
        <x:v>Deal Created</x:v>
      </x:c>
      <x:c r="O1889" s="0"/>
      <x:c r="P1889" s="6">
        <x:v>46298</x:v>
      </x:c>
      <x:c r="Q1889" s="6">
        <x:v>46298.849242592594</x:v>
      </x:c>
      <x:c r="R1889" s="0"/>
      <x:c r="S1889" s="6">
        <x:v>46298</x:v>
      </x:c>
      <x:c r="T1889" s="0"/>
      <x:c r="U1889" s="0"/>
      <x:c r="V1889" s="0"/>
      <x:c r="W1889" s="0"/>
      <x:c r="X1889" t="str" s="2">
        <x:v>4057652040</x:v>
      </x:c>
      <x:c r="Y1889" t="str" s="2">
        <x:v>4057652040</x:v>
      </x:c>
      <x:c r="Z1889" s="6">
        <x:v>46301.00318287037</x:v>
      </x:c>
      <x:c r="AA1889" t="str" s="2">
        <x:v>Trey Rixleben</x:v>
      </x:c>
      <x:c r="AB1889" s="6">
        <x:v>46298.849244212965</x:v>
      </x:c>
      <x:c r="AC1889" t="n" s="2">
        <x:v>40565</x:v>
      </x:c>
      <x:c r="AD1889" s="0"/>
      <x:c r="AE1889" s="0"/>
      <x:c r="AF1889" s="0"/>
      <x:c r="AG1889" s="0"/>
      <x:c r="AH1889" s="0"/>
      <x:c r="AI1889" s="0"/>
      <x:c r="AJ1889" s="0"/>
      <x:c r="AK1889" s="0"/>
    </x:row>
    <x:row r="1890">
      <x:c r="A1890" t="str" s="2">
        <x:f>=HYPERLINK("https://rsms.futurehomex.com/lead/40566", "Ezra Fields")</x:f>
      </x:c>
      <x:c r="B1890" t="n" s="2">
        <x:v>10</x:v>
      </x:c>
      <x:c r="C1890" t="str" s="2">
        <x:v/>
      </x:c>
      <x:c r="D1890" t="str" s="2">
        <x:f>=""</x:f>
      </x:c>
      <x:c r="E1890" s="0"/>
      <x:c r="F1890" t="str" s="2">
        <x:v>Walk-in</x:v>
      </x:c>
      <x:c r="G1890" t="str" s="2">
        <x:v>Heritage Housing of Minden</x:v>
      </x:c>
      <x:c r="H1890" t="str" s="2">
        <x:v>Patrick Schuchart</x:v>
      </x:c>
      <x:c r="I1890" t="str" s="2">
        <x:v>Karol Romero</x:v>
      </x:c>
      <x:c r="J1890" t="str" s="2">
        <x:v>Patrick Schuchart</x:v>
      </x:c>
      <x:c r="K1890" t="n" s="2">
        <x:v>5</x:v>
      </x:c>
      <x:c r="L1890" t="str" s="2">
        <x:v>1.1</x:v>
      </x:c>
      <x:c r="M1890" t="str" s="2">
        <x:v>Tentative</x:v>
      </x:c>
      <x:c r="N1890" t="str" s="2">
        <x:v>Deal Created</x:v>
      </x:c>
      <x:c r="O1890" s="0"/>
      <x:c r="P1890" s="6">
        <x:v>46298</x:v>
      </x:c>
      <x:c r="Q1890" s="6">
        <x:v>46298.85864181713</x:v>
      </x:c>
      <x:c r="R1890" t="str" s="2">
        <x:v>Patrick Schuchart</x:v>
      </x:c>
      <x:c r="S1890" s="0"/>
      <x:c r="T1890" s="0"/>
      <x:c r="U1890" s="0"/>
      <x:c r="V1890" s="0"/>
      <x:c r="W1890" s="0"/>
      <x:c r="X1890" t="str" s="2">
        <x:v>3185790224</x:v>
      </x:c>
      <x:c r="Y1890" t="str" s="2">
        <x:v>3185790224</x:v>
      </x:c>
      <x:c r="Z1890" s="6">
        <x:v>46298.85966246528</x:v>
      </x:c>
      <x:c r="AA1890" t="str" s="2">
        <x:v>Patrick Schuchart</x:v>
      </x:c>
      <x:c r="AB1890" s="6">
        <x:v>46298.85864320602</x:v>
      </x:c>
      <x:c r="AC1890" t="n" s="2">
        <x:v>40566</x:v>
      </x:c>
      <x:c r="AD1890" s="0"/>
      <x:c r="AE1890" s="0"/>
      <x:c r="AF1890" s="0"/>
      <x:c r="AG1890" s="0"/>
      <x:c r="AH1890" s="0"/>
      <x:c r="AI1890" s="0"/>
      <x:c r="AJ1890" s="0"/>
      <x:c r="AK1890" s="0"/>
    </x:row>
    <x:row r="1891">
      <x:c r="A1891" t="str" s="2">
        <x:f>=HYPERLINK("https://rsms.futurehomex.com/lead/40567", "Cameron Birdt")</x:f>
      </x:c>
      <x:c r="B1891" t="n" s="2">
        <x:v>10</x:v>
      </x:c>
      <x:c r="C1891" t="str" s="2">
        <x:v>0/1</x:v>
      </x:c>
      <x:c r="D1891" t="str" s="2">
        <x:f>=""</x:f>
      </x:c>
      <x:c r="E1891" s="0"/>
      <x:c r="F1891" t="str" s="2">
        <x:v>Walk-in</x:v>
      </x:c>
      <x:c r="G1891" t="str" s="2">
        <x:v>Heritage Housing of Minden</x:v>
      </x:c>
      <x:c r="H1891" t="str" s="2">
        <x:v>Patrick Schuchart</x:v>
      </x:c>
      <x:c r="I1891" t="str" s="2">
        <x:v>Karol Romero</x:v>
      </x:c>
      <x:c r="J1891" t="str" s="2">
        <x:v>Patrick Schuchart</x:v>
      </x:c>
      <x:c r="K1891" t="n" s="2">
        <x:v>5</x:v>
      </x:c>
      <x:c r="L1891" t="str" s="2">
        <x:v>1.1</x:v>
      </x:c>
      <x:c r="M1891" t="str" s="2">
        <x:v>Tentative</x:v>
      </x:c>
      <x:c r="N1891" t="str" s="2">
        <x:v>Deal Created</x:v>
      </x:c>
      <x:c r="O1891" s="0"/>
      <x:c r="P1891" s="6">
        <x:v>46298</x:v>
      </x:c>
      <x:c r="Q1891" s="6">
        <x:v>46298.86043587963</x:v>
      </x:c>
      <x:c r="R1891" t="str" s="2">
        <x:v>Patrick Schuchart</x:v>
      </x:c>
      <x:c r="S1891" s="0"/>
      <x:c r="T1891" s="0"/>
      <x:c r="U1891" s="0"/>
      <x:c r="V1891" s="0"/>
      <x:c r="W1891" s="0"/>
      <x:c r="X1891" t="str" s="2">
        <x:v>3185783201</x:v>
      </x:c>
      <x:c r="Y1891" t="str" s="2">
        <x:v>3185783201</x:v>
      </x:c>
      <x:c r="Z1891" s="6">
        <x:v>46302.606380983794</x:v>
      </x:c>
      <x:c r="AA1891" t="str" s="2">
        <x:v>Kyla Brown</x:v>
      </x:c>
      <x:c r="AB1891" s="6">
        <x:v>46298.86043738426</x:v>
      </x:c>
      <x:c r="AC1891" t="n" s="2">
        <x:v>40567</x:v>
      </x:c>
      <x:c r="AD1891" s="0"/>
      <x:c r="AE1891" s="0"/>
      <x:c r="AF1891" s="0"/>
      <x:c r="AG1891" s="0"/>
      <x:c r="AH1891" s="0"/>
      <x:c r="AI1891" s="0"/>
      <x:c r="AJ1891" s="0"/>
      <x:c r="AK1891" s="0"/>
    </x:row>
    <x:row r="1892">
      <x:c r="A1892" t="str" s="2">
        <x:f>=HYPERLINK("https://rsms.futurehomex.com/lead/40568", "Virginia Mchenry")</x:f>
      </x:c>
      <x:c r="B1892" t="n" s="2">
        <x:v>10</x:v>
      </x:c>
      <x:c r="C1892" t="str" s="2">
        <x:v>1/2</x:v>
      </x:c>
      <x:c r="D1892" t="str" s="2">
        <x:f>=""</x:f>
      </x:c>
      <x:c r="E1892" s="0"/>
      <x:c r="F1892" t="str" s="2">
        <x:v>Landing_BPM</x:v>
      </x:c>
      <x:c r="G1892" t="str" s="2">
        <x:v>Heritage Housing of Oklahoma City</x:v>
      </x:c>
      <x:c r="H1892" t="str" s="2">
        <x:v>Steve Castell</x:v>
      </x:c>
      <x:c r="I1892" s="0"/>
      <x:c r="J1892" t="str" s="2">
        <x:v>Steve Castell</x:v>
      </x:c>
      <x:c r="K1892" t="n" s="2">
        <x:v>5</x:v>
      </x:c>
      <x:c r="L1892" t="str" s="2">
        <x:v>1.1</x:v>
      </x:c>
      <x:c r="M1892" t="str" s="2">
        <x:v>Tentative</x:v>
      </x:c>
      <x:c r="N1892" t="str" s="2">
        <x:v>Deal Created</x:v>
      </x:c>
      <x:c r="O1892" s="0"/>
      <x:c r="P1892" s="6">
        <x:v>46298</x:v>
      </x:c>
      <x:c r="Q1892" s="6">
        <x:v>46298.88883394676</x:v>
      </x:c>
      <x:c r="R1892" s="0"/>
      <x:c r="S1892" s="0"/>
      <x:c r="T1892" s="0"/>
      <x:c r="U1892" s="0"/>
      <x:c r="V1892" s="0"/>
      <x:c r="W1892" s="0"/>
      <x:c r="X1892" t="str" s="2">
        <x:v>9188627416</x:v>
      </x:c>
      <x:c r="Y1892" t="str" s="2">
        <x:v>wyourmomma1@gmail.com</x:v>
      </x:c>
      <x:c r="Z1892" s="6">
        <x:v>46302.07050740741</x:v>
      </x:c>
      <x:c r="AA1892" t="str" s="2">
        <x:v>Steve Castell</x:v>
      </x:c>
      <x:c r="AB1892" s="6">
        <x:v>46298.88883434028</x:v>
      </x:c>
      <x:c r="AC1892" t="n" s="2">
        <x:v>40568</x:v>
      </x:c>
      <x:c r="AD1892" s="0"/>
      <x:c r="AE1892" s="0"/>
      <x:c r="AF1892" s="0"/>
      <x:c r="AG1892" s="0"/>
      <x:c r="AH1892" s="0"/>
      <x:c r="AI1892" s="0"/>
      <x:c r="AJ1892" s="0"/>
      <x:c r="AK1892" s="0"/>
    </x:row>
    <x:row r="1893">
      <x:c r="A1893" t="str" s="2">
        <x:f>=HYPERLINK("https://rsms.futurehomex.com/lead/40569", "Freddy Hernandez")</x:f>
      </x:c>
      <x:c r="B1893" t="n" s="2">
        <x:v>10</x:v>
      </x:c>
      <x:c r="C1893" t="str" s="2">
        <x:v/>
      </x:c>
      <x:c r="D1893" t="str" s="2">
        <x:f>=""</x:f>
      </x:c>
      <x:c r="E1893" s="0"/>
      <x:c r="F1893" t="str" s="2">
        <x:v>Office Hot Calls</x:v>
      </x:c>
      <x:c r="G1893" t="str" s="2">
        <x:v>Heritage Housing Mt Pleasant</x:v>
      </x:c>
      <x:c r="H1893" t="str" s="2">
        <x:v>Yarelis Torres</x:v>
      </x:c>
      <x:c r="I1893" s="0"/>
      <x:c r="J1893" t="str" s="2">
        <x:v>Yarelis Torres</x:v>
      </x:c>
      <x:c r="K1893" t="n" s="2">
        <x:v>5</x:v>
      </x:c>
      <x:c r="L1893" t="str" s="2">
        <x:v>1.1</x:v>
      </x:c>
      <x:c r="M1893" t="str" s="2">
        <x:v>Tentative</x:v>
      </x:c>
      <x:c r="N1893" t="str" s="2">
        <x:v>Deal Created</x:v>
      </x:c>
      <x:c r="O1893" s="0"/>
      <x:c r="P1893" s="6">
        <x:v>46298</x:v>
      </x:c>
      <x:c r="Q1893" s="6">
        <x:v>46304.903254895835</x:v>
      </x:c>
      <x:c r="R1893" s="0"/>
      <x:c r="S1893" s="0"/>
      <x:c r="T1893" s="0"/>
      <x:c r="U1893" s="0"/>
      <x:c r="V1893" s="0"/>
      <x:c r="W1893" s="0"/>
      <x:c r="X1893" t="str" s="2">
        <x:v>8705825851</x:v>
      </x:c>
      <x:c r="Y1893" t="str" s="2">
        <x:v>gaviriastefany18@gmail.com</x:v>
      </x:c>
      <x:c r="Z1893" s="6">
        <x:v>46304.88032804398</x:v>
      </x:c>
      <x:c r="AA1893" t="str" s="2">
        <x:v>Yarelis Torres</x:v>
      </x:c>
      <x:c r="AB1893" s="6">
        <x:v>46298.95430474537</x:v>
      </x:c>
      <x:c r="AC1893" t="n" s="2">
        <x:v>40569</x:v>
      </x:c>
      <x:c r="AD1893" s="0"/>
      <x:c r="AE1893" s="0"/>
      <x:c r="AF1893" s="0"/>
      <x:c r="AG1893" s="0"/>
      <x:c r="AH1893" s="7">
        <x:v>500</x:v>
      </x:c>
      <x:c r="AI1893" s="0"/>
      <x:c r="AJ1893" s="0"/>
      <x:c r="AK1893" s="0"/>
    </x:row>
    <x:row r="1894">
      <x:c r="A1894" t="str" s="2">
        <x:f>=HYPERLINK("https://rsms.futurehomex.com/lead/40570", "Kailey Powell")</x:f>
      </x:c>
      <x:c r="B1894" t="n" s="2">
        <x:v>10</x:v>
      </x:c>
      <x:c r="C1894" t="str" s="2">
        <x:v>1/2</x:v>
      </x:c>
      <x:c r="D1894" t="str" s="2">
        <x:f>=""</x:f>
      </x:c>
      <x:c r="E1894" s="0"/>
      <x:c r="F1894" t="str" s="2">
        <x:v>Facebook Messenger</x:v>
      </x:c>
      <x:c r="G1894" t="str" s="2">
        <x:v>Heritage Housing of Oklahoma City</x:v>
      </x:c>
      <x:c r="H1894" t="str" s="2">
        <x:v>Steve Castell</x:v>
      </x:c>
      <x:c r="I1894" s="0"/>
      <x:c r="J1894" t="str" s="2">
        <x:v>Steve Castell</x:v>
      </x:c>
      <x:c r="K1894" t="n" s="2">
        <x:v>5</x:v>
      </x:c>
      <x:c r="L1894" t="str" s="2">
        <x:v>1.1</x:v>
      </x:c>
      <x:c r="M1894" t="str" s="2">
        <x:v>Tentative</x:v>
      </x:c>
      <x:c r="N1894" t="str" s="2">
        <x:v>Deal Created</x:v>
      </x:c>
      <x:c r="O1894" s="0"/>
      <x:c r="P1894" s="6">
        <x:v>46298</x:v>
      </x:c>
      <x:c r="Q1894" s="6">
        <x:v>46298.957919872686</x:v>
      </x:c>
      <x:c r="R1894" s="0"/>
      <x:c r="S1894" s="6">
        <x:v>46298</x:v>
      </x:c>
      <x:c r="T1894" s="0"/>
      <x:c r="U1894" s="0"/>
      <x:c r="V1894" s="0"/>
      <x:c r="W1894" s="0"/>
      <x:c r="X1894" t="str" s="2">
        <x:v>3163080925</x:v>
      </x:c>
      <x:c r="Y1894" t="str" s="2">
        <x:v>kpowell091503@gmail.com</x:v>
      </x:c>
      <x:c r="Z1894" s="6">
        <x:v>46303.97757329861</x:v>
      </x:c>
      <x:c r="AA1894" t="str" s="2">
        <x:v>Steve Castell</x:v>
      </x:c>
      <x:c r="AB1894" s="6">
        <x:v>46298.95792114583</x:v>
      </x:c>
      <x:c r="AC1894" t="n" s="2">
        <x:v>40570</x:v>
      </x:c>
      <x:c r="AD1894" s="0"/>
      <x:c r="AE1894" s="0"/>
      <x:c r="AF1894" s="0"/>
      <x:c r="AG1894" s="0"/>
      <x:c r="AH1894" s="0"/>
      <x:c r="AI1894" s="0"/>
      <x:c r="AJ1894" s="0"/>
      <x:c r="AK1894" s="0"/>
    </x:row>
    <x:row r="1895">
      <x:c r="A1895" t="str" s="2">
        <x:f>=HYPERLINK("https://rsms.futurehomex.com/lead/40571", "Steven Moore")</x:f>
      </x:c>
      <x:c r="B1895" t="n" s="2">
        <x:v>9</x:v>
      </x:c>
      <x:c r="C1895" t="str" s="2">
        <x:v>0/3</x:v>
      </x:c>
      <x:c r="D1895" t="str" s="2">
        <x:f>=""</x:f>
      </x:c>
      <x:c r="E1895" t="str" s="2">
        <x:v>Judy Moore</x:v>
      </x:c>
      <x:c r="F1895" t="str" s="2">
        <x:v>Facebook Messenger</x:v>
      </x:c>
      <x:c r="G1895" t="str" s="2">
        <x:v>Heritage Housing of Oklahoma City</x:v>
      </x:c>
      <x:c r="H1895" t="str" s="2">
        <x:v>Steve Castell</x:v>
      </x:c>
      <x:c r="I1895" s="0"/>
      <x:c r="J1895" t="str" s="2">
        <x:v>Steve Castell</x:v>
      </x:c>
      <x:c r="K1895" t="n" s="2">
        <x:v>21</x:v>
      </x:c>
      <x:c r="L1895" t="str" s="2">
        <x:v>2.1</x:v>
      </x:c>
      <x:c r="M1895" t="str" s="2">
        <x:v>Inactive</x:v>
      </x:c>
      <x:c r="N1895" t="str" s="2">
        <x:v>Qualified</x:v>
      </x:c>
      <x:c r="O1895" s="0"/>
      <x:c r="P1895" s="6">
        <x:v>46299</x:v>
      </x:c>
      <x:c r="Q1895" s="6">
        <x:v>46300.81316369213</x:v>
      </x:c>
      <x:c r="R1895" s="0"/>
      <x:c r="S1895" s="6">
        <x:v>46300</x:v>
      </x:c>
      <x:c r="T1895" s="0"/>
      <x:c r="U1895" s="0"/>
      <x:c r="V1895" s="0"/>
      <x:c r="W1895" s="0"/>
      <x:c r="X1895" t="str" s="2">
        <x:v>4052205614</x:v>
      </x:c>
      <x:c r="Y1895" t="str" s="2">
        <x:v>judyhers123@gmail.com</x:v>
      </x:c>
      <x:c r="Z1895" s="6">
        <x:v>46308.14472739583</x:v>
      </x:c>
      <x:c r="AA1895" t="str" s="2">
        <x:v>Steve Castell</x:v>
      </x:c>
      <x:c r="AB1895" s="6">
        <x:v>46299.060999189816</x:v>
      </x:c>
      <x:c r="AC1895" t="n" s="2">
        <x:v>40571</x:v>
      </x:c>
      <x:c r="AD1895" s="0"/>
      <x:c r="AE1895" s="0"/>
      <x:c r="AF1895" s="0"/>
      <x:c r="AG1895" s="7">
        <x:v>1000</x:v>
      </x:c>
      <x:c r="AH1895" s="0"/>
      <x:c r="AI1895" s="0"/>
      <x:c r="AJ1895" s="0"/>
      <x:c r="AK1895" s="0"/>
    </x:row>
    <x:row r="1896">
      <x:c r="A1896" t="str" s="2">
        <x:f>=HYPERLINK("https://rsms.futurehomex.com/lead/40574", "MARDIS SHACKELFORD")</x:f>
      </x:c>
      <x:c r="B1896" t="n" s="2">
        <x:v>9</x:v>
      </x:c>
      <x:c r="C1896" t="str" s="2">
        <x:v/>
      </x:c>
      <x:c r="D1896" t="str" s="2">
        <x:f>=""</x:f>
      </x:c>
      <x:c r="E1896" s="0"/>
      <x:c r="F1896" t="str" s="2">
        <x:v>Walk-in</x:v>
      </x:c>
      <x:c r="G1896" t="str" s="2">
        <x:v>Heritage Housing of Athens</x:v>
      </x:c>
      <x:c r="H1896" t="str" s="2">
        <x:v>Alexander Bryant</x:v>
      </x:c>
      <x:c r="I1896" s="0"/>
      <x:c r="J1896" s="0"/>
      <x:c r="K1896" t="n" s="2">
        <x:v>5</x:v>
      </x:c>
      <x:c r="L1896" t="str" s="2">
        <x:v>1.1</x:v>
      </x:c>
      <x:c r="M1896" t="str" s="2">
        <x:v>Tentative</x:v>
      </x:c>
      <x:c r="N1896" t="str" s="2">
        <x:v>Prospect</x:v>
      </x:c>
      <x:c r="O1896" s="0"/>
      <x:c r="P1896" s="6">
        <x:v>46299</x:v>
      </x:c>
      <x:c r="Q1896" s="6">
        <x:v>46299.78229614584</x:v>
      </x:c>
      <x:c r="R1896" s="0"/>
      <x:c r="S1896" s="0"/>
      <x:c r="T1896" s="0"/>
      <x:c r="U1896" s="0"/>
      <x:c r="V1896" s="0"/>
      <x:c r="W1896" s="0"/>
      <x:c r="X1896" t="str" s="2">
        <x:v>6788877836</x:v>
      </x:c>
      <x:c r="Y1896" t="str" s="2">
        <x:v>mshackelford2@yahoo.com</x:v>
      </x:c>
      <x:c r="Z1896" s="0"/>
      <x:c r="AA1896" s="0"/>
      <x:c r="AB1896" s="6">
        <x:v>46299.7822965625</x:v>
      </x:c>
      <x:c r="AC1896" t="n" s="2">
        <x:v>40574</x:v>
      </x:c>
      <x:c r="AD1896" s="0"/>
      <x:c r="AE1896" s="0"/>
      <x:c r="AF1896" s="0"/>
      <x:c r="AG1896" s="0"/>
      <x:c r="AH1896" s="0"/>
      <x:c r="AI1896" s="0"/>
      <x:c r="AJ1896" s="0"/>
      <x:c r="AK1896" s="0"/>
    </x:row>
    <x:row r="1897">
      <x:c r="A1897" t="str" s="2">
        <x:f>=HYPERLINK("https://rsms.futurehomex.com/lead/40576", "Joeleen Crotts")</x:f>
      </x:c>
      <x:c r="B1897" t="n" s="2">
        <x:v>8</x:v>
      </x:c>
      <x:c r="C1897" t="str" s="2">
        <x:v/>
      </x:c>
      <x:c r="D1897" t="str" s="2">
        <x:f>=""</x:f>
      </x:c>
      <x:c r="E1897" s="0"/>
      <x:c r="F1897" t="str" s="2">
        <x:v>Walk-in</x:v>
      </x:c>
      <x:c r="G1897" t="str" s="2">
        <x:v>Heritage Housing of Asheboro</x:v>
      </x:c>
      <x:c r="H1897" t="str" s="2">
        <x:v>Kate Gutierrez</x:v>
      </x:c>
      <x:c r="I1897" s="0"/>
      <x:c r="J1897" s="0"/>
      <x:c r="K1897" t="n" s="2">
        <x:v>21</x:v>
      </x:c>
      <x:c r="L1897" t="str" s="2">
        <x:v>2.1</x:v>
      </x:c>
      <x:c r="M1897" t="str" s="2">
        <x:v>Tentative</x:v>
      </x:c>
      <x:c r="N1897" t="str" s="2">
        <x:v>Qualified</x:v>
      </x:c>
      <x:c r="O1897" s="0"/>
      <x:c r="P1897" s="6">
        <x:v>46300</x:v>
      </x:c>
      <x:c r="Q1897" s="6">
        <x:v>46302.58814829861</x:v>
      </x:c>
      <x:c r="R1897" s="0"/>
      <x:c r="S1897" s="0"/>
      <x:c r="T1897" s="0"/>
      <x:c r="U1897" s="0"/>
      <x:c r="V1897" s="0"/>
      <x:c r="W1897" s="0"/>
      <x:c r="X1897" t="str" s="2">
        <x:v>4344700296</x:v>
      </x:c>
      <x:c r="Y1897" t="str" s="2">
        <x:v>jcrotts775@gmail.com</x:v>
      </x:c>
      <x:c r="Z1897" s="6">
        <x:v>46302.588130868055</x:v>
      </x:c>
      <x:c r="AA1897" t="str" s="2">
        <x:v>Jeremy Jacques</x:v>
      </x:c>
      <x:c r="AB1897" s="6">
        <x:v>46300.55434054398</x:v>
      </x:c>
      <x:c r="AC1897" t="n" s="2">
        <x:v>40576</x:v>
      </x:c>
      <x:c r="AD1897" s="0"/>
      <x:c r="AE1897" s="0"/>
      <x:c r="AF1897" s="0"/>
      <x:c r="AG1897" s="0"/>
      <x:c r="AH1897" s="0"/>
      <x:c r="AI1897" s="0"/>
      <x:c r="AJ1897" s="0"/>
      <x:c r="AK1897" s="0"/>
    </x:row>
    <x:row r="1898">
      <x:c r="A1898" t="str" s="2">
        <x:f>=HYPERLINK("https://rsms.futurehomex.com/lead/40577", "Dulce Galindo Galindo")</x:f>
      </x:c>
      <x:c r="B1898" t="n" s="2">
        <x:v>8</x:v>
      </x:c>
      <x:c r="C1898" t="str" s="2">
        <x:v>1/1</x:v>
      </x:c>
      <x:c r="D1898" t="str" s="2">
        <x:f>=""</x:f>
      </x:c>
      <x:c r="E1898" s="0"/>
      <x:c r="F1898" t="str" s="2">
        <x:v>Landing_BPM</x:v>
      </x:c>
      <x:c r="G1898" t="str" s="2">
        <x:v>Heritage Housing of Oklahoma City</x:v>
      </x:c>
      <x:c r="H1898" t="str" s="2">
        <x:v>Steve Castell</x:v>
      </x:c>
      <x:c r="I1898" s="0"/>
      <x:c r="J1898" t="str" s="2">
        <x:v>Steve Castell</x:v>
      </x:c>
      <x:c r="K1898" t="n" s="2">
        <x:v>5</x:v>
      </x:c>
      <x:c r="L1898" t="str" s="2">
        <x:v>1.1</x:v>
      </x:c>
      <x:c r="M1898" t="str" s="2">
        <x:v>Tentative</x:v>
      </x:c>
      <x:c r="N1898" t="str" s="2">
        <x:v>Deal Created</x:v>
      </x:c>
      <x:c r="O1898" s="0"/>
      <x:c r="P1898" s="6">
        <x:v>46300</x:v>
      </x:c>
      <x:c r="Q1898" s="6">
        <x:v>46300.61119872685</x:v>
      </x:c>
      <x:c r="R1898" s="0"/>
      <x:c r="S1898" s="0"/>
      <x:c r="T1898" s="0"/>
      <x:c r="U1898" s="0"/>
      <x:c r="V1898" s="0"/>
      <x:c r="W1898" s="0"/>
      <x:c r="X1898" t="str" s="2">
        <x:v>3852187321</x:v>
      </x:c>
      <x:c r="Y1898" t="str" s="2">
        <x:v>dgalindo1978@gmail.com</x:v>
      </x:c>
      <x:c r="Z1898" s="6">
        <x:v>46300.61304667824</x:v>
      </x:c>
      <x:c r="AA1898" t="str" s="2">
        <x:v>Steve Castell</x:v>
      </x:c>
      <x:c r="AB1898" s="6">
        <x:v>46300.61119927083</x:v>
      </x:c>
      <x:c r="AC1898" t="n" s="2">
        <x:v>40577</x:v>
      </x:c>
      <x:c r="AD1898" s="0"/>
      <x:c r="AE1898" s="0"/>
      <x:c r="AF1898" s="0"/>
      <x:c r="AG1898" s="0"/>
      <x:c r="AH1898" s="0"/>
      <x:c r="AI1898" s="0"/>
      <x:c r="AJ1898" s="0"/>
      <x:c r="AK1898" s="0"/>
    </x:row>
    <x:row r="1899">
      <x:c r="A1899" t="str" s="2">
        <x:f>=HYPERLINK("https://rsms.futurehomex.com/lead/40578", "Victor Bartlett")</x:f>
      </x:c>
      <x:c r="B1899" t="n" s="2">
        <x:v>8</x:v>
      </x:c>
      <x:c r="C1899" t="str" s="2">
        <x:v/>
      </x:c>
      <x:c r="D1899" t="str" s="2">
        <x:f>=""</x:f>
      </x:c>
      <x:c r="E1899" s="0"/>
      <x:c r="F1899" t="str" s="2">
        <x:v>Landing_BPM</x:v>
      </x:c>
      <x:c r="G1899" t="str" s="2">
        <x:v>Legacy Housing Corp. DBA Americasa</x:v>
      </x:c>
      <x:c r="H1899" t="str" s="2">
        <x:v>Joey Marquez</x:v>
      </x:c>
      <x:c r="I1899" s="0"/>
      <x:c r="J1899" t="str" s="2">
        <x:v>Joey Marquez</x:v>
      </x:c>
      <x:c r="K1899" t="n" s="2">
        <x:v>5</x:v>
      </x:c>
      <x:c r="L1899" t="str" s="2">
        <x:v>1.1</x:v>
      </x:c>
      <x:c r="M1899" t="str" s="2">
        <x:v>Tentative</x:v>
      </x:c>
      <x:c r="N1899" t="str" s="2">
        <x:v>Deal Created</x:v>
      </x:c>
      <x:c r="O1899" s="0"/>
      <x:c r="P1899" s="6">
        <x:v>46300</x:v>
      </x:c>
      <x:c r="Q1899" s="6">
        <x:v>46300.61344976852</x:v>
      </x:c>
      <x:c r="R1899" s="0"/>
      <x:c r="S1899" s="0"/>
      <x:c r="T1899" s="0"/>
      <x:c r="U1899" s="0"/>
      <x:c r="V1899" s="0"/>
      <x:c r="W1899" s="0"/>
      <x:c r="X1899" t="str" s="2">
        <x:v>3613329149</x:v>
      </x:c>
      <x:c r="Y1899" t="str" s="2">
        <x:v>bartlettv326@gmail.com</x:v>
      </x:c>
      <x:c r="Z1899" s="6">
        <x:v>46300.61789244213</x:v>
      </x:c>
      <x:c r="AA1899" t="str" s="2">
        <x:v>Steve Castell</x:v>
      </x:c>
      <x:c r="AB1899" s="6">
        <x:v>46300.61937060185</x:v>
      </x:c>
      <x:c r="AC1899" t="n" s="2">
        <x:v>40578</x:v>
      </x:c>
      <x:c r="AD1899" s="0"/>
      <x:c r="AE1899" s="0"/>
      <x:c r="AF1899" s="0"/>
      <x:c r="AG1899" s="0"/>
      <x:c r="AH1899" s="0"/>
      <x:c r="AI1899" s="0"/>
      <x:c r="AJ1899" s="0"/>
      <x:c r="AK1899" s="0"/>
    </x:row>
    <x:row r="1900">
      <x:c r="A1900" t="str" s="2">
        <x:f>=HYPERLINK("https://rsms.futurehomex.com/lead/40579", "Carl Bagley")</x:f>
      </x:c>
      <x:c r="B1900" t="n" s="2">
        <x:v>8</x:v>
      </x:c>
      <x:c r="C1900" t="str" s="2">
        <x:v>0/1</x:v>
      </x:c>
      <x:c r="D1900" t="str" s="2">
        <x:f>=""</x:f>
      </x:c>
      <x:c r="E1900" s="0"/>
      <x:c r="F1900" t="str" s="2">
        <x:v>Facebook Messenger</x:v>
      </x:c>
      <x:c r="G1900" t="str" s="2">
        <x:v>Heritage Housing of Oklahoma City</x:v>
      </x:c>
      <x:c r="H1900" t="str" s="2">
        <x:v>Steve Castell</x:v>
      </x:c>
      <x:c r="I1900" s="0"/>
      <x:c r="J1900" t="str" s="2">
        <x:v>Steve Castell</x:v>
      </x:c>
      <x:c r="K1900" t="n" s="2">
        <x:v>5</x:v>
      </x:c>
      <x:c r="L1900" t="str" s="2">
        <x:v>1.1</x:v>
      </x:c>
      <x:c r="M1900" t="str" s="2">
        <x:v>Inactive</x:v>
      </x:c>
      <x:c r="N1900" t="str" s="2">
        <x:v>Deal Created</x:v>
      </x:c>
      <x:c r="O1900" s="0"/>
      <x:c r="P1900" s="6">
        <x:v>46300</x:v>
      </x:c>
      <x:c r="Q1900" s="6">
        <x:v>46300.62594626157</x:v>
      </x:c>
      <x:c r="R1900" s="0"/>
      <x:c r="S1900" s="0"/>
      <x:c r="T1900" s="0"/>
      <x:c r="U1900" s="0"/>
      <x:c r="V1900" s="0"/>
      <x:c r="W1900" s="0"/>
      <x:c r="X1900" t="str" s="2">
        <x:v>4794147896</x:v>
      </x:c>
      <x:c r="Y1900" t="str" s="2">
        <x:v>4794147896</x:v>
      </x:c>
      <x:c r="Z1900" s="6">
        <x:v>46301.00225130787</x:v>
      </x:c>
      <x:c r="AA1900" t="str" s="2">
        <x:v>Steve Castell</x:v>
      </x:c>
      <x:c r="AB1900" s="6">
        <x:v>46300.62594803241</x:v>
      </x:c>
      <x:c r="AC1900" t="n" s="2">
        <x:v>40579</x:v>
      </x:c>
      <x:c r="AD1900" s="0"/>
      <x:c r="AE1900" s="0"/>
      <x:c r="AF1900" s="0"/>
      <x:c r="AG1900" s="0"/>
      <x:c r="AH1900" s="0"/>
      <x:c r="AI1900" s="0"/>
      <x:c r="AJ1900" s="0"/>
      <x:c r="AK1900" s="0"/>
    </x:row>
    <x:row r="1901">
      <x:c r="A1901" t="str" s="2">
        <x:f>=HYPERLINK("https://rsms.futurehomex.com/lead/40580", "Cindy Cooper")</x:f>
      </x:c>
      <x:c r="B1901" t="n" s="2">
        <x:v>8</x:v>
      </x:c>
      <x:c r="C1901" t="str" s="2">
        <x:v/>
      </x:c>
      <x:c r="D1901" t="str" s="2">
        <x:f>=""</x:f>
      </x:c>
      <x:c r="E1901" s="0"/>
      <x:c r="F1901" t="str" s="2">
        <x:v>Walk-in</x:v>
      </x:c>
      <x:c r="G1901" t="str" s="2">
        <x:v>Heritage Housing of Athens</x:v>
      </x:c>
      <x:c r="H1901" t="str" s="2">
        <x:v>Ethan Fossett</x:v>
      </x:c>
      <x:c r="I1901" s="0"/>
      <x:c r="J1901" s="0"/>
      <x:c r="K1901" t="n" s="2">
        <x:v>5</x:v>
      </x:c>
      <x:c r="L1901" t="str" s="2">
        <x:v>1.1</x:v>
      </x:c>
      <x:c r="M1901" t="str" s="2">
        <x:v>Tentative</x:v>
      </x:c>
      <x:c r="N1901" t="str" s="2">
        <x:v>Prospect</x:v>
      </x:c>
      <x:c r="O1901" s="0"/>
      <x:c r="P1901" s="6">
        <x:v>46300</x:v>
      </x:c>
      <x:c r="Q1901" s="6">
        <x:v>46300.638893483796</x:v>
      </x:c>
      <x:c r="R1901" s="0"/>
      <x:c r="S1901" s="0"/>
      <x:c r="T1901" s="0"/>
      <x:c r="U1901" s="0"/>
      <x:c r="V1901" s="0"/>
      <x:c r="W1901" s="0"/>
      <x:c r="X1901" t="str" s="2">
        <x:v>7062072431</x:v>
      </x:c>
      <x:c r="Y1901" t="str" s="2">
        <x:v>whitleyc@gmail.com</x:v>
      </x:c>
      <x:c r="Z1901" s="0"/>
      <x:c r="AA1901" s="0"/>
      <x:c r="AB1901" s="6">
        <x:v>46300.63889394676</x:v>
      </x:c>
      <x:c r="AC1901" t="n" s="2">
        <x:v>40580</x:v>
      </x:c>
      <x:c r="AD1901" s="0"/>
      <x:c r="AE1901" s="0"/>
      <x:c r="AF1901" s="0"/>
      <x:c r="AG1901" s="0"/>
      <x:c r="AH1901" s="0"/>
      <x:c r="AI1901" s="0"/>
      <x:c r="AJ1901" s="0"/>
      <x:c r="AK1901" s="0"/>
    </x:row>
    <x:row r="1902">
      <x:c r="A1902" t="str" s="2">
        <x:f>=HYPERLINK("https://rsms.futurehomex.com/lead/40581", "Joshua Baker")</x:f>
      </x:c>
      <x:c r="B1902" t="n" s="2">
        <x:v>8</x:v>
      </x:c>
      <x:c r="C1902" t="str" s="2">
        <x:v>1/2</x:v>
      </x:c>
      <x:c r="D1902" t="str" s="2">
        <x:f>=""</x:f>
      </x:c>
      <x:c r="E1902" s="0"/>
      <x:c r="F1902" t="str" s="2">
        <x:v>Website</x:v>
      </x:c>
      <x:c r="G1902" t="str" s="2">
        <x:v>Heritage Housing of Oklahoma City</x:v>
      </x:c>
      <x:c r="H1902" t="str" s="2">
        <x:v>Steve Castell</x:v>
      </x:c>
      <x:c r="I1902" s="0"/>
      <x:c r="J1902" t="str" s="2">
        <x:v>Steve Castell</x:v>
      </x:c>
      <x:c r="K1902" t="n" s="2">
        <x:v>5</x:v>
      </x:c>
      <x:c r="L1902" t="str" s="2">
        <x:v>1.1</x:v>
      </x:c>
      <x:c r="M1902" t="str" s="2">
        <x:v>Tentative</x:v>
      </x:c>
      <x:c r="N1902" t="str" s="2">
        <x:v>Deal Created</x:v>
      </x:c>
      <x:c r="O1902" s="0"/>
      <x:c r="P1902" s="6">
        <x:v>46300</x:v>
      </x:c>
      <x:c r="Q1902" s="6">
        <x:v>46300.64289282407</x:v>
      </x:c>
      <x:c r="R1902" s="0"/>
      <x:c r="S1902" s="0"/>
      <x:c r="T1902" s="0"/>
      <x:c r="U1902" s="0"/>
      <x:c r="V1902" s="0"/>
      <x:c r="W1902" s="0"/>
      <x:c r="X1902" t="str" s="2">
        <x:v>5802781497</x:v>
      </x:c>
      <x:c r="Y1902" t="str" s="2">
        <x:v>braxtonscarbrough@gmail.com</x:v>
      </x:c>
      <x:c r="Z1902" s="6">
        <x:v>46304.96098672454</x:v>
      </x:c>
      <x:c r="AA1902" t="str" s="2">
        <x:v>Steve Castell</x:v>
      </x:c>
      <x:c r="AB1902" s="6">
        <x:v>46300.64289325231</x:v>
      </x:c>
      <x:c r="AC1902" t="n" s="2">
        <x:v>40581</x:v>
      </x:c>
      <x:c r="AD1902" s="0"/>
      <x:c r="AE1902" s="0"/>
      <x:c r="AF1902" s="0"/>
      <x:c r="AG1902" s="0"/>
      <x:c r="AH1902" s="0"/>
      <x:c r="AI1902" s="0"/>
      <x:c r="AJ1902" s="0"/>
      <x:c r="AK1902" s="0"/>
    </x:row>
    <x:row r="1903">
      <x:c r="A1903" t="str" s="2">
        <x:f>=HYPERLINK("https://rsms.futurehomex.com/lead/40582", "Diangelo Jenkins")</x:f>
      </x:c>
      <x:c r="B1903" t="n" s="2">
        <x:v>8</x:v>
      </x:c>
      <x:c r="C1903" t="str" s="2">
        <x:v/>
      </x:c>
      <x:c r="D1903" t="str" s="2">
        <x:f>=""</x:f>
      </x:c>
      <x:c r="E1903" s="0"/>
      <x:c r="F1903" t="str" s="2">
        <x:v>Facebook Messenger</x:v>
      </x:c>
      <x:c r="G1903" t="str" s="2">
        <x:v>Heritage Housing of Oklahoma City</x:v>
      </x:c>
      <x:c r="H1903" t="str" s="2">
        <x:v>Devon McCoy</x:v>
      </x:c>
      <x:c r="I1903" t="str" s="2">
        <x:v>Karol Romero</x:v>
      </x:c>
      <x:c r="J1903" t="str" s="2">
        <x:v>Devon McCoy</x:v>
      </x:c>
      <x:c r="K1903" t="n" s="2">
        <x:v>5</x:v>
      </x:c>
      <x:c r="L1903" t="str" s="2">
        <x:v>1.1</x:v>
      </x:c>
      <x:c r="M1903" t="str" s="2">
        <x:v>Tentative</x:v>
      </x:c>
      <x:c r="N1903" t="str" s="2">
        <x:v>Deal Created</x:v>
      </x:c>
      <x:c r="O1903" s="0"/>
      <x:c r="P1903" s="6">
        <x:v>46300</x:v>
      </x:c>
      <x:c r="Q1903" s="6">
        <x:v>46300.693492280094</x:v>
      </x:c>
      <x:c r="R1903" s="0"/>
      <x:c r="S1903" s="6">
        <x:v>46300</x:v>
      </x:c>
      <x:c r="T1903" s="0"/>
      <x:c r="U1903" s="0"/>
      <x:c r="V1903" s="0"/>
      <x:c r="W1903" s="0"/>
      <x:c r="X1903" t="str" s="2">
        <x:v>4057238401</x:v>
      </x:c>
      <x:c r="Y1903" t="str" s="2">
        <x:v>jackie.ingraham@gmail.com</x:v>
      </x:c>
      <x:c r="Z1903" s="0"/>
      <x:c r="AA1903" s="0"/>
      <x:c r="AB1903" s="6">
        <x:v>46300.69349386574</x:v>
      </x:c>
      <x:c r="AC1903" t="n" s="2">
        <x:v>40582</x:v>
      </x:c>
      <x:c r="AD1903" s="0"/>
      <x:c r="AE1903" s="0"/>
      <x:c r="AF1903" s="0"/>
      <x:c r="AG1903" s="0"/>
      <x:c r="AH1903" s="0"/>
      <x:c r="AI1903" s="0"/>
      <x:c r="AJ1903" s="0"/>
      <x:c r="AK1903" s="0"/>
    </x:row>
    <x:row r="1904">
      <x:c r="A1904" t="str" s="2">
        <x:f>=HYPERLINK("https://rsms.futurehomex.com/lead/40583", "Naidy Herrera Maceda")</x:f>
      </x:c>
      <x:c r="B1904" t="n" s="2">
        <x:v>8</x:v>
      </x:c>
      <x:c r="C1904" t="str" s="2">
        <x:v/>
      </x:c>
      <x:c r="D1904" t="str" s="2">
        <x:f>=""</x:f>
      </x:c>
      <x:c r="E1904" s="0"/>
      <x:c r="F1904" t="str" s="2">
        <x:v>TikTok</x:v>
      </x:c>
      <x:c r="G1904" t="str" s="2">
        <x:v>Heritage Housing of Greenville</x:v>
      </x:c>
      <x:c r="H1904" t="str" s="2">
        <x:v>Oscar Osorio</x:v>
      </x:c>
      <x:c r="I1904" s="0"/>
      <x:c r="J1904" t="str" s="2">
        <x:v>Oscar Osorio</x:v>
      </x:c>
      <x:c r="K1904" t="n" s="2">
        <x:v>5</x:v>
      </x:c>
      <x:c r="L1904" t="str" s="2">
        <x:v>1.1</x:v>
      </x:c>
      <x:c r="M1904" t="str" s="2">
        <x:v>Dead</x:v>
      </x:c>
      <x:c r="N1904" t="str" s="2">
        <x:v>Prospect</x:v>
      </x:c>
      <x:c r="O1904" s="0"/>
      <x:c r="P1904" s="6">
        <x:v>46300</x:v>
      </x:c>
      <x:c r="Q1904" s="6">
        <x:v>46300.73008568287</x:v>
      </x:c>
      <x:c r="R1904" s="0"/>
      <x:c r="S1904" s="6">
        <x:v>46300</x:v>
      </x:c>
      <x:c r="T1904" s="6">
        <x:v>46300</x:v>
      </x:c>
      <x:c r="U1904" s="6">
        <x:v>46301</x:v>
      </x:c>
      <x:c r="V1904" s="0"/>
      <x:c r="W1904" s="0"/>
      <x:c r="X1904" t="str" s="2">
        <x:v>7869254148</x:v>
      </x:c>
      <x:c r="Y1904" t="str" s="2">
        <x:v>naidyherrera12@hotmail.com</x:v>
      </x:c>
      <x:c r="Z1904" s="0"/>
      <x:c r="AA1904" s="0"/>
      <x:c r="AB1904" s="6">
        <x:v>46300.72030998843</x:v>
      </x:c>
      <x:c r="AC1904" t="n" s="2">
        <x:v>40583</x:v>
      </x:c>
      <x:c r="AD1904" s="0"/>
      <x:c r="AE1904" s="0"/>
      <x:c r="AF1904" s="0"/>
      <x:c r="AG1904" s="7">
        <x:v>6000</x:v>
      </x:c>
      <x:c r="AH1904" s="0"/>
      <x:c r="AI1904" t="str" s="2">
        <x:v>447</x:v>
      </x:c>
      <x:c r="AJ1904" s="0"/>
      <x:c r="AK1904" s="0"/>
    </x:row>
    <x:row r="1905">
      <x:c r="A1905" t="str" s="2">
        <x:f>=HYPERLINK("https://rsms.futurehomex.com/lead/40584", "Diamond Davis")</x:f>
      </x:c>
      <x:c r="B1905" t="n" s="2">
        <x:v>8</x:v>
      </x:c>
      <x:c r="C1905" t="str" s="2">
        <x:v/>
      </x:c>
      <x:c r="D1905" t="str" s="2">
        <x:f>=""</x:f>
      </x:c>
      <x:c r="E1905" s="0"/>
      <x:c r="F1905" t="str" s="2">
        <x:v>Landing_BPM</x:v>
      </x:c>
      <x:c r="G1905" t="str" s="2">
        <x:v>Heritage Housing of Jennings</x:v>
      </x:c>
      <x:c r="H1905" t="str" s="2">
        <x:v>Clint O'Neal</x:v>
      </x:c>
      <x:c r="I1905" s="0"/>
      <x:c r="J1905" t="str" s="2">
        <x:v>Clint O'Neal</x:v>
      </x:c>
      <x:c r="K1905" t="n" s="2">
        <x:v>5</x:v>
      </x:c>
      <x:c r="L1905" t="str" s="2">
        <x:v>1.1</x:v>
      </x:c>
      <x:c r="M1905" t="str" s="2">
        <x:v>Tentative</x:v>
      </x:c>
      <x:c r="N1905" t="str" s="2">
        <x:v>Deal Created</x:v>
      </x:c>
      <x:c r="O1905" s="0"/>
      <x:c r="P1905" s="6">
        <x:v>46300</x:v>
      </x:c>
      <x:c r="Q1905" s="6">
        <x:v>46300.74264193287</x:v>
      </x:c>
      <x:c r="R1905" s="0"/>
      <x:c r="S1905" s="0"/>
      <x:c r="T1905" s="0"/>
      <x:c r="U1905" s="0"/>
      <x:c r="V1905" s="0"/>
      <x:c r="W1905" s="0"/>
      <x:c r="X1905" t="str" s="2">
        <x:v>2672485828</x:v>
      </x:c>
      <x:c r="Y1905" t="str" s="2">
        <x:v>blaquegah2018@gmail.com</x:v>
      </x:c>
      <x:c r="Z1905" s="6">
        <x:v>46300.74507700231</x:v>
      </x:c>
      <x:c r="AA1905" t="str" s="2">
        <x:v>Clint O'Neal</x:v>
      </x:c>
      <x:c r="AB1905" s="6">
        <x:v>46300.74264247685</x:v>
      </x:c>
      <x:c r="AC1905" t="n" s="2">
        <x:v>40584</x:v>
      </x:c>
      <x:c r="AD1905" s="0"/>
      <x:c r="AE1905" s="0"/>
      <x:c r="AF1905" s="0"/>
      <x:c r="AG1905" s="0"/>
      <x:c r="AH1905" s="0"/>
      <x:c r="AI1905" s="0"/>
      <x:c r="AJ1905" s="0"/>
      <x:c r="AK1905" s="0"/>
    </x:row>
    <x:row r="1906">
      <x:c r="A1906" t="str" s="2">
        <x:f>=HYPERLINK("https://rsms.futurehomex.com/lead/40585", "Jone Williams")</x:f>
      </x:c>
      <x:c r="B1906" t="n" s="2">
        <x:v>8</x:v>
      </x:c>
      <x:c r="C1906" t="str" s="2">
        <x:v>0/1</x:v>
      </x:c>
      <x:c r="D1906" t="str" s="2">
        <x:f>=""</x:f>
      </x:c>
      <x:c r="E1906" s="0"/>
      <x:c r="F1906" t="str" s="2">
        <x:v>Landing_BPM</x:v>
      </x:c>
      <x:c r="G1906" t="str" s="2">
        <x:v>Heritage Housing of Oklahoma City</x:v>
      </x:c>
      <x:c r="H1906" t="str" s="2">
        <x:v>Trey Rixleben</x:v>
      </x:c>
      <x:c r="I1906" s="0"/>
      <x:c r="J1906" s="0"/>
      <x:c r="K1906" t="n" s="2">
        <x:v>5</x:v>
      </x:c>
      <x:c r="L1906" t="str" s="2">
        <x:v>1.1</x:v>
      </x:c>
      <x:c r="M1906" t="str" s="2">
        <x:v>Dead</x:v>
      </x:c>
      <x:c r="N1906" t="str" s="2">
        <x:v>Deal Created</x:v>
      </x:c>
      <x:c r="O1906" s="0"/>
      <x:c r="P1906" s="6">
        <x:v>46300</x:v>
      </x:c>
      <x:c r="Q1906" s="6">
        <x:v>46300.75142700232</x:v>
      </x:c>
      <x:c r="R1906" s="0"/>
      <x:c r="S1906" s="0"/>
      <x:c r="T1906" s="0"/>
      <x:c r="U1906" s="0"/>
      <x:c r="V1906" s="0"/>
      <x:c r="W1906" s="0"/>
      <x:c r="X1906" t="str" s="2">
        <x:v>4058589654</x:v>
      </x:c>
      <x:c r="Y1906" t="str" s="2">
        <x:v>hasmat130@gmail.com</x:v>
      </x:c>
      <x:c r="Z1906" s="6">
        <x:v>46300.755477314815</x:v>
      </x:c>
      <x:c r="AA1906" t="str" s="2">
        <x:v>Richard Bell</x:v>
      </x:c>
      <x:c r="AB1906" s="6">
        <x:v>46300.751427511575</x:v>
      </x:c>
      <x:c r="AC1906" t="n" s="2">
        <x:v>40585</x:v>
      </x:c>
      <x:c r="AD1906" s="0"/>
      <x:c r="AE1906" s="0"/>
      <x:c r="AF1906" s="0"/>
      <x:c r="AG1906" s="0"/>
      <x:c r="AH1906" s="0"/>
      <x:c r="AI1906" s="0"/>
      <x:c r="AJ1906" s="0"/>
      <x:c r="AK1906" s="0"/>
    </x:row>
    <x:row r="1907">
      <x:c r="A1907" t="str" s="2">
        <x:f>=HYPERLINK("https://rsms.futurehomex.com/lead/40586", "Veronica Townsend")</x:f>
      </x:c>
      <x:c r="B1907" t="n" s="2">
        <x:v>8</x:v>
      </x:c>
      <x:c r="C1907" t="str" s="2">
        <x:v>1/2</x:v>
      </x:c>
      <x:c r="D1907" t="str" s="2">
        <x:f>=""</x:f>
      </x:c>
      <x:c r="E1907" s="0"/>
      <x:c r="F1907" t="str" s="2">
        <x:v>Financing Form</x:v>
      </x:c>
      <x:c r="G1907" t="str" s="2">
        <x:v>Heritage Housing of Oklahoma City</x:v>
      </x:c>
      <x:c r="H1907" t="str" s="2">
        <x:v>Steve Castell</x:v>
      </x:c>
      <x:c r="I1907" s="0"/>
      <x:c r="J1907" t="str" s="2">
        <x:v>Steve Castell</x:v>
      </x:c>
      <x:c r="K1907" t="n" s="2">
        <x:v>5</x:v>
      </x:c>
      <x:c r="L1907" t="str" s="2">
        <x:v>1.1</x:v>
      </x:c>
      <x:c r="M1907" t="str" s="2">
        <x:v>Tentative</x:v>
      </x:c>
      <x:c r="N1907" t="str" s="2">
        <x:v>Deal Created</x:v>
      </x:c>
      <x:c r="O1907" s="0"/>
      <x:c r="P1907" s="6">
        <x:v>46300</x:v>
      </x:c>
      <x:c r="Q1907" s="6">
        <x:v>46300.78542515046</x:v>
      </x:c>
      <x:c r="R1907" s="0"/>
      <x:c r="S1907" s="0"/>
      <x:c r="T1907" s="0"/>
      <x:c r="U1907" s="0"/>
      <x:c r="V1907" s="0"/>
      <x:c r="W1907" s="0"/>
      <x:c r="X1907" t="str" s="2">
        <x:v>5722418646</x:v>
      </x:c>
      <x:c r="Y1907" t="str" s="2">
        <x:v>townsend0910@gmail.com</x:v>
      </x:c>
      <x:c r="Z1907" s="6">
        <x:v>46303.95503271991</x:v>
      </x:c>
      <x:c r="AA1907" t="str" s="2">
        <x:v>Steve Castell</x:v>
      </x:c>
      <x:c r="AB1907" s="6">
        <x:v>46300.7854255787</x:v>
      </x:c>
      <x:c r="AC1907" t="n" s="2">
        <x:v>40586</x:v>
      </x:c>
      <x:c r="AD1907" s="0"/>
      <x:c r="AE1907" s="0"/>
      <x:c r="AF1907" s="0"/>
      <x:c r="AG1907" s="0"/>
      <x:c r="AH1907" s="0"/>
      <x:c r="AI1907" s="0"/>
      <x:c r="AJ1907" s="0"/>
      <x:c r="AK1907" s="0"/>
    </x:row>
    <x:row r="1908">
      <x:c r="A1908" t="str" s="2">
        <x:f>=HYPERLINK("https://rsms.futurehomex.com/lead/40588", "Taira Stewart")</x:f>
      </x:c>
      <x:c r="B1908" t="n" s="2">
        <x:v>8</x:v>
      </x:c>
      <x:c r="C1908" t="str" s="2">
        <x:v>0/1</x:v>
      </x:c>
      <x:c r="D1908" t="str" s="2">
        <x:f>=""</x:f>
      </x:c>
      <x:c r="E1908" s="0"/>
      <x:c r="F1908" t="str" s="2">
        <x:v>Landing_BPM</x:v>
      </x:c>
      <x:c r="G1908" t="str" s="2">
        <x:v>Heritage Housing of Greenville</x:v>
      </x:c>
      <x:c r="H1908" t="str" s="2">
        <x:v>Brooklynn Allen</x:v>
      </x:c>
      <x:c r="I1908" s="0"/>
      <x:c r="J1908" s="0"/>
      <x:c r="K1908" t="n" s="2">
        <x:v>5</x:v>
      </x:c>
      <x:c r="L1908" t="str" s="2">
        <x:v>1.1</x:v>
      </x:c>
      <x:c r="M1908" t="str" s="2">
        <x:v>Inactive</x:v>
      </x:c>
      <x:c r="N1908" t="str" s="2">
        <x:v>Prospect</x:v>
      </x:c>
      <x:c r="O1908" s="0"/>
      <x:c r="P1908" s="6">
        <x:v>46300</x:v>
      </x:c>
      <x:c r="Q1908" s="6">
        <x:v>46300.81892878472</x:v>
      </x:c>
      <x:c r="R1908" s="0"/>
      <x:c r="S1908" s="0"/>
      <x:c r="T1908" s="0"/>
      <x:c r="U1908" s="0"/>
      <x:c r="V1908" s="0"/>
      <x:c r="W1908" s="0"/>
      <x:c r="X1908" t="str" s="2">
        <x:v>8172355286</x:v>
      </x:c>
      <x:c r="Y1908" t="str" s="2">
        <x:v>tairastewart@yahoo.com</x:v>
      </x:c>
      <x:c r="Z1908" s="6">
        <x:v>46303.75905590278</x:v>
      </x:c>
      <x:c r="AA1908" t="str" s="2">
        <x:v>Sarahi Vazquez</x:v>
      </x:c>
      <x:c r="AB1908" s="6">
        <x:v>46300.81892986111</x:v>
      </x:c>
      <x:c r="AC1908" t="n" s="2">
        <x:v>40588</x:v>
      </x:c>
      <x:c r="AD1908" s="0"/>
      <x:c r="AE1908" s="0"/>
      <x:c r="AF1908" s="0"/>
      <x:c r="AG1908" s="0"/>
      <x:c r="AH1908" s="0"/>
      <x:c r="AI1908" s="0"/>
      <x:c r="AJ1908" s="0"/>
      <x:c r="AK1908" s="0"/>
    </x:row>
    <x:row r="1909">
      <x:c r="A1909" t="str" s="2">
        <x:f>=HYPERLINK("https://rsms.futurehomex.com/lead/40590", "Ricky Jones")</x:f>
      </x:c>
      <x:c r="B1909" t="n" s="2">
        <x:v>8</x:v>
      </x:c>
      <x:c r="C1909" t="str" s="2">
        <x:v/>
      </x:c>
      <x:c r="D1909" t="str" s="2">
        <x:f>=""</x:f>
      </x:c>
      <x:c r="E1909" s="0"/>
      <x:c r="F1909" t="str" s="2">
        <x:v>Website</x:v>
      </x:c>
      <x:c r="G1909" t="str" s="2">
        <x:v>Heritage Housing of Augusta</x:v>
      </x:c>
      <x:c r="H1909" t="str" s="2">
        <x:v>Jennifer Johnson</x:v>
      </x:c>
      <x:c r="I1909" t="str" s="2">
        <x:v>Karol Romero</x:v>
      </x:c>
      <x:c r="J1909" t="str" s="2">
        <x:v>Jennifer Johnson</x:v>
      </x:c>
      <x:c r="K1909" t="n" s="2">
        <x:v>5</x:v>
      </x:c>
      <x:c r="L1909" t="str" s="2">
        <x:v>1.1</x:v>
      </x:c>
      <x:c r="M1909" t="str" s="2">
        <x:v>Tentative</x:v>
      </x:c>
      <x:c r="N1909" t="str" s="2">
        <x:v>Deal Created</x:v>
      </x:c>
      <x:c r="O1909" s="0"/>
      <x:c r="P1909" s="6">
        <x:v>46300</x:v>
      </x:c>
      <x:c r="Q1909" s="6">
        <x:v>46300.833404398145</x:v>
      </x:c>
      <x:c r="R1909" s="0"/>
      <x:c r="S1909" s="0"/>
      <x:c r="T1909" s="0"/>
      <x:c r="U1909" s="0"/>
      <x:c r="V1909" s="0"/>
      <x:c r="W1909" s="0"/>
      <x:c r="X1909" t="str" s="2">
        <x:v>7064663485</x:v>
      </x:c>
      <x:c r="Y1909" t="str" s="2">
        <x:v>7064663485</x:v>
      </x:c>
      <x:c r="Z1909" s="0"/>
      <x:c r="AA1909" s="0"/>
      <x:c r="AB1909" s="6">
        <x:v>46300.8334059375</x:v>
      </x:c>
      <x:c r="AC1909" t="n" s="2">
        <x:v>40590</x:v>
      </x:c>
      <x:c r="AD1909" s="0"/>
      <x:c r="AE1909" s="0"/>
      <x:c r="AF1909" s="0"/>
      <x:c r="AG1909" s="0"/>
      <x:c r="AH1909" s="0"/>
      <x:c r="AI1909" s="0"/>
      <x:c r="AJ1909" s="0"/>
      <x:c r="AK1909" s="0"/>
    </x:row>
    <x:row r="1910">
      <x:c r="A1910" t="str" s="2">
        <x:f>=HYPERLINK("https://rsms.futurehomex.com/lead/40592", "Jeremy Vanhorn")</x:f>
      </x:c>
      <x:c r="B1910" t="n" s="2">
        <x:v>8</x:v>
      </x:c>
      <x:c r="C1910" t="str" s="2">
        <x:v>0/2</x:v>
      </x:c>
      <x:c r="D1910" t="str" s="2">
        <x:f>=""</x:f>
      </x:c>
      <x:c r="E1910" s="0"/>
      <x:c r="F1910" t="str" s="2">
        <x:v>Walk-in</x:v>
      </x:c>
      <x:c r="G1910" t="str" s="2">
        <x:v>Heritage Housing of Oklahoma City</x:v>
      </x:c>
      <x:c r="H1910" t="str" s="2">
        <x:v>Devon McCoy</x:v>
      </x:c>
      <x:c r="I1910" t="str" s="2">
        <x:v>Karol Romero</x:v>
      </x:c>
      <x:c r="J1910" t="str" s="2">
        <x:v>Devon McCoy</x:v>
      </x:c>
      <x:c r="K1910" t="n" s="2">
        <x:v>5</x:v>
      </x:c>
      <x:c r="L1910" t="str" s="2">
        <x:v>1.1</x:v>
      </x:c>
      <x:c r="M1910" t="str" s="2">
        <x:v>Tentative</x:v>
      </x:c>
      <x:c r="N1910" t="str" s="2">
        <x:v>Deal Created</x:v>
      </x:c>
      <x:c r="O1910" s="0"/>
      <x:c r="P1910" s="6">
        <x:v>46300</x:v>
      </x:c>
      <x:c r="Q1910" s="6">
        <x:v>46300.84555297454</x:v>
      </x:c>
      <x:c r="R1910" s="0"/>
      <x:c r="S1910" s="6">
        <x:v>46300</x:v>
      </x:c>
      <x:c r="T1910" s="0"/>
      <x:c r="U1910" s="0"/>
      <x:c r="V1910" s="0"/>
      <x:c r="W1910" s="0"/>
      <x:c r="X1910" t="str" s="2">
        <x:v>4059819984</x:v>
      </x:c>
      <x:c r="Y1910" t="str" s="2">
        <x:v>4059819984</x:v>
      </x:c>
      <x:c r="Z1910" s="6">
        <x:v>46304.63638700231</x:v>
      </x:c>
      <x:c r="AA1910" t="str" s="2">
        <x:v>Devon McCoy</x:v>
      </x:c>
      <x:c r="AB1910" s="6">
        <x:v>46300.84555420139</x:v>
      </x:c>
      <x:c r="AC1910" t="n" s="2">
        <x:v>40592</x:v>
      </x:c>
      <x:c r="AD1910" s="0"/>
      <x:c r="AE1910" s="0"/>
      <x:c r="AF1910" s="0"/>
      <x:c r="AG1910" s="0"/>
      <x:c r="AH1910" s="0"/>
      <x:c r="AI1910" s="0"/>
      <x:c r="AJ1910" s="0"/>
      <x:c r="AK1910" s="0"/>
    </x:row>
    <x:row r="1911">
      <x:c r="A1911" t="str" s="2">
        <x:f>=HYPERLINK("https://rsms.futurehomex.com/lead/40593", "Yasha Shine")</x:f>
      </x:c>
      <x:c r="B1911" t="n" s="2">
        <x:v>8</x:v>
      </x:c>
      <x:c r="C1911" t="str" s="2">
        <x:v/>
      </x:c>
      <x:c r="D1911" t="str" s="2">
        <x:f>=""</x:f>
      </x:c>
      <x:c r="E1911" s="0"/>
      <x:c r="F1911" t="str" s="2">
        <x:v>Website</x:v>
      </x:c>
      <x:c r="G1911" t="str" s="2">
        <x:v>Heritage Housing of Athens</x:v>
      </x:c>
      <x:c r="H1911" t="str" s="2">
        <x:v>Ethan Fossett</x:v>
      </x:c>
      <x:c r="I1911" s="0"/>
      <x:c r="J1911" t="str" s="2">
        <x:v>Ethan Fossett</x:v>
      </x:c>
      <x:c r="K1911" t="n" s="2">
        <x:v>5</x:v>
      </x:c>
      <x:c r="L1911" t="str" s="2">
        <x:v>1.1</x:v>
      </x:c>
      <x:c r="M1911" t="str" s="2">
        <x:v>Tentative</x:v>
      </x:c>
      <x:c r="N1911" t="str" s="2">
        <x:v>Prospect</x:v>
      </x:c>
      <x:c r="O1911" s="0"/>
      <x:c r="P1911" s="6">
        <x:v>46300</x:v>
      </x:c>
      <x:c r="Q1911" s="6">
        <x:v>46303.69583417824</x:v>
      </x:c>
      <x:c r="R1911" s="0"/>
      <x:c r="S1911" s="0"/>
      <x:c r="T1911" s="0"/>
      <x:c r="U1911" s="0"/>
      <x:c r="V1911" s="0"/>
      <x:c r="W1911" s="0"/>
      <x:c r="X1911" t="str" s="2">
        <x:v>6268147850</x:v>
      </x:c>
      <x:c r="Y1911" t="str" s="2">
        <x:v>yashapaul@fuller.edu</x:v>
      </x:c>
      <x:c r="Z1911" s="0"/>
      <x:c r="AA1911" s="0"/>
      <x:c r="AB1911" s="6">
        <x:v>46300.84971307871</x:v>
      </x:c>
      <x:c r="AC1911" t="n" s="2">
        <x:v>40593</x:v>
      </x:c>
      <x:c r="AD1911" s="0"/>
      <x:c r="AE1911" s="0"/>
      <x:c r="AF1911" s="0"/>
      <x:c r="AG1911" s="0"/>
      <x:c r="AH1911" s="0"/>
      <x:c r="AI1911" s="0"/>
      <x:c r="AJ1911" s="0"/>
      <x:c r="AK1911" s="0"/>
    </x:row>
    <x:row r="1912">
      <x:c r="A1912" t="str" s="2">
        <x:f>=HYPERLINK("https://rsms.futurehomex.com/lead/40596", "Eduardo Cortez")</x:f>
      </x:c>
      <x:c r="B1912" t="n" s="2">
        <x:v>8</x:v>
      </x:c>
      <x:c r="C1912" t="str" s="2">
        <x:v>1/2</x:v>
      </x:c>
      <x:c r="D1912" t="str" s="2">
        <x:f>=""</x:f>
      </x:c>
      <x:c r="E1912" s="0"/>
      <x:c r="F1912" t="str" s="2">
        <x:v>TikTok</x:v>
      </x:c>
      <x:c r="G1912" t="str" s="2">
        <x:v>Legacy Housing Corp. DBA Americasa</x:v>
      </x:c>
      <x:c r="H1912" t="str" s="2">
        <x:v>Angelica Mendoza </x:v>
      </x:c>
      <x:c r="I1912" t="str" s="2">
        <x:v>Karol Romero</x:v>
      </x:c>
      <x:c r="J1912" s="0"/>
      <x:c r="K1912" t="n" s="2">
        <x:v>5</x:v>
      </x:c>
      <x:c r="L1912" t="str" s="2">
        <x:v>1.1</x:v>
      </x:c>
      <x:c r="M1912" t="str" s="2">
        <x:v>Tentative</x:v>
      </x:c>
      <x:c r="N1912" t="str" s="2">
        <x:v>Prospect</x:v>
      </x:c>
      <x:c r="O1912" s="0"/>
      <x:c r="P1912" s="6">
        <x:v>46300</x:v>
      </x:c>
      <x:c r="Q1912" s="6">
        <x:v>46300.89465740741</x:v>
      </x:c>
      <x:c r="R1912" s="0"/>
      <x:c r="S1912" s="0"/>
      <x:c r="T1912" s="0"/>
      <x:c r="U1912" s="0"/>
      <x:c r="V1912" s="0"/>
      <x:c r="W1912" s="0"/>
      <x:c r="X1912" t="str" s="2">
        <x:v>3154365851</x:v>
      </x:c>
      <x:c r="Y1912" t="str" s="2">
        <x:v>3154365851</x:v>
      </x:c>
      <x:c r="Z1912" s="6">
        <x:v>46304.95564204861</x:v>
      </x:c>
      <x:c r="AA1912" t="str" s="2">
        <x:v>Angelica Mendoza </x:v>
      </x:c>
      <x:c r="AB1912" s="6">
        <x:v>46300.894658599536</x:v>
      </x:c>
      <x:c r="AC1912" t="n" s="2">
        <x:v>40596</x:v>
      </x:c>
      <x:c r="AD1912" s="0"/>
      <x:c r="AE1912" s="0"/>
      <x:c r="AF1912" s="0"/>
      <x:c r="AG1912" s="0"/>
      <x:c r="AH1912" s="0"/>
      <x:c r="AI1912" s="0"/>
      <x:c r="AJ1912" s="0"/>
      <x:c r="AK1912" s="0"/>
    </x:row>
    <x:row r="1913">
      <x:c r="A1913" t="str" s="2">
        <x:f>=HYPERLINK("https://rsms.futurehomex.com/lead/40597", "Melanie Lewis")</x:f>
      </x:c>
      <x:c r="B1913" t="n" s="2">
        <x:v>8</x:v>
      </x:c>
      <x:c r="C1913" t="str" s="2">
        <x:v/>
      </x:c>
      <x:c r="D1913" t="str" s="2">
        <x:f>=""</x:f>
      </x:c>
      <x:c r="E1913" s="0"/>
      <x:c r="F1913" t="str" s="2">
        <x:v>Walk-in</x:v>
      </x:c>
      <x:c r="G1913" t="str" s="2">
        <x:v>Heritage Housing of Oklahoma City</x:v>
      </x:c>
      <x:c r="H1913" t="str" s="2">
        <x:v>Devon McCoy</x:v>
      </x:c>
      <x:c r="I1913" s="0"/>
      <x:c r="J1913" t="str" s="2">
        <x:v>Devon McCoy</x:v>
      </x:c>
      <x:c r="K1913" t="n" s="2">
        <x:v>5</x:v>
      </x:c>
      <x:c r="L1913" t="str" s="2">
        <x:v>1.1</x:v>
      </x:c>
      <x:c r="M1913" t="str" s="2">
        <x:v>Tentative</x:v>
      </x:c>
      <x:c r="N1913" t="str" s="2">
        <x:v>Deal Created</x:v>
      </x:c>
      <x:c r="O1913" s="0"/>
      <x:c r="P1913" s="6">
        <x:v>46300</x:v>
      </x:c>
      <x:c r="Q1913" s="6">
        <x:v>46300.908099340275</x:v>
      </x:c>
      <x:c r="R1913" s="0"/>
      <x:c r="S1913" s="0"/>
      <x:c r="T1913" s="0"/>
      <x:c r="U1913" s="0"/>
      <x:c r="V1913" s="0"/>
      <x:c r="W1913" s="0"/>
      <x:c r="X1913" t="str" s="2">
        <x:v>2088410895</x:v>
      </x:c>
      <x:c r="Y1913" t="str" s="2">
        <x:v>mel090170@yahoo.com</x:v>
      </x:c>
      <x:c r="Z1913" s="0"/>
      <x:c r="AA1913" s="0"/>
      <x:c r="AB1913" s="6">
        <x:v>46300.8953340625</x:v>
      </x:c>
      <x:c r="AC1913" t="n" s="2">
        <x:v>40597</x:v>
      </x:c>
      <x:c r="AD1913" s="0"/>
      <x:c r="AE1913" s="0"/>
      <x:c r="AF1913" s="0"/>
      <x:c r="AG1913" s="0"/>
      <x:c r="AH1913" s="0"/>
      <x:c r="AI1913" t="str" s="2">
        <x:v>684</x:v>
      </x:c>
      <x:c r="AJ1913" s="0"/>
      <x:c r="AK1913" s="0"/>
    </x:row>
    <x:row r="1914">
      <x:c r="A1914" t="str" s="2">
        <x:f>=HYPERLINK("https://rsms.futurehomex.com/lead/40598", "Rhonda Ammons")</x:f>
      </x:c>
      <x:c r="B1914" t="n" s="2">
        <x:v>8</x:v>
      </x:c>
      <x:c r="C1914" t="str" s="2">
        <x:v/>
      </x:c>
      <x:c r="D1914" t="str" s="2">
        <x:f>=""</x:f>
      </x:c>
      <x:c r="E1914" s="0"/>
      <x:c r="F1914" t="str" s="2">
        <x:v>Landing_BPM</x:v>
      </x:c>
      <x:c r="G1914" t="str" s="2">
        <x:v>Heritage Housing of Asheboro</x:v>
      </x:c>
      <x:c r="H1914" t="str" s="2">
        <x:v>Maria Lopez</x:v>
      </x:c>
      <x:c r="I1914" s="0"/>
      <x:c r="J1914" s="0"/>
      <x:c r="K1914" t="n" s="2">
        <x:v>21</x:v>
      </x:c>
      <x:c r="L1914" t="str" s="2">
        <x:v>2.1</x:v>
      </x:c>
      <x:c r="M1914" t="str" s="2">
        <x:v>Tentative</x:v>
      </x:c>
      <x:c r="N1914" t="str" s="2">
        <x:v>Qualified</x:v>
      </x:c>
      <x:c r="O1914" s="0"/>
      <x:c r="P1914" s="6">
        <x:v>46300</x:v>
      </x:c>
      <x:c r="Q1914" s="6">
        <x:v>46302.589025891204</x:v>
      </x:c>
      <x:c r="R1914" s="0"/>
      <x:c r="S1914" s="0"/>
      <x:c r="T1914" s="0"/>
      <x:c r="U1914" s="0"/>
      <x:c r="V1914" s="0"/>
      <x:c r="W1914" s="0"/>
      <x:c r="X1914" t="str" s="2">
        <x:v>9104162960</x:v>
      </x:c>
      <x:c r="Y1914" t="str" s="2">
        <x:v>heathens0321@gmail.com</x:v>
      </x:c>
      <x:c r="Z1914" s="6">
        <x:v>46302.58900806713</x:v>
      </x:c>
      <x:c r="AA1914" t="str" s="2">
        <x:v>Jeremy Jacques</x:v>
      </x:c>
      <x:c r="AB1914" s="6">
        <x:v>46301.56871990741</x:v>
      </x:c>
      <x:c r="AC1914" t="n" s="2">
        <x:v>40598</x:v>
      </x:c>
      <x:c r="AD1914" s="0"/>
      <x:c r="AE1914" s="0"/>
      <x:c r="AF1914" s="0"/>
      <x:c r="AG1914" s="0"/>
      <x:c r="AH1914" s="0"/>
      <x:c r="AI1914" s="0"/>
      <x:c r="AJ1914" s="0"/>
      <x:c r="AK1914" s="0"/>
    </x:row>
    <x:row r="1915">
      <x:c r="A1915" t="str" s="2">
        <x:f>=HYPERLINK("https://rsms.futurehomex.com/lead/40599", "Kense Martinez")</x:f>
      </x:c>
      <x:c r="B1915" t="n" s="2">
        <x:v>7</x:v>
      </x:c>
      <x:c r="C1915" t="str" s="2">
        <x:v>0/1</x:v>
      </x:c>
      <x:c r="D1915" t="str" s="2">
        <x:f>=""</x:f>
      </x:c>
      <x:c r="E1915" s="0"/>
      <x:c r="F1915" t="str" s="2">
        <x:v>Landing_BPM</x:v>
      </x:c>
      <x:c r="G1915" t="str" s="2">
        <x:v>Heritage Housing of Oklahoma City</x:v>
      </x:c>
      <x:c r="H1915" t="str" s="2">
        <x:v>Steve Castell</x:v>
      </x:c>
      <x:c r="I1915" s="0"/>
      <x:c r="J1915" t="str" s="2">
        <x:v>Steve Castell</x:v>
      </x:c>
      <x:c r="K1915" t="n" s="2">
        <x:v>5</x:v>
      </x:c>
      <x:c r="L1915" t="str" s="2">
        <x:v>1.1</x:v>
      </x:c>
      <x:c r="M1915" t="str" s="2">
        <x:v>Dead</x:v>
      </x:c>
      <x:c r="N1915" t="str" s="2">
        <x:v>Deal Created</x:v>
      </x:c>
      <x:c r="O1915" s="0"/>
      <x:c r="P1915" s="6">
        <x:v>46301</x:v>
      </x:c>
      <x:c r="Q1915" s="6">
        <x:v>46301.592169131945</x:v>
      </x:c>
      <x:c r="R1915" s="0"/>
      <x:c r="S1915" s="0"/>
      <x:c r="T1915" s="0"/>
      <x:c r="U1915" s="0"/>
      <x:c r="V1915" s="0"/>
      <x:c r="W1915" s="0"/>
      <x:c r="X1915" t="str" s="2">
        <x:v>4056796835</x:v>
      </x:c>
      <x:c r="Y1915" t="str" s="2">
        <x:v>ocampokense@gmail.com</x:v>
      </x:c>
      <x:c r="Z1915" s="6">
        <x:v>46303.93194533565</x:v>
      </x:c>
      <x:c r="AA1915" t="str" s="2">
        <x:v>Steve Castell</x:v>
      </x:c>
      <x:c r="AB1915" s="6">
        <x:v>46301.59217091435</x:v>
      </x:c>
      <x:c r="AC1915" t="n" s="2">
        <x:v>40599</x:v>
      </x:c>
      <x:c r="AD1915" s="0"/>
      <x:c r="AE1915" s="0"/>
      <x:c r="AF1915" s="0"/>
      <x:c r="AG1915" s="0"/>
      <x:c r="AH1915" s="0"/>
      <x:c r="AI1915" s="0"/>
      <x:c r="AJ1915" s="0"/>
      <x:c r="AK1915" s="0"/>
    </x:row>
    <x:row r="1916">
      <x:c r="A1916" t="str" s="2">
        <x:f>=HYPERLINK("https://rsms.futurehomex.com/lead/40600", "John Savchak")</x:f>
      </x:c>
      <x:c r="B1916" t="n" s="2">
        <x:v>7</x:v>
      </x:c>
      <x:c r="C1916" t="str" s="2">
        <x:v/>
      </x:c>
      <x:c r="D1916" t="str" s="2">
        <x:f>=""</x:f>
      </x:c>
      <x:c r="E1916" s="0"/>
      <x:c r="F1916" t="str" s="2">
        <x:v>Walk-in</x:v>
      </x:c>
      <x:c r="G1916" t="str" s="2">
        <x:v>Heritage Housing of Asheboro</x:v>
      </x:c>
      <x:c r="H1916" t="str" s="2">
        <x:v>Maria Lopez</x:v>
      </x:c>
      <x:c r="I1916" s="0"/>
      <x:c r="J1916" s="0"/>
      <x:c r="K1916" t="n" s="2">
        <x:v>21</x:v>
      </x:c>
      <x:c r="L1916" t="str" s="2">
        <x:v>2.1</x:v>
      </x:c>
      <x:c r="M1916" t="str" s="2">
        <x:v>Tentative</x:v>
      </x:c>
      <x:c r="N1916" t="str" s="2">
        <x:v>Qualified</x:v>
      </x:c>
      <x:c r="O1916" s="0"/>
      <x:c r="P1916" s="6">
        <x:v>46301</x:v>
      </x:c>
      <x:c r="Q1916" s="6">
        <x:v>46302.58720540509</x:v>
      </x:c>
      <x:c r="R1916" s="0"/>
      <x:c r="S1916" s="0"/>
      <x:c r="T1916" s="0"/>
      <x:c r="U1916" s="0"/>
      <x:c r="V1916" s="0"/>
      <x:c r="W1916" s="0"/>
      <x:c r="X1916" t="str" s="2">
        <x:v>3362639658</x:v>
      </x:c>
      <x:c r="Y1916" t="str" s="2">
        <x:v>jonhnsavchak@gmail.com</x:v>
      </x:c>
      <x:c r="Z1916" s="6">
        <x:v>46302.58718758102</x:v>
      </x:c>
      <x:c r="AA1916" t="str" s="2">
        <x:v>Jeremy Jacques</x:v>
      </x:c>
      <x:c r="AB1916" s="6">
        <x:v>46301.64452523148</x:v>
      </x:c>
      <x:c r="AC1916" t="n" s="2">
        <x:v>40600</x:v>
      </x:c>
      <x:c r="AD1916" s="0"/>
      <x:c r="AE1916" s="0"/>
      <x:c r="AF1916" s="0"/>
      <x:c r="AG1916" s="0"/>
      <x:c r="AH1916" s="0"/>
      <x:c r="AI1916" s="0"/>
      <x:c r="AJ1916" s="0"/>
      <x:c r="AK1916" s="0"/>
    </x:row>
    <x:row r="1917">
      <x:c r="A1917" t="str" s="2">
        <x:f>=HYPERLINK("https://rsms.futurehomex.com/lead/40601", "Kimberly Styles")</x:f>
      </x:c>
      <x:c r="B1917" t="n" s="2">
        <x:v>7</x:v>
      </x:c>
      <x:c r="C1917" t="str" s="2">
        <x:v/>
      </x:c>
      <x:c r="D1917" t="str" s="2">
        <x:f>=""</x:f>
      </x:c>
      <x:c r="E1917" s="0"/>
      <x:c r="F1917" t="str" s="2">
        <x:v>Other</x:v>
      </x:c>
      <x:c r="G1917" t="str" s="2">
        <x:v>Legacy Housing Corp. DBA Americasa</x:v>
      </x:c>
      <x:c r="H1917" t="str" s="2">
        <x:v>Joey Marquez</x:v>
      </x:c>
      <x:c r="I1917" s="0"/>
      <x:c r="J1917" t="str" s="2">
        <x:v>Joey Marquez</x:v>
      </x:c>
      <x:c r="K1917" t="n" s="2">
        <x:v>5</x:v>
      </x:c>
      <x:c r="L1917" t="str" s="2">
        <x:v>1.1</x:v>
      </x:c>
      <x:c r="M1917" t="str" s="2">
        <x:v>Tentative</x:v>
      </x:c>
      <x:c r="N1917" t="str" s="2">
        <x:v>Deal Created</x:v>
      </x:c>
      <x:c r="O1917" s="0"/>
      <x:c r="P1917" s="6">
        <x:v>46301</x:v>
      </x:c>
      <x:c r="Q1917" s="6">
        <x:v>46301.648744756945</x:v>
      </x:c>
      <x:c r="R1917" s="0"/>
      <x:c r="S1917" s="0"/>
      <x:c r="T1917" s="0"/>
      <x:c r="U1917" s="0"/>
      <x:c r="V1917" s="0"/>
      <x:c r="W1917" s="0"/>
      <x:c r="X1917" t="str" s="2">
        <x:v>8327925093</x:v>
      </x:c>
      <x:c r="Y1917" t="str" s="2">
        <x:v>8327925093</x:v>
      </x:c>
      <x:c r="Z1917" s="0"/>
      <x:c r="AA1917" s="0"/>
      <x:c r="AB1917" s="6">
        <x:v>46301.64874841435</x:v>
      </x:c>
      <x:c r="AC1917" t="n" s="2">
        <x:v>40601</x:v>
      </x:c>
      <x:c r="AD1917" s="0"/>
      <x:c r="AE1917" s="0"/>
      <x:c r="AF1917" s="0"/>
      <x:c r="AG1917" s="0"/>
      <x:c r="AH1917" s="0"/>
      <x:c r="AI1917" s="0"/>
      <x:c r="AJ1917" s="0"/>
      <x:c r="AK1917" s="0"/>
    </x:row>
    <x:row r="1918">
      <x:c r="A1918" t="str" s="2">
        <x:f>=HYPERLINK("https://rsms.futurehomex.com/lead/40602", "Alan Vandiver")</x:f>
      </x:c>
      <x:c r="B1918" t="n" s="2">
        <x:v>7</x:v>
      </x:c>
      <x:c r="C1918" t="str" s="2">
        <x:v/>
      </x:c>
      <x:c r="D1918" t="str" s="2">
        <x:f>=""</x:f>
      </x:c>
      <x:c r="E1918" s="0"/>
      <x:c r="F1918" t="str" s="2">
        <x:v>Walk-in</x:v>
      </x:c>
      <x:c r="G1918" t="str" s="2">
        <x:v>Heritage Housing of Athens</x:v>
      </x:c>
      <x:c r="H1918" t="str" s="2">
        <x:v>Nathan Bishop</x:v>
      </x:c>
      <x:c r="I1918" s="0"/>
      <x:c r="J1918" s="0"/>
      <x:c r="K1918" t="n" s="2">
        <x:v>5</x:v>
      </x:c>
      <x:c r="L1918" t="str" s="2">
        <x:v>1.1</x:v>
      </x:c>
      <x:c r="M1918" t="str" s="2">
        <x:v>Tentative</x:v>
      </x:c>
      <x:c r="N1918" t="str" s="2">
        <x:v>Prospect</x:v>
      </x:c>
      <x:c r="O1918" s="0"/>
      <x:c r="P1918" s="6">
        <x:v>46301</x:v>
      </x:c>
      <x:c r="Q1918" s="6">
        <x:v>46301.68714814815</x:v>
      </x:c>
      <x:c r="R1918" s="0"/>
      <x:c r="S1918" s="6">
        <x:v>46301</x:v>
      </x:c>
      <x:c r="T1918" s="0"/>
      <x:c r="U1918" s="0"/>
      <x:c r="V1918" s="0"/>
      <x:c r="W1918" s="0"/>
      <x:c r="X1918" t="str" s="2">
        <x:v>6784647201</x:v>
      </x:c>
      <x:c r="Y1918" t="str" s="2">
        <x:v>van@gmail.com</x:v>
      </x:c>
      <x:c r="Z1918" s="6">
        <x:v>46301.87743695602</x:v>
      </x:c>
      <x:c r="AA1918" t="str" s="2">
        <x:v>Nathan Bishop</x:v>
      </x:c>
      <x:c r="AB1918" s="6">
        <x:v>46301.68714872685</x:v>
      </x:c>
      <x:c r="AC1918" t="n" s="2">
        <x:v>40602</x:v>
      </x:c>
      <x:c r="AD1918" s="0"/>
      <x:c r="AE1918" s="0"/>
      <x:c r="AF1918" s="0"/>
      <x:c r="AG1918" s="0"/>
      <x:c r="AH1918" s="0"/>
      <x:c r="AI1918" s="0"/>
      <x:c r="AJ1918" s="0"/>
      <x:c r="AK1918" s="0"/>
    </x:row>
    <x:row r="1919">
      <x:c r="A1919" t="str" s="2">
        <x:f>=HYPERLINK("https://rsms.futurehomex.com/lead/40603", "Tory Smith")</x:f>
      </x:c>
      <x:c r="B1919" t="n" s="2">
        <x:v>7</x:v>
      </x:c>
      <x:c r="C1919" t="str" s="2">
        <x:v>1/3</x:v>
      </x:c>
      <x:c r="D1919" t="str" s="2">
        <x:f>=""</x:f>
      </x:c>
      <x:c r="E1919" s="0"/>
      <x:c r="F1919" t="str" s="2">
        <x:v>Financing Form</x:v>
      </x:c>
      <x:c r="G1919" t="str" s="2">
        <x:v>Heritage Housing of Oklahoma City</x:v>
      </x:c>
      <x:c r="H1919" t="str" s="2">
        <x:v>Alejandra Calderon</x:v>
      </x:c>
      <x:c r="I1919" s="0"/>
      <x:c r="J1919" s="0"/>
      <x:c r="K1919" t="n" s="2">
        <x:v>9</x:v>
      </x:c>
      <x:c r="L1919" t="str" s="2">
        <x:v>1.2</x:v>
      </x:c>
      <x:c r="M1919" t="str" s="2">
        <x:v>Active</x:v>
      </x:c>
      <x:c r="N1919" t="str" s="2">
        <x:v>Deal Created</x:v>
      </x:c>
      <x:c r="O1919" s="0"/>
      <x:c r="P1919" s="6">
        <x:v>46301</x:v>
      </x:c>
      <x:c r="Q1919" s="6">
        <x:v>46304.9709840625</x:v>
      </x:c>
      <x:c r="R1919" s="0"/>
      <x:c r="S1919" s="6">
        <x:v>46304</x:v>
      </x:c>
      <x:c r="T1919" s="6">
        <x:v>46304</x:v>
      </x:c>
      <x:c r="U1919" s="0"/>
      <x:c r="V1919" s="0"/>
      <x:c r="W1919" s="0"/>
      <x:c r="X1919" t="str" s="2">
        <x:v>4054006760</x:v>
      </x:c>
      <x:c r="Y1919" t="str" s="2">
        <x:v>smithtory@ymail.com</x:v>
      </x:c>
      <x:c r="Z1919" s="6">
        <x:v>46304.83736631944</x:v>
      </x:c>
      <x:c r="AA1919" t="str" s="2">
        <x:v>Alejandra Calderon</x:v>
      </x:c>
      <x:c r="AB1919" s="6">
        <x:v>46301.70020277778</x:v>
      </x:c>
      <x:c r="AC1919" t="n" s="2">
        <x:v>40603</x:v>
      </x:c>
      <x:c r="AD1919" s="0"/>
      <x:c r="AE1919" s="0"/>
      <x:c r="AF1919" s="0"/>
      <x:c r="AG1919" s="0"/>
      <x:c r="AH1919" s="0"/>
      <x:c r="AI1919" t="str" s="2">
        <x:v>607</x:v>
      </x:c>
      <x:c r="AJ1919" s="0"/>
      <x:c r="AK1919" s="0"/>
    </x:row>
    <x:row r="1920">
      <x:c r="A1920" t="str" s="2">
        <x:f>=HYPERLINK("https://rsms.futurehomex.com/lead/40604", "Virginia Langston")</x:f>
      </x:c>
      <x:c r="B1920" t="n" s="2">
        <x:v>7</x:v>
      </x:c>
      <x:c r="C1920" t="str" s="2">
        <x:v>1/1</x:v>
      </x:c>
      <x:c r="D1920" t="str" s="2">
        <x:f>=""</x:f>
      </x:c>
      <x:c r="E1920" s="0"/>
      <x:c r="F1920" t="str" s="2">
        <x:v>Landing_BPM</x:v>
      </x:c>
      <x:c r="G1920" t="str" s="2">
        <x:v>Heritage Housing of Oklahoma City</x:v>
      </x:c>
      <x:c r="H1920" t="str" s="2">
        <x:v>Alejandra Calderon</x:v>
      </x:c>
      <x:c r="I1920" s="0"/>
      <x:c r="J1920" t="str" s="2">
        <x:v>Alejandra Calderon</x:v>
      </x:c>
      <x:c r="K1920" t="n" s="2">
        <x:v>5</x:v>
      </x:c>
      <x:c r="L1920" t="str" s="2">
        <x:v>1.1</x:v>
      </x:c>
      <x:c r="M1920" t="str" s="2">
        <x:v>Tentative</x:v>
      </x:c>
      <x:c r="N1920" t="str" s="2">
        <x:v>Deal Created</x:v>
      </x:c>
      <x:c r="O1920" s="0"/>
      <x:c r="P1920" s="6">
        <x:v>46301</x:v>
      </x:c>
      <x:c r="Q1920" s="6">
        <x:v>46301.70306736111</x:v>
      </x:c>
      <x:c r="R1920" s="0"/>
      <x:c r="S1920" s="0"/>
      <x:c r="T1920" s="0"/>
      <x:c r="U1920" s="0"/>
      <x:c r="V1920" s="0"/>
      <x:c r="W1920" s="0"/>
      <x:c r="X1920" t="str" s="2">
        <x:v>5722777729</x:v>
      </x:c>
      <x:c r="Y1920" t="str" s="2">
        <x:v>Virginia.thomas1975@gmail.com</x:v>
      </x:c>
      <x:c r="Z1920" s="6">
        <x:v>46301.74403556713</x:v>
      </x:c>
      <x:c r="AA1920" t="str" s="2">
        <x:v>Alejandra Calderon</x:v>
      </x:c>
      <x:c r="AB1920" s="6">
        <x:v>46301.70306778935</x:v>
      </x:c>
      <x:c r="AC1920" t="n" s="2">
        <x:v>40604</x:v>
      </x:c>
      <x:c r="AD1920" s="0"/>
      <x:c r="AE1920" s="0"/>
      <x:c r="AF1920" s="0"/>
      <x:c r="AG1920" s="0"/>
      <x:c r="AH1920" s="0"/>
      <x:c r="AI1920" s="0"/>
      <x:c r="AJ1920" s="0"/>
      <x:c r="AK1920" s="0"/>
    </x:row>
    <x:row r="1921">
      <x:c r="A1921" t="str" s="2">
        <x:f>=HYPERLINK("https://rsms.futurehomex.com/lead/40605", "Rebecca King")</x:f>
      </x:c>
      <x:c r="B1921" t="n" s="2">
        <x:v>7</x:v>
      </x:c>
      <x:c r="C1921" t="str" s="2">
        <x:v>1/2</x:v>
      </x:c>
      <x:c r="D1921" t="str" s="2">
        <x:f>=""</x:f>
      </x:c>
      <x:c r="E1921" s="0"/>
      <x:c r="F1921" t="str" s="2">
        <x:v>Landing_BPM</x:v>
      </x:c>
      <x:c r="G1921" t="str" s="2">
        <x:v>Heritage Housing of Oklahoma City</x:v>
      </x:c>
      <x:c r="H1921" t="str" s="2">
        <x:v>Alejandra Calderon</x:v>
      </x:c>
      <x:c r="I1921" s="0"/>
      <x:c r="J1921" t="str" s="2">
        <x:v>Alejandra Calderon</x:v>
      </x:c>
      <x:c r="K1921" t="n" s="2">
        <x:v>5</x:v>
      </x:c>
      <x:c r="L1921" t="str" s="2">
        <x:v>1.1</x:v>
      </x:c>
      <x:c r="M1921" t="str" s="2">
        <x:v>Tentative</x:v>
      </x:c>
      <x:c r="N1921" t="str" s="2">
        <x:v>Deal Created</x:v>
      </x:c>
      <x:c r="O1921" s="0"/>
      <x:c r="P1921" s="6">
        <x:v>46301</x:v>
      </x:c>
      <x:c r="Q1921" s="6">
        <x:v>46301.89734675926</x:v>
      </x:c>
      <x:c r="R1921" s="0"/>
      <x:c r="S1921" s="0"/>
      <x:c r="T1921" s="0"/>
      <x:c r="U1921" s="0"/>
      <x:c r="V1921" s="0"/>
      <x:c r="W1921" s="0"/>
      <x:c r="X1921" t="str" s="2">
        <x:v>4056415355</x:v>
      </x:c>
      <x:c r="Y1921" t="str" s="2">
        <x:v>beckaloo9910@gmail.com</x:v>
      </x:c>
      <x:c r="Z1921" s="6">
        <x:v>46302.967042592594</x:v>
      </x:c>
      <x:c r="AA1921" t="str" s="2">
        <x:v>Alejandra Calderon</x:v>
      </x:c>
      <x:c r="AB1921" s="6">
        <x:v>46301.703227314814</x:v>
      </x:c>
      <x:c r="AC1921" t="n" s="2">
        <x:v>40605</x:v>
      </x:c>
      <x:c r="AD1921" s="0"/>
      <x:c r="AE1921" s="0"/>
      <x:c r="AF1921" s="0"/>
      <x:c r="AG1921" s="0"/>
      <x:c r="AH1921" s="0"/>
      <x:c r="AI1921" s="0"/>
      <x:c r="AJ1921" s="0"/>
      <x:c r="AK1921" s="0"/>
    </x:row>
    <x:row r="1922">
      <x:c r="A1922" t="str" s="2">
        <x:f>=HYPERLINK("https://rsms.futurehomex.com/lead/40606", "Lauren Sumpter")</x:f>
      </x:c>
      <x:c r="B1922" t="n" s="2">
        <x:v>7</x:v>
      </x:c>
      <x:c r="C1922" t="str" s="2">
        <x:v/>
      </x:c>
      <x:c r="D1922" t="str" s="2">
        <x:f>=""</x:f>
      </x:c>
      <x:c r="E1922" s="0"/>
      <x:c r="F1922" t="str" s="2">
        <x:v>Landing_BPM</x:v>
      </x:c>
      <x:c r="G1922" t="str" s="2">
        <x:v>Heritage Housing of Oklahoma City</x:v>
      </x:c>
      <x:c r="H1922" t="str" s="2">
        <x:v>Alejandra Calderon</x:v>
      </x:c>
      <x:c r="I1922" s="0"/>
      <x:c r="J1922" t="str" s="2">
        <x:v>Alejandra Calderon</x:v>
      </x:c>
      <x:c r="K1922" t="n" s="2">
        <x:v>5</x:v>
      </x:c>
      <x:c r="L1922" t="str" s="2">
        <x:v>1.1</x:v>
      </x:c>
      <x:c r="M1922" t="str" s="2">
        <x:v>Tentative</x:v>
      </x:c>
      <x:c r="N1922" t="str" s="2">
        <x:v>Deal Created</x:v>
      </x:c>
      <x:c r="O1922" s="0"/>
      <x:c r="P1922" s="6">
        <x:v>46301</x:v>
      </x:c>
      <x:c r="Q1922" s="6">
        <x:v>46301.989860497684</x:v>
      </x:c>
      <x:c r="R1922" s="0"/>
      <x:c r="S1922" s="0"/>
      <x:c r="T1922" s="0"/>
      <x:c r="U1922" s="0"/>
      <x:c r="V1922" s="0"/>
      <x:c r="W1922" s="0"/>
      <x:c r="X1922" t="str" s="2">
        <x:v>5806446017</x:v>
      </x:c>
      <x:c r="Y1922" t="str" s="2">
        <x:v>llaurensumpter22@icloud.com</x:v>
      </x:c>
      <x:c r="Z1922" s="6">
        <x:v>46301.9900440162</x:v>
      </x:c>
      <x:c r="AA1922" t="str" s="2">
        <x:v>Alejandra Calderon</x:v>
      </x:c>
      <x:c r="AB1922" s="6">
        <x:v>46301.70431712963</x:v>
      </x:c>
      <x:c r="AC1922" t="n" s="2">
        <x:v>40606</x:v>
      </x:c>
      <x:c r="AD1922" s="0"/>
      <x:c r="AE1922" s="0"/>
      <x:c r="AF1922" s="0"/>
      <x:c r="AG1922" s="0"/>
      <x:c r="AH1922" s="0"/>
      <x:c r="AI1922" s="0"/>
      <x:c r="AJ1922" s="0"/>
      <x:c r="AK1922" s="0"/>
    </x:row>
    <x:row r="1923">
      <x:c r="A1923" t="str" s="2">
        <x:f>=HYPERLINK("https://rsms.futurehomex.com/lead/40607", "Rocky Pershall")</x:f>
      </x:c>
      <x:c r="B1923" t="n" s="2">
        <x:v>7</x:v>
      </x:c>
      <x:c r="C1923" t="str" s="2">
        <x:v/>
      </x:c>
      <x:c r="D1923" t="str" s="2">
        <x:f>=""</x:f>
      </x:c>
      <x:c r="E1923" s="0"/>
      <x:c r="F1923" t="str" s="2">
        <x:v>Website</x:v>
      </x:c>
      <x:c r="G1923" t="str" s="2">
        <x:v>Heritage Housing of Tulsa</x:v>
      </x:c>
      <x:c r="H1923" t="str" s="2">
        <x:v>Jenna Fransisco</x:v>
      </x:c>
      <x:c r="I1923" t="str" s="2">
        <x:v>Karol Romero</x:v>
      </x:c>
      <x:c r="J1923" t="str" s="2">
        <x:v>Jenna Fransisco</x:v>
      </x:c>
      <x:c r="K1923" t="n" s="2">
        <x:v>5</x:v>
      </x:c>
      <x:c r="L1923" t="str" s="2">
        <x:v>1.1</x:v>
      </x:c>
      <x:c r="M1923" t="str" s="2">
        <x:v>Tentative</x:v>
      </x:c>
      <x:c r="N1923" t="str" s="2">
        <x:v>Deal Created</x:v>
      </x:c>
      <x:c r="O1923" s="0"/>
      <x:c r="P1923" s="6">
        <x:v>46301</x:v>
      </x:c>
      <x:c r="Q1923" s="6">
        <x:v>46301.70462881945</x:v>
      </x:c>
      <x:c r="R1923" s="0"/>
      <x:c r="S1923" s="0"/>
      <x:c r="T1923" s="0"/>
      <x:c r="U1923" s="0"/>
      <x:c r="V1923" s="0"/>
      <x:c r="W1923" s="0"/>
      <x:c r="X1923" t="str" s="2">
        <x:v>9186059321</x:v>
      </x:c>
      <x:c r="Y1923" t="str" s="2">
        <x:v>rock.1116@gmail.com</x:v>
      </x:c>
      <x:c r="Z1923" s="0"/>
      <x:c r="AA1923" s="0"/>
      <x:c r="AB1923" s="6">
        <x:v>46301.704630555556</x:v>
      </x:c>
      <x:c r="AC1923" t="n" s="2">
        <x:v>40607</x:v>
      </x:c>
      <x:c r="AD1923" s="0"/>
      <x:c r="AE1923" s="0"/>
      <x:c r="AF1923" s="0"/>
      <x:c r="AG1923" s="0"/>
      <x:c r="AH1923" s="0"/>
      <x:c r="AI1923" s="0"/>
      <x:c r="AJ1923" s="0"/>
      <x:c r="AK1923" s="0"/>
    </x:row>
    <x:row r="1924">
      <x:c r="A1924" t="str" s="2">
        <x:f>=HYPERLINK("https://rsms.futurehomex.com/lead/40609", "Juan Lopez")</x:f>
      </x:c>
      <x:c r="B1924" t="n" s="2">
        <x:v>7</x:v>
      </x:c>
      <x:c r="C1924" t="str" s="2">
        <x:v/>
      </x:c>
      <x:c r="D1924" t="str" s="2">
        <x:f>=""</x:f>
      </x:c>
      <x:c r="E1924" s="0"/>
      <x:c r="F1924" t="str" s="2">
        <x:v>Other</x:v>
      </x:c>
      <x:c r="G1924" t="str" s="2">
        <x:v>Heritage Housing Mt Pleasant</x:v>
      </x:c>
      <x:c r="H1924" t="str" s="2">
        <x:v>Sandra Saldana</x:v>
      </x:c>
      <x:c r="I1924" s="0"/>
      <x:c r="J1924" t="str" s="2">
        <x:v>Sandra Saldana</x:v>
      </x:c>
      <x:c r="K1924" t="n" s="2">
        <x:v>5</x:v>
      </x:c>
      <x:c r="L1924" t="str" s="2">
        <x:v>1.1</x:v>
      </x:c>
      <x:c r="M1924" t="str" s="2">
        <x:v>Tentative</x:v>
      </x:c>
      <x:c r="N1924" t="str" s="2">
        <x:v>Deal Created</x:v>
      </x:c>
      <x:c r="O1924" s="0"/>
      <x:c r="P1924" s="6">
        <x:v>46301</x:v>
      </x:c>
      <x:c r="Q1924" s="6">
        <x:v>46301.74438587963</x:v>
      </x:c>
      <x:c r="R1924" s="0"/>
      <x:c r="S1924" s="0"/>
      <x:c r="T1924" s="0"/>
      <x:c r="U1924" s="0"/>
      <x:c r="V1924" s="0"/>
      <x:c r="W1924" s="0"/>
      <x:c r="X1924" t="str" s="2">
        <x:v>7863178315</x:v>
      </x:c>
      <x:c r="Y1924" t="str" s="2">
        <x:v>pinar34JL@gmail.com</x:v>
      </x:c>
      <x:c r="Z1924" s="6">
        <x:v>46301.83044181713</x:v>
      </x:c>
      <x:c r="AA1924" t="str" s="2">
        <x:v>Sandra Saldana</x:v>
      </x:c>
      <x:c r="AB1924" s="6">
        <x:v>46301.74438769676</x:v>
      </x:c>
      <x:c r="AC1924" t="n" s="2">
        <x:v>40609</x:v>
      </x:c>
      <x:c r="AD1924" s="0"/>
      <x:c r="AE1924" s="0"/>
      <x:c r="AF1924" s="0"/>
      <x:c r="AG1924" s="0"/>
      <x:c r="AH1924" s="0"/>
      <x:c r="AI1924" s="0"/>
      <x:c r="AJ1924" s="0"/>
      <x:c r="AK1924" s="0"/>
    </x:row>
    <x:row r="1925">
      <x:c r="A1925" t="str" s="2">
        <x:f>=HYPERLINK("https://rsms.futurehomex.com/lead/40610", "Elizabeth Truitt")</x:f>
      </x:c>
      <x:c r="B1925" t="n" s="2">
        <x:v>7</x:v>
      </x:c>
      <x:c r="C1925" t="str" s="2">
        <x:v/>
      </x:c>
      <x:c r="D1925" t="str" s="2">
        <x:f>=""</x:f>
      </x:c>
      <x:c r="E1925" s="0"/>
      <x:c r="F1925" t="str" s="2">
        <x:v>Walk-in</x:v>
      </x:c>
      <x:c r="G1925" t="str" s="2">
        <x:v>Heritage Housing of Asheboro</x:v>
      </x:c>
      <x:c r="H1925" t="str" s="2">
        <x:v>Kate Gutierrez</x:v>
      </x:c>
      <x:c r="I1925" s="0"/>
      <x:c r="J1925" s="0"/>
      <x:c r="K1925" t="n" s="2">
        <x:v>21</x:v>
      </x:c>
      <x:c r="L1925" t="str" s="2">
        <x:v>2.1</x:v>
      </x:c>
      <x:c r="M1925" t="str" s="2">
        <x:v>Tentative</x:v>
      </x:c>
      <x:c r="N1925" t="str" s="2">
        <x:v>Qualified</x:v>
      </x:c>
      <x:c r="O1925" s="0"/>
      <x:c r="P1925" s="6">
        <x:v>46301</x:v>
      </x:c>
      <x:c r="Q1925" s="6">
        <x:v>46302.587425543985</x:v>
      </x:c>
      <x:c r="R1925" s="0"/>
      <x:c r="S1925" s="0"/>
      <x:c r="T1925" s="0"/>
      <x:c r="U1925" s="0"/>
      <x:c r="V1925" s="0"/>
      <x:c r="W1925" s="0"/>
      <x:c r="X1925" t="str" s="2">
        <x:v>3364601412</x:v>
      </x:c>
      <x:c r="Y1925" t="str" s="2">
        <x:v>truitt.elizabeth@gmail.com</x:v>
      </x:c>
      <x:c r="Z1925" s="6">
        <x:v>46302.587414155096</x:v>
      </x:c>
      <x:c r="AA1925" t="str" s="2">
        <x:v>Jeremy Jacques</x:v>
      </x:c>
      <x:c r="AB1925" s="6">
        <x:v>46301.75496550926</x:v>
      </x:c>
      <x:c r="AC1925" t="n" s="2">
        <x:v>40610</x:v>
      </x:c>
      <x:c r="AD1925" s="0"/>
      <x:c r="AE1925" s="0"/>
      <x:c r="AF1925" s="0"/>
      <x:c r="AG1925" s="0"/>
      <x:c r="AH1925" s="0"/>
      <x:c r="AI1925" s="0"/>
      <x:c r="AJ1925" s="0"/>
      <x:c r="AK1925" s="0"/>
    </x:row>
    <x:row r="1926">
      <x:c r="A1926" t="str" s="2">
        <x:f>=HYPERLINK("https://rsms.futurehomex.com/lead/40611", "Efren Escamilla haro")</x:f>
      </x:c>
      <x:c r="B1926" t="n" s="2">
        <x:v>7</x:v>
      </x:c>
      <x:c r="C1926" t="str" s="2">
        <x:v/>
      </x:c>
      <x:c r="D1926" t="str" s="2">
        <x:f>=""</x:f>
      </x:c>
      <x:c r="E1926" s="0"/>
      <x:c r="F1926" t="str" s="2">
        <x:v>Walk-in</x:v>
      </x:c>
      <x:c r="G1926" t="str" s="2">
        <x:v>Heritage Housing of Athens</x:v>
      </x:c>
      <x:c r="H1926" t="str" s="2">
        <x:v>Nathan Bishop</x:v>
      </x:c>
      <x:c r="I1926" s="0"/>
      <x:c r="J1926" s="0"/>
      <x:c r="K1926" t="n" s="2">
        <x:v>5</x:v>
      </x:c>
      <x:c r="L1926" t="str" s="2">
        <x:v>1.1</x:v>
      </x:c>
      <x:c r="M1926" t="str" s="2">
        <x:v>Tentative</x:v>
      </x:c>
      <x:c r="N1926" t="str" s="2">
        <x:v>Prospect</x:v>
      </x:c>
      <x:c r="O1926" s="0"/>
      <x:c r="P1926" s="6">
        <x:v>46301</x:v>
      </x:c>
      <x:c r="Q1926" s="6">
        <x:v>46301.763306678244</x:v>
      </x:c>
      <x:c r="R1926" s="0"/>
      <x:c r="S1926" s="6">
        <x:v>46301</x:v>
      </x:c>
      <x:c r="T1926" s="0"/>
      <x:c r="U1926" s="0"/>
      <x:c r="V1926" s="0"/>
      <x:c r="W1926" s="0"/>
      <x:c r="X1926" t="str" s="2">
        <x:v>6785201050</x:v>
      </x:c>
      <x:c r="Y1926" t="str" s="2">
        <x:v>davila.marisol93@gmail.com</x:v>
      </x:c>
      <x:c r="Z1926" s="6">
        <x:v>46301.876363854164</x:v>
      </x:c>
      <x:c r="AA1926" t="str" s="2">
        <x:v>Nathan Bishop</x:v>
      </x:c>
      <x:c r="AB1926" s="6">
        <x:v>46301.763307291665</x:v>
      </x:c>
      <x:c r="AC1926" t="n" s="2">
        <x:v>40611</x:v>
      </x:c>
      <x:c r="AD1926" s="0"/>
      <x:c r="AE1926" s="0"/>
      <x:c r="AF1926" s="0"/>
      <x:c r="AG1926" s="0"/>
      <x:c r="AH1926" s="0"/>
      <x:c r="AI1926" s="0"/>
      <x:c r="AJ1926" s="0"/>
      <x:c r="AK1926" s="0"/>
    </x:row>
    <x:row r="1927">
      <x:c r="A1927" t="str" s="2">
        <x:f>=HYPERLINK("https://rsms.futurehomex.com/lead/40612", "Troy Safford")</x:f>
      </x:c>
      <x:c r="B1927" t="n" s="2">
        <x:v>7</x:v>
      </x:c>
      <x:c r="C1927" t="str" s="2">
        <x:v/>
      </x:c>
      <x:c r="D1927" t="str" s="2">
        <x:f>=""</x:f>
      </x:c>
      <x:c r="E1927" s="0"/>
      <x:c r="F1927" t="str" s="2">
        <x:v>Walk-in</x:v>
      </x:c>
      <x:c r="G1927" t="str" s="2">
        <x:v>Heritage Housing of Augusta</x:v>
      </x:c>
      <x:c r="H1927" t="str" s="2">
        <x:v>Jennifer Johnson</x:v>
      </x:c>
      <x:c r="I1927" s="0"/>
      <x:c r="J1927" s="0"/>
      <x:c r="K1927" t="n" s="2">
        <x:v>5</x:v>
      </x:c>
      <x:c r="L1927" t="str" s="2">
        <x:v>1.1</x:v>
      </x:c>
      <x:c r="M1927" t="str" s="2">
        <x:v>Dead</x:v>
      </x:c>
      <x:c r="N1927" t="str" s="2">
        <x:v>Prospect</x:v>
      </x:c>
      <x:c r="O1927" s="0"/>
      <x:c r="P1927" s="6">
        <x:v>46301</x:v>
      </x:c>
      <x:c r="Q1927" s="6">
        <x:v>46301.788174270834</x:v>
      </x:c>
      <x:c r="R1927" s="0"/>
      <x:c r="S1927" s="0"/>
      <x:c r="T1927" s="0"/>
      <x:c r="U1927" s="0"/>
      <x:c r="V1927" s="0"/>
      <x:c r="W1927" s="0"/>
      <x:c r="X1927" t="str" s="2">
        <x:v>4045453648</x:v>
      </x:c>
      <x:c r="Y1927" t="str" s="2">
        <x:v>troysafford@gmail.com</x:v>
      </x:c>
      <x:c r="Z1927" s="0"/>
      <x:c r="AA1927" s="0"/>
      <x:c r="AB1927" s="6">
        <x:v>46301.78817465278</x:v>
      </x:c>
      <x:c r="AC1927" t="n" s="2">
        <x:v>40612</x:v>
      </x:c>
      <x:c r="AD1927" s="0"/>
      <x:c r="AE1927" s="0"/>
      <x:c r="AF1927" s="0"/>
      <x:c r="AG1927" s="0"/>
      <x:c r="AH1927" s="0"/>
      <x:c r="AI1927" s="0"/>
      <x:c r="AJ1927" s="0"/>
      <x:c r="AK1927" s="0"/>
    </x:row>
    <x:row r="1928">
      <x:c r="A1928" t="str" s="2">
        <x:f>=HYPERLINK("https://rsms.futurehomex.com/lead/40613", "Samuel Thornton")</x:f>
      </x:c>
      <x:c r="B1928" t="n" s="2">
        <x:v>7</x:v>
      </x:c>
      <x:c r="C1928" t="str" s="2">
        <x:v/>
      </x:c>
      <x:c r="D1928" t="str" s="2">
        <x:f>=""</x:f>
      </x:c>
      <x:c r="E1928" s="0"/>
      <x:c r="F1928" t="str" s="2">
        <x:v>Walk-in</x:v>
      </x:c>
      <x:c r="G1928" t="str" s="2">
        <x:v>Heritage Housing of Tulsa</x:v>
      </x:c>
      <x:c r="H1928" t="str" s="2">
        <x:v>Jenna Fransisco</x:v>
      </x:c>
      <x:c r="I1928" t="str" s="2">
        <x:v>Karol Romero</x:v>
      </x:c>
      <x:c r="J1928" t="str" s="2">
        <x:v>Jenna Fransisco</x:v>
      </x:c>
      <x:c r="K1928" t="n" s="2">
        <x:v>38</x:v>
      </x:c>
      <x:c r="L1928" t="str" s="2">
        <x:v>3.2</x:v>
      </x:c>
      <x:c r="M1928" t="str" s="2">
        <x:v>Active</x:v>
      </x:c>
      <x:c r="N1928" t="str" s="2">
        <x:v>Application</x:v>
      </x:c>
      <x:c r="O1928" s="0"/>
      <x:c r="P1928" s="6">
        <x:v>46301</x:v>
      </x:c>
      <x:c r="Q1928" s="6">
        <x:v>46307.70409262731</x:v>
      </x:c>
      <x:c r="R1928" s="0"/>
      <x:c r="S1928" s="6">
        <x:v>46301</x:v>
      </x:c>
      <x:c r="T1928" s="6">
        <x:v>46301</x:v>
      </x:c>
      <x:c r="U1928" s="0"/>
      <x:c r="V1928" s="0"/>
      <x:c r="W1928" s="0"/>
      <x:c r="X1928" t="str" s="2">
        <x:v>9182049031</x:v>
      </x:c>
      <x:c r="Y1928" t="str" s="2">
        <x:v>samuel.thorton35@outlook.com</x:v>
      </x:c>
      <x:c r="Z1928" s="6">
        <x:v>46307.704434224535</x:v>
      </x:c>
      <x:c r="AA1928" t="str" s="2">
        <x:v>Jenna Fransisco</x:v>
      </x:c>
      <x:c r="AB1928" s="6">
        <x:v>46301.81608480324</x:v>
      </x:c>
      <x:c r="AC1928" t="n" s="2">
        <x:v>40613</x:v>
      </x:c>
      <x:c r="AD1928" t="str" s="2">
        <x:v>Singlewide</x:v>
      </x:c>
      <x:c r="AE1928" s="0"/>
      <x:c r="AF1928" s="0"/>
      <x:c r="AG1928" s="0"/>
      <x:c r="AH1928" s="0"/>
      <x:c r="AI1928" s="0"/>
      <x:c r="AJ1928" s="0"/>
      <x:c r="AK1928" s="0"/>
    </x:row>
    <x:row r="1929">
      <x:c r="A1929" t="str" s="2">
        <x:f>=HYPERLINK("https://rsms.futurehomex.com/lead/40614", "Adela Guzman")</x:f>
      </x:c>
      <x:c r="B1929" t="n" s="2">
        <x:v>7</x:v>
      </x:c>
      <x:c r="C1929" t="str" s="2">
        <x:v/>
      </x:c>
      <x:c r="D1929" t="str" s="2">
        <x:f>=""</x:f>
      </x:c>
      <x:c r="E1929" s="0"/>
      <x:c r="F1929" t="str" s="2">
        <x:v>Other</x:v>
      </x:c>
      <x:c r="G1929" t="str" s="2">
        <x:v>Legacy Housing Corp. DBA Americasa</x:v>
      </x:c>
      <x:c r="H1929" t="str" s="2">
        <x:v>Joey Marquez</x:v>
      </x:c>
      <x:c r="I1929" s="0"/>
      <x:c r="J1929" t="str" s="2">
        <x:v>Joey Marquez</x:v>
      </x:c>
      <x:c r="K1929" t="n" s="2">
        <x:v>5</x:v>
      </x:c>
      <x:c r="L1929" t="str" s="2">
        <x:v>1.1</x:v>
      </x:c>
      <x:c r="M1929" t="str" s="2">
        <x:v>Tentative</x:v>
      </x:c>
      <x:c r="N1929" t="str" s="2">
        <x:v>Deal Created</x:v>
      </x:c>
      <x:c r="O1929" s="0"/>
      <x:c r="P1929" s="6">
        <x:v>46301</x:v>
      </x:c>
      <x:c r="Q1929" s="6">
        <x:v>46301.816541168984</x:v>
      </x:c>
      <x:c r="R1929" s="0"/>
      <x:c r="S1929" s="0"/>
      <x:c r="T1929" s="0"/>
      <x:c r="U1929" s="0"/>
      <x:c r="V1929" s="0"/>
      <x:c r="W1929" s="0"/>
      <x:c r="X1929" t="str" s="2">
        <x:v>8323297606</x:v>
      </x:c>
      <x:c r="Y1929" t="str" s="2">
        <x:v>8323297606</x:v>
      </x:c>
      <x:c r="Z1929" s="6">
        <x:v>46301.840954513886</x:v>
      </x:c>
      <x:c r="AA1929" t="str" s="2">
        <x:v>Joey Marquez</x:v>
      </x:c>
      <x:c r="AB1929" s="6">
        <x:v>46301.81654244213</x:v>
      </x:c>
      <x:c r="AC1929" t="n" s="2">
        <x:v>40614</x:v>
      </x:c>
      <x:c r="AD1929" s="0"/>
      <x:c r="AE1929" s="0"/>
      <x:c r="AF1929" s="0"/>
      <x:c r="AG1929" s="0"/>
      <x:c r="AH1929" s="0"/>
      <x:c r="AI1929" s="0"/>
      <x:c r="AJ1929" s="0"/>
      <x:c r="AK1929" s="0"/>
    </x:row>
    <x:row r="1930">
      <x:c r="A1930" t="str" s="2">
        <x:f>=HYPERLINK("https://rsms.futurehomex.com/lead/40615", "Larry Raynor")</x:f>
      </x:c>
      <x:c r="B1930" t="n" s="2">
        <x:v>7</x:v>
      </x:c>
      <x:c r="C1930" t="str" s="2">
        <x:v/>
      </x:c>
      <x:c r="D1930" t="str" s="2">
        <x:f>=""</x:f>
      </x:c>
      <x:c r="E1930" s="0"/>
      <x:c r="F1930" t="str" s="2">
        <x:v>Google Ads</x:v>
      </x:c>
      <x:c r="G1930" t="str" s="2">
        <x:v>Heritage Housing of Asheboro</x:v>
      </x:c>
      <x:c r="H1930" t="str" s="2">
        <x:v>Kate Gutierrez</x:v>
      </x:c>
      <x:c r="I1930" s="0"/>
      <x:c r="J1930" t="str" s="2">
        <x:v>Kate Gutierrez</x:v>
      </x:c>
      <x:c r="K1930" t="n" s="2">
        <x:v>21</x:v>
      </x:c>
      <x:c r="L1930" t="str" s="2">
        <x:v>2.1</x:v>
      </x:c>
      <x:c r="M1930" t="str" s="2">
        <x:v>Tentative</x:v>
      </x:c>
      <x:c r="N1930" t="str" s="2">
        <x:v>Qualified</x:v>
      </x:c>
      <x:c r="O1930" s="0"/>
      <x:c r="P1930" s="6">
        <x:v>46301</x:v>
      </x:c>
      <x:c r="Q1930" s="6">
        <x:v>46301.82504525463</x:v>
      </x:c>
      <x:c r="R1930" s="0"/>
      <x:c r="S1930" s="0"/>
      <x:c r="T1930" s="0"/>
      <x:c r="U1930" s="0"/>
      <x:c r="V1930" s="0"/>
      <x:c r="W1930" s="0"/>
      <x:c r="X1930" t="str" s="2">
        <x:v>9196283577</x:v>
      </x:c>
      <x:c r="Y1930" t="str" s="2">
        <x:v>9196283577</x:v>
      </x:c>
      <x:c r="Z1930" s="6">
        <x:v>46303.554357789355</x:v>
      </x:c>
      <x:c r="AA1930" t="str" s="2">
        <x:v>Jeremy Jacques</x:v>
      </x:c>
      <x:c r="AB1930" s="6">
        <x:v>46301.825046412036</x:v>
      </x:c>
      <x:c r="AC1930" t="n" s="2">
        <x:v>40615</x:v>
      </x:c>
      <x:c r="AD1930" s="0"/>
      <x:c r="AE1930" s="0"/>
      <x:c r="AF1930" s="0"/>
      <x:c r="AG1930" s="0"/>
      <x:c r="AH1930" s="0"/>
      <x:c r="AI1930" s="0"/>
      <x:c r="AJ1930" s="0"/>
      <x:c r="AK1930" s="0"/>
    </x:row>
    <x:row r="1931">
      <x:c r="A1931" t="str" s="2">
        <x:f>=HYPERLINK("https://rsms.futurehomex.com/lead/40616", "Mike &amp; Amber Smith")</x:f>
      </x:c>
      <x:c r="B1931" t="n" s="2">
        <x:v>7</x:v>
      </x:c>
      <x:c r="C1931" t="str" s="2">
        <x:v>1/1</x:v>
      </x:c>
      <x:c r="D1931" t="str" s="2">
        <x:f>=""</x:f>
      </x:c>
      <x:c r="E1931" s="0"/>
      <x:c r="F1931" t="str" s="2">
        <x:v>Facebook Messenger</x:v>
      </x:c>
      <x:c r="G1931" t="str" s="2">
        <x:v>Heritage Housing of Oklahoma City</x:v>
      </x:c>
      <x:c r="H1931" t="str" s="2">
        <x:v>Steve Castell</x:v>
      </x:c>
      <x:c r="I1931" s="0"/>
      <x:c r="J1931" t="str" s="2">
        <x:v>Steve Castell</x:v>
      </x:c>
      <x:c r="K1931" t="n" s="2">
        <x:v>5</x:v>
      </x:c>
      <x:c r="L1931" t="str" s="2">
        <x:v>1.1</x:v>
      </x:c>
      <x:c r="M1931" t="str" s="2">
        <x:v>Tentative</x:v>
      </x:c>
      <x:c r="N1931" t="str" s="2">
        <x:v>Deal Created</x:v>
      </x:c>
      <x:c r="O1931" s="0"/>
      <x:c r="P1931" s="6">
        <x:v>46301</x:v>
      </x:c>
      <x:c r="Q1931" s="6">
        <x:v>46301.83922033565</x:v>
      </x:c>
      <x:c r="R1931" s="0"/>
      <x:c r="S1931" s="6">
        <x:v>46301</x:v>
      </x:c>
      <x:c r="T1931" s="0"/>
      <x:c r="U1931" s="0"/>
      <x:c r="V1931" s="0"/>
      <x:c r="W1931" s="0"/>
      <x:c r="X1931" t="str" s="2">
        <x:v>5722701130</x:v>
      </x:c>
      <x:c r="Y1931" t="str" s="2">
        <x:v>amberdeansmith77@gmail.com</x:v>
      </x:c>
      <x:c r="Z1931" s="6">
        <x:v>46301.85303769676</x:v>
      </x:c>
      <x:c r="AA1931" t="str" s="2">
        <x:v>Steve Castell</x:v>
      </x:c>
      <x:c r="AB1931" s="6">
        <x:v>46301.83922167824</x:v>
      </x:c>
      <x:c r="AC1931" t="n" s="2">
        <x:v>40616</x:v>
      </x:c>
      <x:c r="AD1931" s="0"/>
      <x:c r="AE1931" s="0"/>
      <x:c r="AF1931" s="0"/>
      <x:c r="AG1931" s="0"/>
      <x:c r="AH1931" s="0"/>
      <x:c r="AI1931" s="0"/>
      <x:c r="AJ1931" s="0"/>
      <x:c r="AK1931" s="0"/>
    </x:row>
    <x:row r="1932">
      <x:c r="A1932" t="str" s="2">
        <x:f>=HYPERLINK("https://rsms.futurehomex.com/lead/40617", "Ranger Rick")</x:f>
      </x:c>
      <x:c r="B1932" t="n" s="2">
        <x:v>7</x:v>
      </x:c>
      <x:c r="C1932" t="str" s="2">
        <x:v>1/2</x:v>
      </x:c>
      <x:c r="D1932" t="str" s="2">
        <x:f>=""</x:f>
      </x:c>
      <x:c r="E1932" s="0"/>
      <x:c r="F1932" t="str" s="2">
        <x:v>Walk-in</x:v>
      </x:c>
      <x:c r="G1932" t="str" s="2">
        <x:v>Heritage Housing of Oklahoma City</x:v>
      </x:c>
      <x:c r="H1932" t="str" s="2">
        <x:v>Devon McCoy</x:v>
      </x:c>
      <x:c r="I1932" s="0"/>
      <x:c r="J1932" t="str" s="2">
        <x:v>Devon McCoy</x:v>
      </x:c>
      <x:c r="K1932" t="n" s="2">
        <x:v>5</x:v>
      </x:c>
      <x:c r="L1932" t="str" s="2">
        <x:v>1.1</x:v>
      </x:c>
      <x:c r="M1932" t="str" s="2">
        <x:v>Tentative</x:v>
      </x:c>
      <x:c r="N1932" t="str" s="2">
        <x:v>Deal Created</x:v>
      </x:c>
      <x:c r="O1932" s="0"/>
      <x:c r="P1932" s="6">
        <x:v>46301</x:v>
      </x:c>
      <x:c r="Q1932" s="6">
        <x:v>46301.886365162034</x:v>
      </x:c>
      <x:c r="R1932" s="0"/>
      <x:c r="S1932" s="0"/>
      <x:c r="T1932" s="0"/>
      <x:c r="U1932" s="0"/>
      <x:c r="V1932" s="0"/>
      <x:c r="W1932" s="0"/>
      <x:c r="X1932" t="str" s="2">
        <x:v>4055503036</x:v>
      </x:c>
      <x:c r="Y1932" t="str" s="2">
        <x:v>4055410527</x:v>
      </x:c>
      <x:c r="Z1932" s="6">
        <x:v>46305.61639163194</x:v>
      </x:c>
      <x:c r="AA1932" t="str" s="2">
        <x:v>Devon McCoy</x:v>
      </x:c>
      <x:c r="AB1932" s="6">
        <x:v>46301.88638920139</x:v>
      </x:c>
      <x:c r="AC1932" t="n" s="2">
        <x:v>40617</x:v>
      </x:c>
      <x:c r="AD1932" s="0"/>
      <x:c r="AE1932" s="0"/>
      <x:c r="AF1932" s="0"/>
      <x:c r="AG1932" s="0"/>
      <x:c r="AH1932" s="0"/>
      <x:c r="AI1932" s="0"/>
      <x:c r="AJ1932" s="0"/>
      <x:c r="AK1932" s="0"/>
    </x:row>
    <x:row r="1933">
      <x:c r="A1933" t="str" s="2">
        <x:f>=HYPERLINK("https://rsms.futurehomex.com/lead/40618", "Debbie Foran")</x:f>
      </x:c>
      <x:c r="B1933" t="n" s="2">
        <x:v>7</x:v>
      </x:c>
      <x:c r="C1933" t="str" s="2">
        <x:v>1/2</x:v>
      </x:c>
      <x:c r="D1933" t="str" s="2">
        <x:f>=""</x:f>
      </x:c>
      <x:c r="E1933" s="0"/>
      <x:c r="F1933" t="str" s="2">
        <x:v>Walk-in</x:v>
      </x:c>
      <x:c r="G1933" t="str" s="2">
        <x:v>Heritage Housing of Oklahoma City</x:v>
      </x:c>
      <x:c r="H1933" t="str" s="2">
        <x:v>Steve Castell</x:v>
      </x:c>
      <x:c r="I1933" s="0"/>
      <x:c r="J1933" s="0"/>
      <x:c r="K1933" t="n" s="2">
        <x:v>5</x:v>
      </x:c>
      <x:c r="L1933" t="str" s="2">
        <x:v>1.1</x:v>
      </x:c>
      <x:c r="M1933" t="str" s="2">
        <x:v>Tentative</x:v>
      </x:c>
      <x:c r="N1933" t="str" s="2">
        <x:v>Prospect</x:v>
      </x:c>
      <x:c r="O1933" s="0"/>
      <x:c r="P1933" s="6">
        <x:v>46301</x:v>
      </x:c>
      <x:c r="Q1933" s="6">
        <x:v>46301.90767346065</x:v>
      </x:c>
      <x:c r="R1933" s="0"/>
      <x:c r="S1933" s="0"/>
      <x:c r="T1933" s="0"/>
      <x:c r="U1933" s="0"/>
      <x:c r="V1933" s="0"/>
      <x:c r="W1933" s="0"/>
      <x:c r="X1933" t="str" s="2">
        <x:v>4057122113</x:v>
      </x:c>
      <x:c r="Y1933" t="str" s="2">
        <x:v>debbie.foran@yahoo.com</x:v>
      </x:c>
      <x:c r="Z1933" s="6">
        <x:v>46303.96368576389</x:v>
      </x:c>
      <x:c r="AA1933" t="str" s="2">
        <x:v>Steve Castell</x:v>
      </x:c>
      <x:c r="AB1933" s="6">
        <x:v>46301.90767422454</x:v>
      </x:c>
      <x:c r="AC1933" t="n" s="2">
        <x:v>40618</x:v>
      </x:c>
      <x:c r="AD1933" s="0"/>
      <x:c r="AE1933" s="0"/>
      <x:c r="AF1933" s="0"/>
      <x:c r="AG1933" s="0"/>
      <x:c r="AH1933" s="0"/>
      <x:c r="AI1933" s="0"/>
      <x:c r="AJ1933" s="0"/>
      <x:c r="AK1933" s="0"/>
    </x:row>
    <x:row r="1934">
      <x:c r="A1934" t="str" s="2">
        <x:f>=HYPERLINK("https://rsms.futurehomex.com/lead/40619", "George Wagner")</x:f>
      </x:c>
      <x:c r="B1934" t="n" s="2">
        <x:v>7</x:v>
      </x:c>
      <x:c r="C1934" t="str" s="2">
        <x:v>1/1</x:v>
      </x:c>
      <x:c r="D1934" t="str" s="2">
        <x:f>=""</x:f>
      </x:c>
      <x:c r="E1934" s="0"/>
      <x:c r="F1934" t="str" s="2">
        <x:v>Walk-in</x:v>
      </x:c>
      <x:c r="G1934" t="str" s="2">
        <x:v>Heritage Housing of Oklahoma City</x:v>
      </x:c>
      <x:c r="H1934" t="str" s="2">
        <x:v>Alejandra Calderon</x:v>
      </x:c>
      <x:c r="I1934" t="str" s="2">
        <x:v>Karol Romero</x:v>
      </x:c>
      <x:c r="J1934" t="str" s="2">
        <x:v>Alejandra Calderon</x:v>
      </x:c>
      <x:c r="K1934" t="n" s="2">
        <x:v>5</x:v>
      </x:c>
      <x:c r="L1934" t="str" s="2">
        <x:v>1.1</x:v>
      </x:c>
      <x:c r="M1934" t="str" s="2">
        <x:v>Tentative</x:v>
      </x:c>
      <x:c r="N1934" t="str" s="2">
        <x:v>Deal Created</x:v>
      </x:c>
      <x:c r="O1934" s="0"/>
      <x:c r="P1934" s="6">
        <x:v>46301</x:v>
      </x:c>
      <x:c r="Q1934" s="6">
        <x:v>46302.85994603009</x:v>
      </x:c>
      <x:c r="R1934" s="0"/>
      <x:c r="S1934" s="0"/>
      <x:c r="T1934" s="0"/>
      <x:c r="U1934" s="0"/>
      <x:c r="V1934" s="0"/>
      <x:c r="W1934" s="0"/>
      <x:c r="X1934" t="str" s="2">
        <x:v>4055008623</x:v>
      </x:c>
      <x:c r="Y1934" t="str" s="2">
        <x:v>gmwagner91@gmail.com</x:v>
      </x:c>
      <x:c r="Z1934" s="6">
        <x:v>46302.862363078704</x:v>
      </x:c>
      <x:c r="AA1934" t="str" s="2">
        <x:v>Richard Bell</x:v>
      </x:c>
      <x:c r="AB1934" s="6">
        <x:v>46301.91165987268</x:v>
      </x:c>
      <x:c r="AC1934" t="n" s="2">
        <x:v>40619</x:v>
      </x:c>
      <x:c r="AD1934" s="0"/>
      <x:c r="AE1934" s="0"/>
      <x:c r="AF1934" s="0"/>
      <x:c r="AG1934" s="0"/>
      <x:c r="AH1934" s="0"/>
      <x:c r="AI1934" t="str" s="2">
        <x:v>523</x:v>
      </x:c>
      <x:c r="AJ1934" s="0"/>
      <x:c r="AK1934" s="0"/>
    </x:row>
    <x:row r="1935">
      <x:c r="A1935" t="str" s="2">
        <x:f>=HYPERLINK("https://rsms.futurehomex.com/lead/40620", "Amy Leach")</x:f>
      </x:c>
      <x:c r="B1935" t="n" s="2">
        <x:v>7</x:v>
      </x:c>
      <x:c r="C1935" t="str" s="2">
        <x:v/>
      </x:c>
      <x:c r="D1935" t="str" s="2">
        <x:f>=""</x:f>
      </x:c>
      <x:c r="E1935" s="0"/>
      <x:c r="F1935" t="str" s="2">
        <x:v>Financing Form</x:v>
      </x:c>
      <x:c r="G1935" t="str" s="2">
        <x:v>Heritage Housing of Athens</x:v>
      </x:c>
      <x:c r="H1935" t="str" s="2">
        <x:v>Ethan Fossett</x:v>
      </x:c>
      <x:c r="I1935" s="0"/>
      <x:c r="J1935" t="str" s="2">
        <x:v>Ethan Fossett</x:v>
      </x:c>
      <x:c r="K1935" t="n" s="2">
        <x:v>5</x:v>
      </x:c>
      <x:c r="L1935" t="str" s="2">
        <x:v>1.1</x:v>
      </x:c>
      <x:c r="M1935" t="str" s="2">
        <x:v>Tentative</x:v>
      </x:c>
      <x:c r="N1935" t="str" s="2">
        <x:v>Prospect</x:v>
      </x:c>
      <x:c r="O1935" s="0"/>
      <x:c r="P1935" s="6">
        <x:v>46301</x:v>
      </x:c>
      <x:c r="Q1935" s="6">
        <x:v>46301.915210416664</x:v>
      </x:c>
      <x:c r="R1935" s="0"/>
      <x:c r="S1935" s="0"/>
      <x:c r="T1935" s="0"/>
      <x:c r="U1935" s="0"/>
      <x:c r="V1935" s="0"/>
      <x:c r="W1935" s="0"/>
      <x:c r="X1935" t="str" s="2">
        <x:v>7068163366</x:v>
      </x:c>
      <x:c r="Y1935" t="str" s="2">
        <x:v>apleach71@gmail.com</x:v>
      </x:c>
      <x:c r="Z1935" s="0"/>
      <x:c r="AA1935" s="0"/>
      <x:c r="AB1935" s="6">
        <x:v>46301.915210879626</x:v>
      </x:c>
      <x:c r="AC1935" t="n" s="2">
        <x:v>40620</x:v>
      </x:c>
      <x:c r="AD1935" s="0"/>
      <x:c r="AE1935" s="0"/>
      <x:c r="AF1935" s="0"/>
      <x:c r="AG1935" s="0"/>
      <x:c r="AH1935" s="0"/>
      <x:c r="AI1935" s="0"/>
      <x:c r="AJ1935" s="0"/>
      <x:c r="AK1935" s="0"/>
    </x:row>
    <x:row r="1936">
      <x:c r="A1936" t="str" s="2">
        <x:f>=HYPERLINK("https://rsms.futurehomex.com/lead/40621", "janet cruz")</x:f>
      </x:c>
      <x:c r="B1936" t="n" s="2">
        <x:v>7</x:v>
      </x:c>
      <x:c r="C1936" t="str" s="2">
        <x:v>1/2</x:v>
      </x:c>
      <x:c r="D1936" t="str" s="2">
        <x:f>=""</x:f>
      </x:c>
      <x:c r="E1936" s="0"/>
      <x:c r="F1936" t="str" s="2">
        <x:v>Landing_BPM</x:v>
      </x:c>
      <x:c r="G1936" t="str" s="2">
        <x:v>Heritage Housing of Oklahoma City</x:v>
      </x:c>
      <x:c r="H1936" t="str" s="2">
        <x:v>Steve Castell</x:v>
      </x:c>
      <x:c r="I1936" s="0"/>
      <x:c r="J1936" t="str" s="2">
        <x:v>Steve Castell</x:v>
      </x:c>
      <x:c r="K1936" t="n" s="2">
        <x:v>5</x:v>
      </x:c>
      <x:c r="L1936" t="str" s="2">
        <x:v>1.1</x:v>
      </x:c>
      <x:c r="M1936" t="str" s="2">
        <x:v>Tentative</x:v>
      </x:c>
      <x:c r="N1936" t="str" s="2">
        <x:v>Deal Created</x:v>
      </x:c>
      <x:c r="O1936" s="0"/>
      <x:c r="P1936" s="6">
        <x:v>46301</x:v>
      </x:c>
      <x:c r="Q1936" s="6">
        <x:v>46301.94517769676</x:v>
      </x:c>
      <x:c r="R1936" s="0"/>
      <x:c r="S1936" s="0"/>
      <x:c r="T1936" s="0"/>
      <x:c r="U1936" s="0"/>
      <x:c r="V1936" s="0"/>
      <x:c r="W1936" s="0"/>
      <x:c r="X1936" t="str" s="2">
        <x:v>6575360388</x:v>
      </x:c>
      <x:c r="Y1936" t="str" s="2">
        <x:v>cruz.janet0@gmail.com</x:v>
      </x:c>
      <x:c r="Z1936" s="6">
        <x:v>46304.969499039355</x:v>
      </x:c>
      <x:c r="AA1936" t="str" s="2">
        <x:v>Steve Castell</x:v>
      </x:c>
      <x:c r="AB1936" s="6">
        <x:v>46301.945178125</x:v>
      </x:c>
      <x:c r="AC1936" t="n" s="2">
        <x:v>40621</x:v>
      </x:c>
      <x:c r="AD1936" s="0"/>
      <x:c r="AE1936" s="0"/>
      <x:c r="AF1936" s="0"/>
      <x:c r="AG1936" s="0"/>
      <x:c r="AH1936" s="0"/>
      <x:c r="AI1936" s="0"/>
      <x:c r="AJ1936" s="0"/>
      <x:c r="AK1936" s="0"/>
    </x:row>
    <x:row r="1937">
      <x:c r="A1937" t="str" s="2">
        <x:f>=HYPERLINK("https://rsms.futurehomex.com/lead/40622", "Mary Dewitt")</x:f>
      </x:c>
      <x:c r="B1937" t="n" s="2">
        <x:v>7</x:v>
      </x:c>
      <x:c r="C1937" t="str" s="2">
        <x:v/>
      </x:c>
      <x:c r="D1937" t="str" s="2">
        <x:f>=""</x:f>
      </x:c>
      <x:c r="E1937" s="0"/>
      <x:c r="F1937" t="str" s="2">
        <x:v>Meta Ads - Forms</x:v>
      </x:c>
      <x:c r="G1937" t="str" s="2">
        <x:v>Heritage Housing of Oklahoma City</x:v>
      </x:c>
      <x:c r="H1937" t="str" s="2">
        <x:v>Steve Castell</x:v>
      </x:c>
      <x:c r="I1937" s="0"/>
      <x:c r="J1937" t="str" s="2">
        <x:v>Steve Castell</x:v>
      </x:c>
      <x:c r="K1937" t="n" s="2">
        <x:v>5</x:v>
      </x:c>
      <x:c r="L1937" t="str" s="2">
        <x:v>1.1</x:v>
      </x:c>
      <x:c r="M1937" t="str" s="2">
        <x:v>Inactive</x:v>
      </x:c>
      <x:c r="N1937" t="str" s="2">
        <x:v>Deal Created</x:v>
      </x:c>
      <x:c r="O1937" s="0"/>
      <x:c r="P1937" s="6">
        <x:v>46301</x:v>
      </x:c>
      <x:c r="Q1937" s="6">
        <x:v>46301.958147881945</x:v>
      </x:c>
      <x:c r="R1937" s="0"/>
      <x:c r="S1937" s="0"/>
      <x:c r="T1937" s="0"/>
      <x:c r="U1937" s="0"/>
      <x:c r="V1937" s="0"/>
      <x:c r="W1937" s="0"/>
      <x:c r="X1937" t="str" s="2">
        <x:v>5802770710</x:v>
      </x:c>
      <x:c r="Y1937" t="str" s="2">
        <x:v>cherrymary128@gmail.com</x:v>
      </x:c>
      <x:c r="Z1937" s="6">
        <x:v>46301.96004621528</x:v>
      </x:c>
      <x:c r="AA1937" t="str" s="2">
        <x:v>Steve Castell</x:v>
      </x:c>
      <x:c r="AB1937" s="6">
        <x:v>46301.95814829861</x:v>
      </x:c>
      <x:c r="AC1937" t="n" s="2">
        <x:v>40622</x:v>
      </x:c>
      <x:c r="AD1937" s="0"/>
      <x:c r="AE1937" s="0"/>
      <x:c r="AF1937" s="0"/>
      <x:c r="AG1937" s="0"/>
      <x:c r="AH1937" s="0"/>
      <x:c r="AI1937" s="0"/>
      <x:c r="AJ1937" s="0"/>
      <x:c r="AK1937" s="0"/>
    </x:row>
    <x:row r="1938">
      <x:c r="A1938" t="str" s="2">
        <x:f>=HYPERLINK("https://rsms.futurehomex.com/lead/40623", "Maria Macias")</x:f>
      </x:c>
      <x:c r="B1938" t="n" s="2">
        <x:v>7</x:v>
      </x:c>
      <x:c r="C1938" t="str" s="2">
        <x:v/>
      </x:c>
      <x:c r="D1938" t="str" s="2">
        <x:f>=""</x:f>
      </x:c>
      <x:c r="E1938" s="0"/>
      <x:c r="F1938" t="str" s="2">
        <x:v>Meta Ads - Messenger</x:v>
      </x:c>
      <x:c r="G1938" t="str" s="2">
        <x:v>Heritage Housing Mt Pleasant</x:v>
      </x:c>
      <x:c r="H1938" t="str" s="2">
        <x:v>Sandra Saldana</x:v>
      </x:c>
      <x:c r="I1938" s="0"/>
      <x:c r="J1938" t="str" s="2">
        <x:v>Sandra Saldana</x:v>
      </x:c>
      <x:c r="K1938" t="n" s="2">
        <x:v>5</x:v>
      </x:c>
      <x:c r="L1938" t="str" s="2">
        <x:v>1.1</x:v>
      </x:c>
      <x:c r="M1938" t="str" s="2">
        <x:v>Tentative</x:v>
      </x:c>
      <x:c r="N1938" t="str" s="2">
        <x:v>Deal Created</x:v>
      </x:c>
      <x:c r="O1938" s="0"/>
      <x:c r="P1938" s="6">
        <x:v>46301</x:v>
      </x:c>
      <x:c r="Q1938" s="6">
        <x:v>46301.958310497685</x:v>
      </x:c>
      <x:c r="R1938" s="0"/>
      <x:c r="S1938" s="0"/>
      <x:c r="T1938" s="0"/>
      <x:c r="U1938" s="0"/>
      <x:c r="V1938" s="0"/>
      <x:c r="W1938" s="0"/>
      <x:c r="X1938" t="str" s="2">
        <x:v>4053065442</x:v>
      </x:c>
      <x:c r="Y1938" t="str" s="2">
        <x:v>4053065442</x:v>
      </x:c>
      <x:c r="Z1938" s="6">
        <x:v>46302.58533599537</x:v>
      </x:c>
      <x:c r="AA1938" t="str" s="2">
        <x:v>Sandra Saldana</x:v>
      </x:c>
      <x:c r="AB1938" s="6">
        <x:v>46301.95831180555</x:v>
      </x:c>
      <x:c r="AC1938" t="n" s="2">
        <x:v>40623</x:v>
      </x:c>
      <x:c r="AD1938" s="0"/>
      <x:c r="AE1938" s="0"/>
      <x:c r="AF1938" s="0"/>
      <x:c r="AG1938" s="0"/>
      <x:c r="AH1938" s="0"/>
      <x:c r="AI1938" s="0"/>
      <x:c r="AJ1938" s="0"/>
      <x:c r="AK1938" s="0"/>
    </x:row>
    <x:row r="1939">
      <x:c r="A1939" t="str" s="2">
        <x:f>=HYPERLINK("https://rsms.futurehomex.com/lead/40624", "Ashley Edwards")</x:f>
      </x:c>
      <x:c r="B1939" t="n" s="2">
        <x:v>6</x:v>
      </x:c>
      <x:c r="C1939" t="str" s="2">
        <x:v/>
      </x:c>
      <x:c r="D1939" t="str" s="2">
        <x:f>=""</x:f>
      </x:c>
      <x:c r="E1939" s="0"/>
      <x:c r="F1939" t="str" s="2">
        <x:v>Walk-in</x:v>
      </x:c>
      <x:c r="G1939" t="str" s="2">
        <x:v>Heritage Housing of Athens</x:v>
      </x:c>
      <x:c r="H1939" t="str" s="2">
        <x:v>Ethan Fossett</x:v>
      </x:c>
      <x:c r="I1939" s="0"/>
      <x:c r="J1939" s="0"/>
      <x:c r="K1939" t="n" s="2">
        <x:v>5</x:v>
      </x:c>
      <x:c r="L1939" t="str" s="2">
        <x:v>1.1</x:v>
      </x:c>
      <x:c r="M1939" t="str" s="2">
        <x:v>Tentative</x:v>
      </x:c>
      <x:c r="N1939" t="str" s="2">
        <x:v>Prospect</x:v>
      </x:c>
      <x:c r="O1939" s="0"/>
      <x:c r="P1939" s="6">
        <x:v>46302</x:v>
      </x:c>
      <x:c r="Q1939" s="6">
        <x:v>46307.86163043982</x:v>
      </x:c>
      <x:c r="R1939" s="0"/>
      <x:c r="S1939" s="6">
        <x:v>46302</x:v>
      </x:c>
      <x:c r="T1939" s="0"/>
      <x:c r="U1939" s="0"/>
      <x:c r="V1939" s="0"/>
      <x:c r="W1939" s="0"/>
      <x:c r="X1939" t="str" s="2">
        <x:v>7627726936</x:v>
      </x:c>
      <x:c r="Y1939" t="str" s="2">
        <x:v>amontanae0503@gmail.com</x:v>
      </x:c>
      <x:c r="Z1939" s="0"/>
      <x:c r="AA1939" s="0"/>
      <x:c r="AB1939" s="6">
        <x:v>46302.59819390046</x:v>
      </x:c>
      <x:c r="AC1939" t="n" s="2">
        <x:v>40624</x:v>
      </x:c>
      <x:c r="AD1939" s="0"/>
      <x:c r="AE1939" s="0"/>
      <x:c r="AF1939" s="0"/>
      <x:c r="AG1939" s="7">
        <x:v>8000</x:v>
      </x:c>
      <x:c r="AH1939" s="0"/>
      <x:c r="AI1939" s="0"/>
      <x:c r="AJ1939" s="0"/>
      <x:c r="AK1939" s="0"/>
    </x:row>
    <x:row r="1940">
      <x:c r="A1940" t="str" s="2">
        <x:f>=HYPERLINK("https://rsms.futurehomex.com/lead/40625", "Michael Mcgee")</x:f>
      </x:c>
      <x:c r="B1940" t="n" s="2">
        <x:v>6</x:v>
      </x:c>
      <x:c r="C1940" t="str" s="2">
        <x:v/>
      </x:c>
      <x:c r="D1940" t="str" s="2">
        <x:f>=""</x:f>
      </x:c>
      <x:c r="E1940" s="0"/>
      <x:c r="F1940" t="str" s="2">
        <x:v>Website</x:v>
      </x:c>
      <x:c r="G1940" t="str" s="2">
        <x:v>Heritage Housing of Augusta</x:v>
      </x:c>
      <x:c r="H1940" t="str" s="2">
        <x:v>Jennifer Johnson</x:v>
      </x:c>
      <x:c r="I1940" t="str" s="2">
        <x:v>Karol Romero</x:v>
      </x:c>
      <x:c r="J1940" t="str" s="2">
        <x:v>Jennifer Johnson</x:v>
      </x:c>
      <x:c r="K1940" t="n" s="2">
        <x:v>5</x:v>
      </x:c>
      <x:c r="L1940" t="str" s="2">
        <x:v>1.1</x:v>
      </x:c>
      <x:c r="M1940" t="str" s="2">
        <x:v>Tentative</x:v>
      </x:c>
      <x:c r="N1940" t="str" s="2">
        <x:v>Deal Created</x:v>
      </x:c>
      <x:c r="O1940" s="0"/>
      <x:c r="P1940" s="6">
        <x:v>46302</x:v>
      </x:c>
      <x:c r="Q1940" s="6">
        <x:v>46302.61180917824</x:v>
      </x:c>
      <x:c r="R1940" s="0"/>
      <x:c r="S1940" s="0"/>
      <x:c r="T1940" s="0"/>
      <x:c r="U1940" s="0"/>
      <x:c r="V1940" s="0"/>
      <x:c r="W1940" s="0"/>
      <x:c r="X1940" t="str" s="2">
        <x:v>8036346941</x:v>
      </x:c>
      <x:c r="Y1940" t="str" s="2">
        <x:v>mjm195661@gmail.com</x:v>
      </x:c>
      <x:c r="Z1940" s="0"/>
      <x:c r="AA1940" s="0"/>
      <x:c r="AB1940" s="6">
        <x:v>46302.611811111114</x:v>
      </x:c>
      <x:c r="AC1940" t="n" s="2">
        <x:v>40625</x:v>
      </x:c>
      <x:c r="AD1940" s="0"/>
      <x:c r="AE1940" s="0"/>
      <x:c r="AF1940" s="0"/>
      <x:c r="AG1940" s="0"/>
      <x:c r="AH1940" s="0"/>
      <x:c r="AI1940" s="0"/>
      <x:c r="AJ1940" s="0"/>
      <x:c r="AK1940" s="0"/>
    </x:row>
    <x:row r="1941">
      <x:c r="A1941" t="str" s="2">
        <x:f>=HYPERLINK("https://rsms.futurehomex.com/lead/40626", "Walton White")</x:f>
      </x:c>
      <x:c r="B1941" t="n" s="2">
        <x:v>6</x:v>
      </x:c>
      <x:c r="C1941" t="str" s="2">
        <x:v/>
      </x:c>
      <x:c r="D1941" t="str" s="2">
        <x:f>=""</x:f>
      </x:c>
      <x:c r="E1941" s="0"/>
      <x:c r="F1941" t="str" s="2">
        <x:v>Walk-in</x:v>
      </x:c>
      <x:c r="G1941" t="str" s="2">
        <x:v>Heritage Housing of Augusta</x:v>
      </x:c>
      <x:c r="H1941" t="str" s="2">
        <x:v>Jennifer Johnson</x:v>
      </x:c>
      <x:c r="I1941" t="str" s="2">
        <x:v>Karol Romero</x:v>
      </x:c>
      <x:c r="J1941" t="str" s="2">
        <x:v>Jennifer Johnson</x:v>
      </x:c>
      <x:c r="K1941" t="n" s="2">
        <x:v>5</x:v>
      </x:c>
      <x:c r="L1941" t="str" s="2">
        <x:v>1.1</x:v>
      </x:c>
      <x:c r="M1941" t="str" s="2">
        <x:v>Tentative</x:v>
      </x:c>
      <x:c r="N1941" t="str" s="2">
        <x:v>Prospect</x:v>
      </x:c>
      <x:c r="O1941" s="0"/>
      <x:c r="P1941" s="6">
        <x:v>46302</x:v>
      </x:c>
      <x:c r="Q1941" s="6">
        <x:v>46302.624593252316</x:v>
      </x:c>
      <x:c r="R1941" t="str" s="2">
        <x:v>Jennifer Johnson</x:v>
      </x:c>
      <x:c r="S1941" s="0"/>
      <x:c r="T1941" s="0"/>
      <x:c r="U1941" s="0"/>
      <x:c r="V1941" s="0"/>
      <x:c r="W1941" s="0"/>
      <x:c r="X1941" t="str" s="2">
        <x:v>5024356851</x:v>
      </x:c>
      <x:c r="Y1941" t="str" s="2">
        <x:v>waltorwhite@yahoo.com</x:v>
      </x:c>
      <x:c r="Z1941" s="0"/>
      <x:c r="AA1941" s="0"/>
      <x:c r="AB1941" s="6">
        <x:v>46302.6245959838</x:v>
      </x:c>
      <x:c r="AC1941" t="n" s="2">
        <x:v>40626</x:v>
      </x:c>
      <x:c r="AD1941" s="0"/>
      <x:c r="AE1941" s="0"/>
      <x:c r="AF1941" s="0"/>
      <x:c r="AG1941" s="0"/>
      <x:c r="AH1941" s="0"/>
      <x:c r="AI1941" s="0"/>
      <x:c r="AJ1941" s="0"/>
      <x:c r="AK1941" s="0"/>
    </x:row>
    <x:row r="1942">
      <x:c r="A1942" t="str" s="2">
        <x:f>=HYPERLINK("https://rsms.futurehomex.com/lead/40627", "Fleta Starnes")</x:f>
      </x:c>
      <x:c r="B1942" t="n" s="2">
        <x:v>6</x:v>
      </x:c>
      <x:c r="C1942" t="str" s="2">
        <x:v>1/1</x:v>
      </x:c>
      <x:c r="D1942" t="str" s="2">
        <x:f>=""</x:f>
      </x:c>
      <x:c r="E1942" s="0"/>
      <x:c r="F1942" t="str" s="2">
        <x:v>Landing_BPM</x:v>
      </x:c>
      <x:c r="G1942" t="str" s="2">
        <x:v>Heritage Housing of Asheboro</x:v>
      </x:c>
      <x:c r="H1942" t="str" s="2">
        <x:v>Joe Lopez</x:v>
      </x:c>
      <x:c r="I1942" t="str" s="2">
        <x:v>Karol Romero</x:v>
      </x:c>
      <x:c r="J1942" s="0"/>
      <x:c r="K1942" t="n" s="2">
        <x:v>21</x:v>
      </x:c>
      <x:c r="L1942" t="str" s="2">
        <x:v>2.1</x:v>
      </x:c>
      <x:c r="M1942" t="str" s="2">
        <x:v>Tentative</x:v>
      </x:c>
      <x:c r="N1942" t="str" s="2">
        <x:v>Qualified</x:v>
      </x:c>
      <x:c r="O1942" s="0"/>
      <x:c r="P1942" s="6">
        <x:v>46302</x:v>
      </x:c>
      <x:c r="Q1942" s="6">
        <x:v>46303.54954386574</x:v>
      </x:c>
      <x:c r="R1942" s="0"/>
      <x:c r="S1942" s="0"/>
      <x:c r="T1942" s="0"/>
      <x:c r="U1942" s="0"/>
      <x:c r="V1942" s="0"/>
      <x:c r="W1942" s="0"/>
      <x:c r="X1942" t="str" s="2">
        <x:v>3365855451</x:v>
      </x:c>
      <x:c r="Y1942" t="str" s="2">
        <x:v>fassuccess2017@gmail.com</x:v>
      </x:c>
      <x:c r="Z1942" s="6">
        <x:v>46303.54950732639</x:v>
      </x:c>
      <x:c r="AA1942" t="str" s="2">
        <x:v>Jeremy Jacques</x:v>
      </x:c>
      <x:c r="AB1942" s="6">
        <x:v>46302.70650003472</x:v>
      </x:c>
      <x:c r="AC1942" t="n" s="2">
        <x:v>40627</x:v>
      </x:c>
      <x:c r="AD1942" s="0"/>
      <x:c r="AE1942" s="0"/>
      <x:c r="AF1942" s="0"/>
      <x:c r="AG1942" s="0"/>
      <x:c r="AH1942" s="0"/>
      <x:c r="AI1942" s="0"/>
      <x:c r="AJ1942" s="0"/>
      <x:c r="AK1942" s="0"/>
    </x:row>
    <x:row r="1943">
      <x:c r="A1943" t="str" s="2">
        <x:f>=HYPERLINK("https://rsms.futurehomex.com/lead/40628", "Rachelle Hand")</x:f>
      </x:c>
      <x:c r="B1943" t="n" s="2">
        <x:v>6</x:v>
      </x:c>
      <x:c r="C1943" t="str" s="2">
        <x:v/>
      </x:c>
      <x:c r="D1943" t="str" s="2">
        <x:f>=""</x:f>
      </x:c>
      <x:c r="E1943" s="0"/>
      <x:c r="F1943" t="str" s="2">
        <x:v>Landing_BPM</x:v>
      </x:c>
      <x:c r="G1943" t="str" s="2">
        <x:v>Heritage Housing of Tulsa</x:v>
      </x:c>
      <x:c r="H1943" t="str" s="2">
        <x:v>Jenna Fransisco</x:v>
      </x:c>
      <x:c r="I1943" s="0"/>
      <x:c r="J1943" t="str" s="2">
        <x:v>Derek Searcy</x:v>
      </x:c>
      <x:c r="K1943" t="n" s="2">
        <x:v>5</x:v>
      </x:c>
      <x:c r="L1943" t="str" s="2">
        <x:v>1.1</x:v>
      </x:c>
      <x:c r="M1943" t="str" s="2">
        <x:v>Tentative</x:v>
      </x:c>
      <x:c r="N1943" t="str" s="2">
        <x:v>Deal Created</x:v>
      </x:c>
      <x:c r="O1943" s="0"/>
      <x:c r="P1943" s="6">
        <x:v>46302</x:v>
      </x:c>
      <x:c r="Q1943" s="6">
        <x:v>46302.71654105324</x:v>
      </x:c>
      <x:c r="R1943" s="0"/>
      <x:c r="S1943" s="0"/>
      <x:c r="T1943" s="0"/>
      <x:c r="U1943" s="0"/>
      <x:c r="V1943" s="0"/>
      <x:c r="W1943" s="0"/>
      <x:c r="X1943" t="str" s="2">
        <x:v>9182913133</x:v>
      </x:c>
      <x:c r="Y1943" t="str" s="2">
        <x:v>chelle518560@gmail.com</x:v>
      </x:c>
      <x:c r="Z1943" s="0"/>
      <x:c r="AA1943" s="0"/>
      <x:c r="AB1943" s="6">
        <x:v>46302.716541469905</x:v>
      </x:c>
      <x:c r="AC1943" t="n" s="2">
        <x:v>40628</x:v>
      </x:c>
      <x:c r="AD1943" s="0"/>
      <x:c r="AE1943" s="0"/>
      <x:c r="AF1943" s="0"/>
      <x:c r="AG1943" s="0"/>
      <x:c r="AH1943" s="0"/>
      <x:c r="AI1943" s="0"/>
      <x:c r="AJ1943" s="0"/>
      <x:c r="AK1943" s="0"/>
    </x:row>
    <x:row r="1944">
      <x:c r="A1944" t="str" s="2">
        <x:f>=HYPERLINK("https://rsms.futurehomex.com/lead/40630", "Constantino Martinez-Ramirez")</x:f>
      </x:c>
      <x:c r="B1944" t="n" s="2">
        <x:v>6</x:v>
      </x:c>
      <x:c r="C1944" t="str" s="2">
        <x:v>0/1</x:v>
      </x:c>
      <x:c r="D1944" t="str" s="2">
        <x:f>=""</x:f>
      </x:c>
      <x:c r="E1944" s="0"/>
      <x:c r="F1944" t="str" s="2">
        <x:v>TikTok</x:v>
      </x:c>
      <x:c r="G1944" t="str" s="2">
        <x:v>Heritage Housing of Greenville</x:v>
      </x:c>
      <x:c r="H1944" t="str" s="2">
        <x:v>Oscar Osorio</x:v>
      </x:c>
      <x:c r="I1944" s="0"/>
      <x:c r="J1944" t="str" s="2">
        <x:v>Oscar Osorio</x:v>
      </x:c>
      <x:c r="K1944" t="n" s="2">
        <x:v>38</x:v>
      </x:c>
      <x:c r="L1944" t="str" s="2">
        <x:v>3.2</x:v>
      </x:c>
      <x:c r="M1944" t="str" s="2">
        <x:v>Active</x:v>
      </x:c>
      <x:c r="N1944" t="str" s="2">
        <x:v>Application</x:v>
      </x:c>
      <x:c r="O1944" s="0"/>
      <x:c r="P1944" s="6">
        <x:v>46302</x:v>
      </x:c>
      <x:c r="Q1944" s="6">
        <x:v>46302.790611261575</x:v>
      </x:c>
      <x:c r="R1944" s="0"/>
      <x:c r="S1944" s="6">
        <x:v>46302</x:v>
      </x:c>
      <x:c r="T1944" s="6">
        <x:v>46302</x:v>
      </x:c>
      <x:c r="U1944" s="6">
        <x:v>46302</x:v>
      </x:c>
      <x:c r="V1944" s="0"/>
      <x:c r="W1944" s="0"/>
      <x:c r="X1944" t="str" s="2">
        <x:v>2143255670</x:v>
      </x:c>
      <x:c r="Y1944" t="str" s="2">
        <x:v>tinomartinezramirez42@gmail.com</x:v>
      </x:c>
      <x:c r="Z1944" s="6">
        <x:v>46304.8283159375</x:v>
      </x:c>
      <x:c r="AA1944" t="str" s="2">
        <x:v>Sarahi Vazquez</x:v>
      </x:c>
      <x:c r="AB1944" s="6">
        <x:v>46302.72065960648</x:v>
      </x:c>
      <x:c r="AC1944" t="n" s="2">
        <x:v>40630</x:v>
      </x:c>
      <x:c r="AD1944" t="str" s="2">
        <x:v>Doublewide</x:v>
      </x:c>
      <x:c r="AE1944" t="str" s="2">
        <x:v>Legacy Housing Corporation</x:v>
      </x:c>
      <x:c r="AF1944" s="0"/>
      <x:c r="AG1944" s="7">
        <x:v>13200</x:v>
      </x:c>
      <x:c r="AH1944" s="0"/>
      <x:c r="AI1944" t="str" s="2">
        <x:v>588</x:v>
      </x:c>
      <x:c r="AJ1944" s="0"/>
      <x:c r="AK1944" s="0"/>
    </x:row>
    <x:row r="1945">
      <x:c r="A1945" t="str" s="2">
        <x:f>=HYPERLINK("https://rsms.futurehomex.com/lead/40631", "Linda Strong")</x:f>
      </x:c>
      <x:c r="B1945" t="n" s="2">
        <x:v>6</x:v>
      </x:c>
      <x:c r="C1945" t="str" s="2">
        <x:v/>
      </x:c>
      <x:c r="D1945" t="str" s="2">
        <x:f>=""</x:f>
      </x:c>
      <x:c r="E1945" s="0"/>
      <x:c r="F1945" t="str" s="2">
        <x:v>Financing Form</x:v>
      </x:c>
      <x:c r="G1945" t="str" s="2">
        <x:v>Heritage Housing of Augusta</x:v>
      </x:c>
      <x:c r="H1945" t="str" s="2">
        <x:v>Jennifer Johnson</x:v>
      </x:c>
      <x:c r="I1945" t="str" s="2">
        <x:v>Karol Romero</x:v>
      </x:c>
      <x:c r="J1945" t="str" s="2">
        <x:v>Jennifer Johnson</x:v>
      </x:c>
      <x:c r="K1945" t="n" s="2">
        <x:v>5</x:v>
      </x:c>
      <x:c r="L1945" t="str" s="2">
        <x:v>1.1</x:v>
      </x:c>
      <x:c r="M1945" t="str" s="2">
        <x:v>Tentative</x:v>
      </x:c>
      <x:c r="N1945" t="str" s="2">
        <x:v>Prospect</x:v>
      </x:c>
      <x:c r="O1945" s="0"/>
      <x:c r="P1945" s="6">
        <x:v>46302</x:v>
      </x:c>
      <x:c r="Q1945" s="6">
        <x:v>46302.72094054398</x:v>
      </x:c>
      <x:c r="R1945" s="0"/>
      <x:c r="S1945" s="0"/>
      <x:c r="T1945" s="0"/>
      <x:c r="U1945" s="0"/>
      <x:c r="V1945" s="0"/>
      <x:c r="W1945" s="0"/>
      <x:c r="X1945" t="str" s="2">
        <x:v>8505704159</x:v>
      </x:c>
      <x:c r="Y1945" t="str" s="2">
        <x:v>lindagenesestrong@gmail.com</x:v>
      </x:c>
      <x:c r="Z1945" s="6">
        <x:v>46304.679754247685</x:v>
      </x:c>
      <x:c r="AA1945" t="str" s="2">
        <x:v>Jennifer Johnson</x:v>
      </x:c>
      <x:c r="AB1945" s="6">
        <x:v>46302.72094166667</x:v>
      </x:c>
      <x:c r="AC1945" t="n" s="2">
        <x:v>40631</x:v>
      </x:c>
      <x:c r="AD1945" s="0"/>
      <x:c r="AE1945" s="0"/>
      <x:c r="AF1945" s="0"/>
      <x:c r="AG1945" s="0"/>
      <x:c r="AH1945" s="0"/>
      <x:c r="AI1945" s="0"/>
      <x:c r="AJ1945" s="0"/>
      <x:c r="AK1945" s="0"/>
    </x:row>
    <x:row r="1946">
      <x:c r="A1946" t="str" s="2">
        <x:f>=HYPERLINK("https://rsms.futurehomex.com/lead/40632", "Melissa Mills")</x:f>
      </x:c>
      <x:c r="B1946" t="n" s="2">
        <x:v>6</x:v>
      </x:c>
      <x:c r="C1946" t="str" s="2">
        <x:v>1/3</x:v>
      </x:c>
      <x:c r="D1946" t="str" s="2">
        <x:f>=""</x:f>
      </x:c>
      <x:c r="E1946" s="0"/>
      <x:c r="F1946" t="str" s="2">
        <x:v>Landing_BPM</x:v>
      </x:c>
      <x:c r="G1946" t="str" s="2">
        <x:v>Heritage Housing of Oklahoma City</x:v>
      </x:c>
      <x:c r="H1946" t="str" s="2">
        <x:v>Alejandra Calderon</x:v>
      </x:c>
      <x:c r="I1946" s="0"/>
      <x:c r="J1946" t="str" s="2">
        <x:v>Alejandra Calderon</x:v>
      </x:c>
      <x:c r="K1946" t="n" s="2">
        <x:v>5</x:v>
      </x:c>
      <x:c r="L1946" t="str" s="2">
        <x:v>1.1</x:v>
      </x:c>
      <x:c r="M1946" t="str" s="2">
        <x:v>Tentative</x:v>
      </x:c>
      <x:c r="N1946" t="str" s="2">
        <x:v>Deal Created</x:v>
      </x:c>
      <x:c r="O1946" s="0"/>
      <x:c r="P1946" s="6">
        <x:v>46302</x:v>
      </x:c>
      <x:c r="Q1946" s="6">
        <x:v>46302.727624618055</x:v>
      </x:c>
      <x:c r="R1946" t="str" s="2">
        <x:v>Devon McCoy</x:v>
      </x:c>
      <x:c r="S1946" s="0"/>
      <x:c r="T1946" s="0"/>
      <x:c r="U1946" s="0"/>
      <x:c r="V1946" s="0"/>
      <x:c r="W1946" s="0"/>
      <x:c r="X1946" t="str" s="2">
        <x:v>4059224148</x:v>
      </x:c>
      <x:c r="Y1946" t="str" s="2">
        <x:v>melissasmithnursing@yahoo.com</x:v>
      </x:c>
      <x:c r="Z1946" s="6">
        <x:v>46308.67440917824</x:v>
      </x:c>
      <x:c r="AA1946" t="str" s="2">
        <x:v>Alejandra Calderon</x:v>
      </x:c>
      <x:c r="AB1946" s="6">
        <x:v>46302.72736265046</x:v>
      </x:c>
      <x:c r="AC1946" t="n" s="2">
        <x:v>40632</x:v>
      </x:c>
      <x:c r="AD1946" s="0"/>
      <x:c r="AE1946" s="0"/>
      <x:c r="AF1946" s="0"/>
      <x:c r="AG1946" s="0"/>
      <x:c r="AH1946" s="0"/>
      <x:c r="AI1946" s="0"/>
      <x:c r="AJ1946" s="0"/>
      <x:c r="AK1946" s="0"/>
    </x:row>
    <x:row r="1947">
      <x:c r="A1947" t="str" s="2">
        <x:f>=HYPERLINK("https://rsms.futurehomex.com/lead/40634", "Stephanie Miller")</x:f>
      </x:c>
      <x:c r="B1947" t="n" s="2">
        <x:v>6</x:v>
      </x:c>
      <x:c r="C1947" t="str" s="2">
        <x:v/>
      </x:c>
      <x:c r="D1947" t="str" s="2">
        <x:f>=""</x:f>
      </x:c>
      <x:c r="E1947" s="0"/>
      <x:c r="F1947" t="str" s="2">
        <x:v>Financing Form</x:v>
      </x:c>
      <x:c r="G1947" t="str" s="2">
        <x:v>Heritage Housing of Augusta</x:v>
      </x:c>
      <x:c r="H1947" t="str" s="2">
        <x:v>Jennifer Johnson</x:v>
      </x:c>
      <x:c r="I1947" t="str" s="2">
        <x:v>Karol Romero</x:v>
      </x:c>
      <x:c r="J1947" t="str" s="2">
        <x:v>Jennifer Johnson</x:v>
      </x:c>
      <x:c r="K1947" t="n" s="2">
        <x:v>5</x:v>
      </x:c>
      <x:c r="L1947" t="str" s="2">
        <x:v>1.1</x:v>
      </x:c>
      <x:c r="M1947" t="str" s="2">
        <x:v>Tentative</x:v>
      </x:c>
      <x:c r="N1947" t="str" s="2">
        <x:v>Prospect</x:v>
      </x:c>
      <x:c r="O1947" s="0"/>
      <x:c r="P1947" s="6">
        <x:v>46302</x:v>
      </x:c>
      <x:c r="Q1947" s="6">
        <x:v>46302.74937670139</x:v>
      </x:c>
      <x:c r="R1947" s="0"/>
      <x:c r="S1947" s="0"/>
      <x:c r="T1947" s="0"/>
      <x:c r="U1947" s="0"/>
      <x:c r="V1947" s="0"/>
      <x:c r="W1947" s="0"/>
      <x:c r="X1947" t="str" s="2">
        <x:v>4782324824</x:v>
      </x:c>
      <x:c r="Y1947" t="str" s="2">
        <x:v>sbra1232@gmail.com</x:v>
      </x:c>
      <x:c r="Z1947" s="0"/>
      <x:c r="AA1947" s="0"/>
      <x:c r="AB1947" s="6">
        <x:v>46302.74937777778</x:v>
      </x:c>
      <x:c r="AC1947" t="n" s="2">
        <x:v>40634</x:v>
      </x:c>
      <x:c r="AD1947" s="0"/>
      <x:c r="AE1947" s="0"/>
      <x:c r="AF1947" s="0"/>
      <x:c r="AG1947" s="0"/>
      <x:c r="AH1947" s="0"/>
      <x:c r="AI1947" s="0"/>
      <x:c r="AJ1947" s="0"/>
      <x:c r="AK1947" s="0"/>
    </x:row>
    <x:row r="1948">
      <x:c r="A1948" t="str" s="2">
        <x:f>=HYPERLINK("https://rsms.futurehomex.com/lead/40635", "JOESPH HARVEY")</x:f>
      </x:c>
      <x:c r="B1948" t="n" s="2">
        <x:v>6</x:v>
      </x:c>
      <x:c r="C1948" t="str" s="2">
        <x:v>0/2</x:v>
      </x:c>
      <x:c r="D1948" t="str" s="2">
        <x:f>=""</x:f>
      </x:c>
      <x:c r="E1948" t="str" s="2">
        <x:v>CAITLIN HARVEY</x:v>
      </x:c>
      <x:c r="F1948" t="str" s="2">
        <x:v>Facebook Messenger</x:v>
      </x:c>
      <x:c r="G1948" t="str" s="2">
        <x:v>Heritage Housing of Canton</x:v>
      </x:c>
      <x:c r="H1948" t="str" s="2">
        <x:v>Maira Garcia</x:v>
      </x:c>
      <x:c r="I1948" s="0"/>
      <x:c r="J1948" t="str" s="2">
        <x:v>Maira Garcia</x:v>
      </x:c>
      <x:c r="K1948" t="n" s="2">
        <x:v>40</x:v>
      </x:c>
      <x:c r="L1948" t="str" s="2">
        <x:v>3.3</x:v>
      </x:c>
      <x:c r="M1948" t="str" s="2">
        <x:v>Active</x:v>
      </x:c>
      <x:c r="N1948" t="str" s="2">
        <x:v>Application</x:v>
      </x:c>
      <x:c r="O1948" s="0"/>
      <x:c r="P1948" s="6">
        <x:v>46302</x:v>
      </x:c>
      <x:c r="Q1948" s="6">
        <x:v>46303.79337850695</x:v>
      </x:c>
      <x:c r="R1948" s="0"/>
      <x:c r="S1948" s="6">
        <x:v>46301</x:v>
      </x:c>
      <x:c r="T1948" s="0"/>
      <x:c r="U1948" s="0"/>
      <x:c r="V1948" s="0"/>
      <x:c r="W1948" s="0"/>
      <x:c r="X1948" t="str" s="2">
        <x:v>4699552357</x:v>
      </x:c>
      <x:c r="Y1948" t="str" s="2">
        <x:v>jmharvey2000@gmail.com</x:v>
      </x:c>
      <x:c r="Z1948" s="6">
        <x:v>46308.67472337963</x:v>
      </x:c>
      <x:c r="AA1948" t="str" s="2">
        <x:v>Meliza Banda</x:v>
      </x:c>
      <x:c r="AB1948" s="6">
        <x:v>46302.76262025463</x:v>
      </x:c>
      <x:c r="AC1948" t="n" s="2">
        <x:v>40635</x:v>
      </x:c>
      <x:c r="AD1948" t="str" s="2">
        <x:v>Singlewide</x:v>
      </x:c>
      <x:c r="AE1948" t="str" s="2">
        <x:v>Legacy Housing Corporation</x:v>
      </x:c>
      <x:c r="AF1948" s="7">
        <x:v>9400</x:v>
      </x:c>
      <x:c r="AG1948" s="7">
        <x:v>9400</x:v>
      </x:c>
      <x:c r="AH1948" s="7">
        <x:v>9500</x:v>
      </x:c>
      <x:c r="AI1948" t="str" s="2">
        <x:v>0</x:v>
      </x:c>
      <x:c r="AJ1948" s="0"/>
      <x:c r="AK1948" s="0"/>
    </x:row>
    <x:row r="1949">
      <x:c r="A1949" t="str" s="2">
        <x:f>=HYPERLINK("https://rsms.futurehomex.com/lead/40636", "Devon Muncy")</x:f>
      </x:c>
      <x:c r="B1949" t="n" s="2">
        <x:v>6</x:v>
      </x:c>
      <x:c r="C1949" t="str" s="2">
        <x:v/>
      </x:c>
      <x:c r="D1949" t="str" s="2">
        <x:f>=""</x:f>
      </x:c>
      <x:c r="E1949" s="0"/>
      <x:c r="F1949" t="str" s="2">
        <x:v>LandingPage</x:v>
      </x:c>
      <x:c r="G1949" t="str" s="2">
        <x:v>Heritage Housing of Oklahoma City</x:v>
      </x:c>
      <x:c r="H1949" t="str" s="2">
        <x:v>Devon McCoy</x:v>
      </x:c>
      <x:c r="I1949" s="0"/>
      <x:c r="J1949" t="str" s="2">
        <x:v>Devon McCoy</x:v>
      </x:c>
      <x:c r="K1949" t="n" s="2">
        <x:v>5</x:v>
      </x:c>
      <x:c r="L1949" t="str" s="2">
        <x:v>1.1</x:v>
      </x:c>
      <x:c r="M1949" t="str" s="2">
        <x:v>Tentative</x:v>
      </x:c>
      <x:c r="N1949" t="str" s="2">
        <x:v>Deal Created</x:v>
      </x:c>
      <x:c r="O1949" s="0"/>
      <x:c r="P1949" s="6">
        <x:v>46302</x:v>
      </x:c>
      <x:c r="Q1949" s="6">
        <x:v>46302.7713659375</x:v>
      </x:c>
      <x:c r="R1949" s="0"/>
      <x:c r="S1949" s="0"/>
      <x:c r="T1949" s="0"/>
      <x:c r="U1949" s="0"/>
      <x:c r="V1949" s="0"/>
      <x:c r="W1949" s="0"/>
      <x:c r="X1949" t="str" s="2">
        <x:v>4058083855</x:v>
      </x:c>
      <x:c r="Y1949" t="str" s="2">
        <x:v>dmuncy31@gmail.com</x:v>
      </x:c>
      <x:c r="Z1949" s="0"/>
      <x:c r="AA1949" s="0"/>
      <x:c r="AB1949" s="6">
        <x:v>46302.7713665162</x:v>
      </x:c>
      <x:c r="AC1949" t="n" s="2">
        <x:v>40636</x:v>
      </x:c>
      <x:c r="AD1949" s="0"/>
      <x:c r="AE1949" s="0"/>
      <x:c r="AF1949" s="0"/>
      <x:c r="AG1949" s="0"/>
      <x:c r="AH1949" s="0"/>
      <x:c r="AI1949" s="0"/>
      <x:c r="AJ1949" s="0"/>
      <x:c r="AK1949" s="0"/>
    </x:row>
    <x:row r="1950">
      <x:c r="A1950" t="str" s="2">
        <x:f>=HYPERLINK("https://rsms.futurehomex.com/lead/40637", "Brian Glidewell")</x:f>
      </x:c>
      <x:c r="B1950" t="n" s="2">
        <x:v>6</x:v>
      </x:c>
      <x:c r="C1950" t="str" s="2">
        <x:v>1/2</x:v>
      </x:c>
      <x:c r="D1950" t="str" s="2">
        <x:f>=""</x:f>
      </x:c>
      <x:c r="E1950" s="0"/>
      <x:c r="F1950" t="str" s="2">
        <x:v>Landing_BPM</x:v>
      </x:c>
      <x:c r="G1950" t="str" s="2">
        <x:v>Heritage Housing of Oklahoma City</x:v>
      </x:c>
      <x:c r="H1950" t="str" s="2">
        <x:v>Devon McCoy</x:v>
      </x:c>
      <x:c r="I1950" s="0"/>
      <x:c r="J1950" t="str" s="2">
        <x:v>Devon McCoy</x:v>
      </x:c>
      <x:c r="K1950" t="n" s="2">
        <x:v>5</x:v>
      </x:c>
      <x:c r="L1950" t="str" s="2">
        <x:v>1.1</x:v>
      </x:c>
      <x:c r="M1950" t="str" s="2">
        <x:v>Tentative</x:v>
      </x:c>
      <x:c r="N1950" t="str" s="2">
        <x:v>Deal Created</x:v>
      </x:c>
      <x:c r="O1950" s="0"/>
      <x:c r="P1950" s="6">
        <x:v>46302</x:v>
      </x:c>
      <x:c r="Q1950" s="6">
        <x:v>46302.771791203704</x:v>
      </x:c>
      <x:c r="R1950" s="0"/>
      <x:c r="S1950" s="0"/>
      <x:c r="T1950" s="0"/>
      <x:c r="U1950" s="0"/>
      <x:c r="V1950" s="0"/>
      <x:c r="W1950" s="0"/>
      <x:c r="X1950" t="str" s="2">
        <x:v>4059078943</x:v>
      </x:c>
      <x:c r="Y1950" t="str" s="2">
        <x:v>bglidewell16@outlook.com</x:v>
      </x:c>
      <x:c r="Z1950" s="6">
        <x:v>46304.99186508102</x:v>
      </x:c>
      <x:c r="AA1950" t="str" s="2">
        <x:v>Devon McCoy</x:v>
      </x:c>
      <x:c r="AB1950" s="6">
        <x:v>46302.771791631945</x:v>
      </x:c>
      <x:c r="AC1950" t="n" s="2">
        <x:v>40637</x:v>
      </x:c>
      <x:c r="AD1950" s="0"/>
      <x:c r="AE1950" s="0"/>
      <x:c r="AF1950" s="0"/>
      <x:c r="AG1950" s="0"/>
      <x:c r="AH1950" s="0"/>
      <x:c r="AI1950" s="0"/>
      <x:c r="AJ1950" s="0"/>
      <x:c r="AK1950" s="0"/>
    </x:row>
    <x:row r="1951">
      <x:c r="A1951" t="str" s="2">
        <x:f>=HYPERLINK("https://rsms.futurehomex.com/lead/40638", "Willington Garcia")</x:f>
      </x:c>
      <x:c r="B1951" t="n" s="2">
        <x:v>6</x:v>
      </x:c>
      <x:c r="C1951" t="str" s="2">
        <x:v>2/3</x:v>
      </x:c>
      <x:c r="D1951" t="str" s="2">
        <x:f>=""</x:f>
      </x:c>
      <x:c r="E1951" s="0"/>
      <x:c r="F1951" t="str" s="2">
        <x:v>Website</x:v>
      </x:c>
      <x:c r="G1951" t="str" s="2">
        <x:v>Heritage Housing of Oklahoma City</x:v>
      </x:c>
      <x:c r="H1951" t="str" s="2">
        <x:v>Devon McCoy</x:v>
      </x:c>
      <x:c r="I1951" s="0"/>
      <x:c r="J1951" t="str" s="2">
        <x:v>Devon McCoy</x:v>
      </x:c>
      <x:c r="K1951" t="n" s="2">
        <x:v>5</x:v>
      </x:c>
      <x:c r="L1951" t="str" s="2">
        <x:v>1.1</x:v>
      </x:c>
      <x:c r="M1951" t="str" s="2">
        <x:v>Tentative</x:v>
      </x:c>
      <x:c r="N1951" t="str" s="2">
        <x:v>Deal Created</x:v>
      </x:c>
      <x:c r="O1951" s="0"/>
      <x:c r="P1951" s="6">
        <x:v>46302</x:v>
      </x:c>
      <x:c r="Q1951" s="6">
        <x:v>46302.77223012732</x:v>
      </x:c>
      <x:c r="R1951" s="0"/>
      <x:c r="S1951" s="0"/>
      <x:c r="T1951" s="0"/>
      <x:c r="U1951" s="0"/>
      <x:c r="V1951" s="0"/>
      <x:c r="W1951" s="0"/>
      <x:c r="X1951" t="str" s="2">
        <x:v>6173730611</x:v>
      </x:c>
      <x:c r="Y1951" t="str" s="2">
        <x:v>willigarcia50@gmail.com</x:v>
      </x:c>
      <x:c r="Z1951" s="6">
        <x:v>46304.992349803244</x:v>
      </x:c>
      <x:c r="AA1951" t="str" s="2">
        <x:v>Devon McCoy</x:v>
      </x:c>
      <x:c r="AB1951" s="6">
        <x:v>46302.77223136574</x:v>
      </x:c>
      <x:c r="AC1951" t="n" s="2">
        <x:v>40638</x:v>
      </x:c>
      <x:c r="AD1951" s="0"/>
      <x:c r="AE1951" s="0"/>
      <x:c r="AF1951" s="0"/>
      <x:c r="AG1951" s="0"/>
      <x:c r="AH1951" s="0"/>
      <x:c r="AI1951" s="0"/>
      <x:c r="AJ1951" s="0"/>
      <x:c r="AK1951" s="0"/>
    </x:row>
    <x:row r="1952">
      <x:c r="A1952" t="str" s="2">
        <x:f>=HYPERLINK("https://rsms.futurehomex.com/lead/40639", "Candace Cheek")</x:f>
      </x:c>
      <x:c r="B1952" t="n" s="2">
        <x:v>6</x:v>
      </x:c>
      <x:c r="C1952" t="str" s="2">
        <x:v>1/3</x:v>
      </x:c>
      <x:c r="D1952" t="str" s="2">
        <x:f>=""</x:f>
      </x:c>
      <x:c r="E1952" s="0"/>
      <x:c r="F1952" t="str" s="2">
        <x:v>LandingPage</x:v>
      </x:c>
      <x:c r="G1952" t="str" s="2">
        <x:v>Heritage Housing of Oklahoma City</x:v>
      </x:c>
      <x:c r="H1952" t="str" s="2">
        <x:v>Alejandra Calderon</x:v>
      </x:c>
      <x:c r="I1952" s="0"/>
      <x:c r="J1952" t="str" s="2">
        <x:v>Richard Bell</x:v>
      </x:c>
      <x:c r="K1952" t="n" s="2">
        <x:v>5</x:v>
      </x:c>
      <x:c r="L1952" t="str" s="2">
        <x:v>1.1</x:v>
      </x:c>
      <x:c r="M1952" t="str" s="2">
        <x:v>Tentative</x:v>
      </x:c>
      <x:c r="N1952" t="str" s="2">
        <x:v>Deal Created</x:v>
      </x:c>
      <x:c r="O1952" s="0"/>
      <x:c r="P1952" s="6">
        <x:v>46302</x:v>
      </x:c>
      <x:c r="Q1952" s="6">
        <x:v>46302.780664618054</x:v>
      </x:c>
      <x:c r="R1952" s="0"/>
      <x:c r="S1952" s="0"/>
      <x:c r="T1952" s="0"/>
      <x:c r="U1952" s="0"/>
      <x:c r="V1952" s="0"/>
      <x:c r="W1952" s="0"/>
      <x:c r="X1952" t="str" s="2">
        <x:v>4056510752</x:v>
      </x:c>
      <x:c r="Y1952" t="str" s="2">
        <x:v>cct0029@gmail.com</x:v>
      </x:c>
      <x:c r="Z1952" s="6">
        <x:v>46305.74622835648</x:v>
      </x:c>
      <x:c r="AA1952" t="str" s="2">
        <x:v>Alejandra Calderon</x:v>
      </x:c>
      <x:c r="AB1952" s="6">
        <x:v>46302.78042256944</x:v>
      </x:c>
      <x:c r="AC1952" t="n" s="2">
        <x:v>40639</x:v>
      </x:c>
      <x:c r="AD1952" s="0"/>
      <x:c r="AE1952" s="0"/>
      <x:c r="AF1952" s="0"/>
      <x:c r="AG1952" s="0"/>
      <x:c r="AH1952" s="0"/>
      <x:c r="AI1952" s="0"/>
      <x:c r="AJ1952" s="0"/>
      <x:c r="AK1952" s="0"/>
    </x:row>
    <x:row r="1953">
      <x:c r="A1953" t="str" s="2">
        <x:f>=HYPERLINK("https://rsms.futurehomex.com/lead/40641", "Connie Vanwinkle")</x:f>
      </x:c>
      <x:c r="B1953" t="n" s="2">
        <x:v>6</x:v>
      </x:c>
      <x:c r="C1953" t="str" s="2">
        <x:v/>
      </x:c>
      <x:c r="D1953" t="str" s="2">
        <x:f>=""</x:f>
      </x:c>
      <x:c r="E1953" s="0"/>
      <x:c r="F1953" t="str" s="2">
        <x:v>Walk-in</x:v>
      </x:c>
      <x:c r="G1953" t="str" s="2">
        <x:v>Heritage Housing of Tulsa</x:v>
      </x:c>
      <x:c r="H1953" t="str" s="2">
        <x:v>Jenna Fransisco</x:v>
      </x:c>
      <x:c r="I1953" s="0"/>
      <x:c r="J1953" s="0"/>
      <x:c r="K1953" t="n" s="2">
        <x:v>5</x:v>
      </x:c>
      <x:c r="L1953" t="str" s="2">
        <x:v>1.1</x:v>
      </x:c>
      <x:c r="M1953" t="str" s="2">
        <x:v>Tentative</x:v>
      </x:c>
      <x:c r="N1953" t="str" s="2">
        <x:v>Prospect</x:v>
      </x:c>
      <x:c r="O1953" s="0"/>
      <x:c r="P1953" s="6">
        <x:v>46302</x:v>
      </x:c>
      <x:c r="Q1953" s="6">
        <x:v>46302.79904980324</x:v>
      </x:c>
      <x:c r="R1953" s="0"/>
      <x:c r="S1953" s="0"/>
      <x:c r="T1953" s="0"/>
      <x:c r="U1953" s="0"/>
      <x:c r="V1953" s="0"/>
      <x:c r="W1953" s="0"/>
      <x:c r="X1953" t="str" s="2">
        <x:v>8505297889</x:v>
      </x:c>
      <x:c r="Y1953" t="str" s="2">
        <x:v>connievanwinkle16@gmail.com</x:v>
      </x:c>
      <x:c r="Z1953" s="0"/>
      <x:c r="AA1953" s="0"/>
      <x:c r="AB1953" s="6">
        <x:v>46302.799050347225</x:v>
      </x:c>
      <x:c r="AC1953" t="n" s="2">
        <x:v>40641</x:v>
      </x:c>
      <x:c r="AD1953" s="0"/>
      <x:c r="AE1953" s="0"/>
      <x:c r="AF1953" s="0"/>
      <x:c r="AG1953" s="0"/>
      <x:c r="AH1953" s="0"/>
      <x:c r="AI1953" s="0"/>
      <x:c r="AJ1953" s="0"/>
      <x:c r="AK1953" s="0"/>
    </x:row>
    <x:row r="1954">
      <x:c r="A1954" t="str" s="2">
        <x:f>=HYPERLINK("https://rsms.futurehomex.com/lead/40642", "Ernie Nettles")</x:f>
      </x:c>
      <x:c r="B1954" t="n" s="2">
        <x:v>6</x:v>
      </x:c>
      <x:c r="C1954" t="str" s="2">
        <x:v>1/1</x:v>
      </x:c>
      <x:c r="D1954" t="str" s="2">
        <x:f>=""</x:f>
      </x:c>
      <x:c r="E1954" s="0"/>
      <x:c r="F1954" t="str" s="2">
        <x:v>Walk-in</x:v>
      </x:c>
      <x:c r="G1954" t="str" s="2">
        <x:v>Heritage Housing of Jennings</x:v>
      </x:c>
      <x:c r="H1954" t="str" s="2">
        <x:v>Mervin Leslie Smith</x:v>
      </x:c>
      <x:c r="I1954" t="str" s="2">
        <x:v>Karol Romero</x:v>
      </x:c>
      <x:c r="J1954" t="str" s="2">
        <x:v>Mervin Leslie Smith</x:v>
      </x:c>
      <x:c r="K1954" t="n" s="2">
        <x:v>5</x:v>
      </x:c>
      <x:c r="L1954" t="str" s="2">
        <x:v>1.1</x:v>
      </x:c>
      <x:c r="M1954" t="str" s="2">
        <x:v>Active</x:v>
      </x:c>
      <x:c r="N1954" t="str" s="2">
        <x:v>Deal Created</x:v>
      </x:c>
      <x:c r="O1954" s="0"/>
      <x:c r="P1954" s="6">
        <x:v>46302</x:v>
      </x:c>
      <x:c r="Q1954" s="6">
        <x:v>46302.80674818287</x:v>
      </x:c>
      <x:c r="R1954" s="0"/>
      <x:c r="S1954" s="6">
        <x:v>46302</x:v>
      </x:c>
      <x:c r="T1954" s="0"/>
      <x:c r="U1954" s="0"/>
      <x:c r="V1954" s="0"/>
      <x:c r="W1954" s="0"/>
      <x:c r="X1954" t="str" s="2">
        <x:v>3373024743</x:v>
      </x:c>
      <x:c r="Y1954" t="str" s="2">
        <x:v>en@nomail.com</x:v>
      </x:c>
      <x:c r="Z1954" s="6">
        <x:v>46302.80782369213</x:v>
      </x:c>
      <x:c r="AA1954" t="str" s="2">
        <x:v>Mervin Leslie Smith</x:v>
      </x:c>
      <x:c r="AB1954" s="6">
        <x:v>46302.80675023148</x:v>
      </x:c>
      <x:c r="AC1954" t="n" s="2">
        <x:v>40642</x:v>
      </x:c>
      <x:c r="AD1954" s="0"/>
      <x:c r="AE1954" s="0"/>
      <x:c r="AF1954" s="0"/>
      <x:c r="AG1954" s="0"/>
      <x:c r="AH1954" s="0"/>
      <x:c r="AI1954" s="0"/>
      <x:c r="AJ1954" s="0"/>
      <x:c r="AK1954" s="0"/>
    </x:row>
    <x:row r="1955">
      <x:c r="A1955" t="str" s="2">
        <x:f>=HYPERLINK("https://rsms.futurehomex.com/lead/40643", "Kathy Whitfield")</x:f>
      </x:c>
      <x:c r="B1955" t="n" s="2">
        <x:v>6</x:v>
      </x:c>
      <x:c r="C1955" t="str" s="2">
        <x:v>1/1</x:v>
      </x:c>
      <x:c r="D1955" t="str" s="2">
        <x:f>=""</x:f>
      </x:c>
      <x:c r="E1955" s="0"/>
      <x:c r="F1955" t="str" s="2">
        <x:v>Walk-in</x:v>
      </x:c>
      <x:c r="G1955" t="str" s="2">
        <x:v>Heritage Housing of Athens</x:v>
      </x:c>
      <x:c r="H1955" t="str" s="2">
        <x:v>Nathan Bishop</x:v>
      </x:c>
      <x:c r="I1955" s="0"/>
      <x:c r="J1955" s="0"/>
      <x:c r="K1955" t="n" s="2">
        <x:v>5</x:v>
      </x:c>
      <x:c r="L1955" t="str" s="2">
        <x:v>1.1</x:v>
      </x:c>
      <x:c r="M1955" t="str" s="2">
        <x:v>Tentative</x:v>
      </x:c>
      <x:c r="N1955" t="str" s="2">
        <x:v>Prospect</x:v>
      </x:c>
      <x:c r="O1955" s="0"/>
      <x:c r="P1955" s="6">
        <x:v>46302</x:v>
      </x:c>
      <x:c r="Q1955" s="6">
        <x:v>46302.81025621528</x:v>
      </x:c>
      <x:c r="R1955" s="0"/>
      <x:c r="S1955" s="6">
        <x:v>46302</x:v>
      </x:c>
      <x:c r="T1955" s="0"/>
      <x:c r="U1955" s="0"/>
      <x:c r="V1955" s="0"/>
      <x:c r="W1955" s="0"/>
      <x:c r="X1955" t="str" s="2">
        <x:v>7063404107</x:v>
      </x:c>
      <x:c r="Y1955" t="str" s="2">
        <x:v>kjwortham@yahoo.com</x:v>
      </x:c>
      <x:c r="Z1955" s="6">
        <x:v>46302.808452199075</x:v>
      </x:c>
      <x:c r="AA1955" t="str" s="2">
        <x:v>Nathan Bishop</x:v>
      </x:c>
      <x:c r="AB1955" s="6">
        <x:v>46302.80715181713</x:v>
      </x:c>
      <x:c r="AC1955" t="n" s="2">
        <x:v>40643</x:v>
      </x:c>
      <x:c r="AD1955" s="0"/>
      <x:c r="AE1955" s="0"/>
      <x:c r="AF1955" s="0"/>
      <x:c r="AG1955" s="0"/>
      <x:c r="AH1955" s="0"/>
      <x:c r="AI1955" s="0"/>
      <x:c r="AJ1955" s="0"/>
      <x:c r="AK1955" s="0"/>
    </x:row>
    <x:row r="1956">
      <x:c r="A1956" t="str" s="2">
        <x:f>=HYPERLINK("https://rsms.futurehomex.com/lead/40644", "Krystal Sexton")</x:f>
      </x:c>
      <x:c r="B1956" t="n" s="2">
        <x:v>6</x:v>
      </x:c>
      <x:c r="C1956" t="str" s="2">
        <x:v/>
      </x:c>
      <x:c r="D1956" t="str" s="2">
        <x:f>=""</x:f>
      </x:c>
      <x:c r="E1956" s="0"/>
      <x:c r="F1956" t="str" s="2">
        <x:v>Walk-in</x:v>
      </x:c>
      <x:c r="G1956" t="str" s="2">
        <x:v>Heritage Housing of Athens</x:v>
      </x:c>
      <x:c r="H1956" t="str" s="2">
        <x:v>Nathan Bishop</x:v>
      </x:c>
      <x:c r="I1956" s="0"/>
      <x:c r="J1956" s="0"/>
      <x:c r="K1956" t="n" s="2">
        <x:v>5</x:v>
      </x:c>
      <x:c r="L1956" t="str" s="2">
        <x:v>1.1</x:v>
      </x:c>
      <x:c r="M1956" t="str" s="2">
        <x:v>Tentative</x:v>
      </x:c>
      <x:c r="N1956" t="str" s="2">
        <x:v>Prospect</x:v>
      </x:c>
      <x:c r="O1956" s="0"/>
      <x:c r="P1956" s="6">
        <x:v>46302</x:v>
      </x:c>
      <x:c r="Q1956" s="6">
        <x:v>46302.83821241898</x:v>
      </x:c>
      <x:c r="R1956" s="0"/>
      <x:c r="S1956" s="6">
        <x:v>46302</x:v>
      </x:c>
      <x:c r="T1956" s="0"/>
      <x:c r="U1956" s="0"/>
      <x:c r="V1956" s="0"/>
      <x:c r="W1956" s="0"/>
      <x:c r="X1956" t="str" s="2">
        <x:v>7065672648</x:v>
      </x:c>
      <x:c r="Y1956" t="str" s="2">
        <x:v>krystalsexton87@gmail.com</x:v>
      </x:c>
      <x:c r="Z1956" s="6">
        <x:v>46302.906630011574</x:v>
      </x:c>
      <x:c r="AA1956" t="str" s="2">
        <x:v>Nathan Bishop</x:v>
      </x:c>
      <x:c r="AB1956" s="6">
        <x:v>46302.83821284722</x:v>
      </x:c>
      <x:c r="AC1956" t="n" s="2">
        <x:v>40644</x:v>
      </x:c>
      <x:c r="AD1956" s="0"/>
      <x:c r="AE1956" s="0"/>
      <x:c r="AF1956" s="0"/>
      <x:c r="AG1956" s="0"/>
      <x:c r="AH1956" s="0"/>
      <x:c r="AI1956" s="0"/>
      <x:c r="AJ1956" s="0"/>
      <x:c r="AK1956" s="0"/>
    </x:row>
    <x:row r="1957">
      <x:c r="A1957" t="str" s="2">
        <x:f>=HYPERLINK("https://rsms.futurehomex.com/lead/40645", "Mary Longoria")</x:f>
      </x:c>
      <x:c r="B1957" t="n" s="2">
        <x:v>6</x:v>
      </x:c>
      <x:c r="C1957" t="str" s="2">
        <x:v/>
      </x:c>
      <x:c r="D1957" t="str" s="2">
        <x:f>=""</x:f>
      </x:c>
      <x:c r="E1957" s="0"/>
      <x:c r="F1957" t="str" s="2">
        <x:v>Walk-in</x:v>
      </x:c>
      <x:c r="G1957" t="str" s="2">
        <x:v>Heritage Housing of Asheboro</x:v>
      </x:c>
      <x:c r="H1957" t="str" s="2">
        <x:v>Maria Lopez</x:v>
      </x:c>
      <x:c r="I1957" s="0"/>
      <x:c r="J1957" s="0"/>
      <x:c r="K1957" t="n" s="2">
        <x:v>21</x:v>
      </x:c>
      <x:c r="L1957" t="str" s="2">
        <x:v>2.1</x:v>
      </x:c>
      <x:c r="M1957" t="str" s="2">
        <x:v>Tentative</x:v>
      </x:c>
      <x:c r="N1957" t="str" s="2">
        <x:v>Qualified</x:v>
      </x:c>
      <x:c r="O1957" s="0"/>
      <x:c r="P1957" s="6">
        <x:v>46302</x:v>
      </x:c>
      <x:c r="Q1957" s="6">
        <x:v>46304.813433993055</x:v>
      </x:c>
      <x:c r="R1957" s="0"/>
      <x:c r="S1957" s="0"/>
      <x:c r="T1957" s="0"/>
      <x:c r="U1957" s="0"/>
      <x:c r="V1957" s="0"/>
      <x:c r="W1957" s="0"/>
      <x:c r="X1957" t="str" s="2">
        <x:v>3369640994</x:v>
      </x:c>
      <x:c r="Y1957" t="str" s="2">
        <x:v>longoriadelangel@gmail.com</x:v>
      </x:c>
      <x:c r="Z1957" s="6">
        <x:v>46304.813419479164</x:v>
      </x:c>
      <x:c r="AA1957" t="str" s="2">
        <x:v>Jeremy Jacques</x:v>
      </x:c>
      <x:c r="AB1957" s="6">
        <x:v>46302.85184082176</x:v>
      </x:c>
      <x:c r="AC1957" t="n" s="2">
        <x:v>40645</x:v>
      </x:c>
      <x:c r="AD1957" s="0"/>
      <x:c r="AE1957" s="0"/>
      <x:c r="AF1957" s="0"/>
      <x:c r="AG1957" s="0"/>
      <x:c r="AH1957" s="0"/>
      <x:c r="AI1957" s="0"/>
      <x:c r="AJ1957" s="0"/>
      <x:c r="AK1957" s="0"/>
    </x:row>
    <x:row r="1958">
      <x:c r="A1958" t="str" s="2">
        <x:f>=HYPERLINK("https://rsms.futurehomex.com/lead/40646", "Mario Robitson")</x:f>
      </x:c>
      <x:c r="B1958" t="n" s="2">
        <x:v>6</x:v>
      </x:c>
      <x:c r="C1958" t="str" s="2">
        <x:v/>
      </x:c>
      <x:c r="D1958" t="str" s="2">
        <x:f>=""</x:f>
      </x:c>
      <x:c r="E1958" s="0"/>
      <x:c r="F1958" t="str" s="2">
        <x:v>Walk-in</x:v>
      </x:c>
      <x:c r="G1958" t="str" s="2">
        <x:v>Heritage Housing of Oklahoma City</x:v>
      </x:c>
      <x:c r="H1958" t="str" s="2">
        <x:v>Devon McCoy</x:v>
      </x:c>
      <x:c r="I1958" t="str" s="2">
        <x:v>Karol Romero</x:v>
      </x:c>
      <x:c r="J1958" t="str" s="2">
        <x:v>Devon McCoy</x:v>
      </x:c>
      <x:c r="K1958" t="n" s="2">
        <x:v>5</x:v>
      </x:c>
      <x:c r="L1958" t="str" s="2">
        <x:v>1.1</x:v>
      </x:c>
      <x:c r="M1958" t="str" s="2">
        <x:v>Tentative</x:v>
      </x:c>
      <x:c r="N1958" t="str" s="2">
        <x:v>Deal Created</x:v>
      </x:c>
      <x:c r="O1958" s="0"/>
      <x:c r="P1958" s="6">
        <x:v>46302</x:v>
      </x:c>
      <x:c r="Q1958" s="6">
        <x:v>46302.85498105324</x:v>
      </x:c>
      <x:c r="R1958" s="0"/>
      <x:c r="S1958" s="0"/>
      <x:c r="T1958" s="0"/>
      <x:c r="U1958" s="0"/>
      <x:c r="V1958" s="0"/>
      <x:c r="W1958" s="0"/>
      <x:c r="X1958" t="str" s="2">
        <x:v>4053944247</x:v>
      </x:c>
      <x:c r="Y1958" t="str" s="2">
        <x:v>kattlyn.hockman02@gmail.com</x:v>
      </x:c>
      <x:c r="Z1958" s="6">
        <x:v>46302.85575540509</x:v>
      </x:c>
      <x:c r="AA1958" t="str" s="2">
        <x:v>Devon McCoy</x:v>
      </x:c>
      <x:c r="AB1958" s="6">
        <x:v>46302.8549834838</x:v>
      </x:c>
      <x:c r="AC1958" t="n" s="2">
        <x:v>40646</x:v>
      </x:c>
      <x:c r="AD1958" s="0"/>
      <x:c r="AE1958" s="0"/>
      <x:c r="AF1958" s="0"/>
      <x:c r="AG1958" s="0"/>
      <x:c r="AH1958" s="0"/>
      <x:c r="AI1958" s="0"/>
      <x:c r="AJ1958" s="0"/>
      <x:c r="AK1958" s="0"/>
    </x:row>
    <x:row r="1959">
      <x:c r="A1959" t="str" s="2">
        <x:f>=HYPERLINK("https://rsms.futurehomex.com/lead/40650", "Janie Smith")</x:f>
      </x:c>
      <x:c r="B1959" t="n" s="2">
        <x:v>6</x:v>
      </x:c>
      <x:c r="C1959" t="str" s="2">
        <x:v/>
      </x:c>
      <x:c r="D1959" t="str" s="2">
        <x:f>=""</x:f>
      </x:c>
      <x:c r="E1959" s="0"/>
      <x:c r="F1959" t="str" s="2">
        <x:v>Walk-in</x:v>
      </x:c>
      <x:c r="G1959" t="str" s="2">
        <x:v>Heritage Housing of Athens</x:v>
      </x:c>
      <x:c r="H1959" t="str" s="2">
        <x:v>Nathan Bishop</x:v>
      </x:c>
      <x:c r="I1959" s="0"/>
      <x:c r="J1959" s="0"/>
      <x:c r="K1959" t="n" s="2">
        <x:v>5</x:v>
      </x:c>
      <x:c r="L1959" t="str" s="2">
        <x:v>1.1</x:v>
      </x:c>
      <x:c r="M1959" t="str" s="2">
        <x:v>Tentative</x:v>
      </x:c>
      <x:c r="N1959" t="str" s="2">
        <x:v>Prospect</x:v>
      </x:c>
      <x:c r="O1959" s="0"/>
      <x:c r="P1959" s="6">
        <x:v>46302</x:v>
      </x:c>
      <x:c r="Q1959" s="6">
        <x:v>46302.92652137732</x:v>
      </x:c>
      <x:c r="R1959" s="0"/>
      <x:c r="S1959" s="6">
        <x:v>46302</x:v>
      </x:c>
      <x:c r="T1959" s="0"/>
      <x:c r="U1959" s="0"/>
      <x:c r="V1959" s="0"/>
      <x:c r="W1959" s="0"/>
      <x:c r="X1959" t="str" s="2">
        <x:v>7066147776</x:v>
      </x:c>
      <x:c r="Y1959" t="str" s="2">
        <x:v>janie@gmail.com</x:v>
      </x:c>
      <x:c r="Z1959" s="6">
        <x:v>46305.61384510417</x:v>
      </x:c>
      <x:c r="AA1959" t="str" s="2">
        <x:v>Nathan Bishop</x:v>
      </x:c>
      <x:c r="AB1959" s="6">
        <x:v>46302.92652202546</x:v>
      </x:c>
      <x:c r="AC1959" t="n" s="2">
        <x:v>40650</x:v>
      </x:c>
      <x:c r="AD1959" s="0"/>
      <x:c r="AE1959" s="0"/>
      <x:c r="AF1959" s="0"/>
      <x:c r="AG1959" s="0"/>
      <x:c r="AH1959" s="0"/>
      <x:c r="AI1959" s="0"/>
      <x:c r="AJ1959" s="0"/>
      <x:c r="AK1959" s="0"/>
    </x:row>
    <x:row r="1960">
      <x:c r="A1960" t="str" s="2">
        <x:f>=HYPERLINK("https://rsms.futurehomex.com/lead/40651", "Soledad Abner")</x:f>
      </x:c>
      <x:c r="B1960" t="n" s="2">
        <x:v>6</x:v>
      </x:c>
      <x:c r="C1960" t="str" s="2">
        <x:v/>
      </x:c>
      <x:c r="D1960" t="str" s="2">
        <x:f>=""</x:f>
      </x:c>
      <x:c r="E1960" s="0"/>
      <x:c r="F1960" t="str" s="2">
        <x:v>Walk-in</x:v>
      </x:c>
      <x:c r="G1960" t="str" s="2">
        <x:v>Heritage Housing of Augusta</x:v>
      </x:c>
      <x:c r="H1960" t="str" s="2">
        <x:v>Jennifer Johnson</x:v>
      </x:c>
      <x:c r="I1960" s="0"/>
      <x:c r="J1960" t="str" s="2">
        <x:v>Jennifer Johnson</x:v>
      </x:c>
      <x:c r="K1960" t="n" s="2">
        <x:v>38</x:v>
      </x:c>
      <x:c r="L1960" t="str" s="2">
        <x:v>3.2</x:v>
      </x:c>
      <x:c r="M1960" t="str" s="2">
        <x:v>Denied</x:v>
      </x:c>
      <x:c r="N1960" t="str" s="2">
        <x:v>Application</x:v>
      </x:c>
      <x:c r="O1960" s="0"/>
      <x:c r="P1960" s="6">
        <x:v>46302</x:v>
      </x:c>
      <x:c r="Q1960" s="6">
        <x:v>46303.6359380787</x:v>
      </x:c>
      <x:c r="R1960" t="str" s="2">
        <x:v>Jennifer Johnson</x:v>
      </x:c>
      <x:c r="S1960" s="6">
        <x:v>46302</x:v>
      </x:c>
      <x:c r="T1960" s="6">
        <x:v>46303</x:v>
      </x:c>
      <x:c r="U1960" s="6">
        <x:v>46303</x:v>
      </x:c>
      <x:c r="V1960" s="0"/>
      <x:c r="W1960" s="0"/>
      <x:c r="X1960" t="str" s="2">
        <x:v>7622185479</x:v>
      </x:c>
      <x:c r="Y1960" t="str" s="2">
        <x:v>soledadabner@yahoo.com</x:v>
      </x:c>
      <x:c r="Z1960" s="6">
        <x:v>46303.635517476854</x:v>
      </x:c>
      <x:c r="AA1960" t="str" s="2">
        <x:v>Brandie Sartor</x:v>
      </x:c>
      <x:c r="AB1960" s="6">
        <x:v>46302.94380130787</x:v>
      </x:c>
      <x:c r="AC1960" t="n" s="2">
        <x:v>40651</x:v>
      </x:c>
      <x:c r="AD1960" t="str" s="2">
        <x:v>Doublewide</x:v>
      </x:c>
      <x:c r="AE1960" t="str" s="2">
        <x:v>Legacy Housing Corporation</x:v>
      </x:c>
      <x:c r="AF1960" s="7">
        <x:v>15000</x:v>
      </x:c>
      <x:c r="AG1960" s="7">
        <x:v>5000</x:v>
      </x:c>
      <x:c r="AH1960" s="0"/>
      <x:c r="AI1960" t="str" s="2">
        <x:v>625</x:v>
      </x:c>
      <x:c r="AJ1960" s="0"/>
      <x:c r="AK1960" s="0"/>
    </x:row>
    <x:row r="1961">
      <x:c r="A1961" t="str" s="2">
        <x:f>=HYPERLINK("https://rsms.futurehomex.com/lead/40652", "Danielle Hornsby")</x:f>
      </x:c>
      <x:c r="B1961" t="n" s="2">
        <x:v>5</x:v>
      </x:c>
      <x:c r="C1961" t="str" s="2">
        <x:v/>
      </x:c>
      <x:c r="D1961" t="str" s="2">
        <x:f>=""</x:f>
      </x:c>
      <x:c r="E1961" s="0"/>
      <x:c r="F1961" t="str" s="2">
        <x:v>Walk-in</x:v>
      </x:c>
      <x:c r="G1961" t="str" s="2">
        <x:v>Heritage Housing of Athens</x:v>
      </x:c>
      <x:c r="H1961" t="str" s="2">
        <x:v>Nathan Bishop</x:v>
      </x:c>
      <x:c r="I1961" s="0"/>
      <x:c r="J1961" s="0"/>
      <x:c r="K1961" t="n" s="2">
        <x:v>5</x:v>
      </x:c>
      <x:c r="L1961" t="str" s="2">
        <x:v>1.1</x:v>
      </x:c>
      <x:c r="M1961" t="str" s="2">
        <x:v>Tentative</x:v>
      </x:c>
      <x:c r="N1961" t="str" s="2">
        <x:v>Prospect</x:v>
      </x:c>
      <x:c r="O1961" s="0"/>
      <x:c r="P1961" s="6">
        <x:v>46303</x:v>
      </x:c>
      <x:c r="Q1961" s="6">
        <x:v>46303.63649846065</x:v>
      </x:c>
      <x:c r="R1961" s="0"/>
      <x:c r="S1961" s="6">
        <x:v>46303</x:v>
      </x:c>
      <x:c r="T1961" s="0"/>
      <x:c r="U1961" s="0"/>
      <x:c r="V1961" s="0"/>
      <x:c r="W1961" s="0"/>
      <x:c r="X1961" t="str" s="2">
        <x:v>6788586942</x:v>
      </x:c>
      <x:c r="Y1961" t="str" s="2">
        <x:v>djs3302026@gmail.com</x:v>
      </x:c>
      <x:c r="Z1961" s="6">
        <x:v>46303.70042905093</x:v>
      </x:c>
      <x:c r="AA1961" t="str" s="2">
        <x:v>Nathan Bishop</x:v>
      </x:c>
      <x:c r="AB1961" s="6">
        <x:v>46303.59706153935</x:v>
      </x:c>
      <x:c r="AC1961" t="n" s="2">
        <x:v>40652</x:v>
      </x:c>
      <x:c r="AD1961" s="0"/>
      <x:c r="AE1961" s="0"/>
      <x:c r="AF1961" s="0"/>
      <x:c r="AG1961" s="0"/>
      <x:c r="AH1961" s="0"/>
      <x:c r="AI1961" t="str" s="2">
        <x:v>783</x:v>
      </x:c>
      <x:c r="AJ1961" s="0"/>
      <x:c r="AK1961" s="0"/>
    </x:row>
    <x:row r="1962">
      <x:c r="A1962" t="str" s="2">
        <x:f>=HYPERLINK("https://rsms.futurehomex.com/lead/40653", "Tyron Webb")</x:f>
      </x:c>
      <x:c r="B1962" t="n" s="2">
        <x:v>5</x:v>
      </x:c>
      <x:c r="C1962" t="str" s="2">
        <x:v/>
      </x:c>
      <x:c r="D1962" t="str" s="2">
        <x:f>=""</x:f>
      </x:c>
      <x:c r="E1962" s="0"/>
      <x:c r="F1962" t="str" s="2">
        <x:v>Facebook Messenger</x:v>
      </x:c>
      <x:c r="G1962" t="str" s="2">
        <x:v>Heritage Housing of Asheboro</x:v>
      </x:c>
      <x:c r="H1962" t="str" s="2">
        <x:v>Kate Gutierrez</x:v>
      </x:c>
      <x:c r="I1962" s="0"/>
      <x:c r="J1962" t="str" s="2">
        <x:v>Kate Gutierrez</x:v>
      </x:c>
      <x:c r="K1962" t="n" s="2">
        <x:v>21</x:v>
      </x:c>
      <x:c r="L1962" t="str" s="2">
        <x:v>2.1</x:v>
      </x:c>
      <x:c r="M1962" t="str" s="2">
        <x:v>Tentative</x:v>
      </x:c>
      <x:c r="N1962" t="str" s="2">
        <x:v>Qualified</x:v>
      </x:c>
      <x:c r="O1962" s="0"/>
      <x:c r="P1962" s="6">
        <x:v>46303</x:v>
      </x:c>
      <x:c r="Q1962" s="6">
        <x:v>46303.59756721065</x:v>
      </x:c>
      <x:c r="R1962" s="0"/>
      <x:c r="S1962" s="0"/>
      <x:c r="T1962" s="0"/>
      <x:c r="U1962" s="0"/>
      <x:c r="V1962" s="0"/>
      <x:c r="W1962" s="0"/>
      <x:c r="X1962" t="str" s="2">
        <x:v>3363279575</x:v>
      </x:c>
      <x:c r="Y1962" t="str" s="2">
        <x:v>3363279575</x:v>
      </x:c>
      <x:c r="Z1962" s="6">
        <x:v>46304.81179695602</x:v>
      </x:c>
      <x:c r="AA1962" t="str" s="2">
        <x:v>Jeremy Jacques</x:v>
      </x:c>
      <x:c r="AB1962" s="6">
        <x:v>46303.597569178244</x:v>
      </x:c>
      <x:c r="AC1962" t="n" s="2">
        <x:v>40653</x:v>
      </x:c>
      <x:c r="AD1962" s="0"/>
      <x:c r="AE1962" s="0"/>
      <x:c r="AF1962" s="0"/>
      <x:c r="AG1962" s="0"/>
      <x:c r="AH1962" s="0"/>
      <x:c r="AI1962" s="0"/>
      <x:c r="AJ1962" s="0"/>
      <x:c r="AK1962" s="0"/>
    </x:row>
    <x:row r="1963">
      <x:c r="A1963" t="str" s="2">
        <x:f>=HYPERLINK("https://rsms.futurehomex.com/lead/40654", "Emili Daffern")</x:f>
      </x:c>
      <x:c r="B1963" t="n" s="2">
        <x:v>5</x:v>
      </x:c>
      <x:c r="C1963" t="str" s="2">
        <x:v>1/2</x:v>
      </x:c>
      <x:c r="D1963" t="str" s="2">
        <x:f>=""</x:f>
      </x:c>
      <x:c r="E1963" s="0"/>
      <x:c r="F1963" t="str" s="2">
        <x:v>Landing_BPM</x:v>
      </x:c>
      <x:c r="G1963" t="str" s="2">
        <x:v>Heritage Housing of Oklahoma City</x:v>
      </x:c>
      <x:c r="H1963" t="str" s="2">
        <x:v>Alejandra Calderon</x:v>
      </x:c>
      <x:c r="I1963" s="0"/>
      <x:c r="J1963" t="str" s="2">
        <x:v>Alejandra Calderon</x:v>
      </x:c>
      <x:c r="K1963" t="n" s="2">
        <x:v>5</x:v>
      </x:c>
      <x:c r="L1963" t="str" s="2">
        <x:v>1.1</x:v>
      </x:c>
      <x:c r="M1963" t="str" s="2">
        <x:v>Tentative</x:v>
      </x:c>
      <x:c r="N1963" t="str" s="2">
        <x:v>Deal Created</x:v>
      </x:c>
      <x:c r="O1963" s="0"/>
      <x:c r="P1963" s="6">
        <x:v>46303</x:v>
      </x:c>
      <x:c r="Q1963" s="6">
        <x:v>46303.611567708336</x:v>
      </x:c>
      <x:c r="R1963" s="0"/>
      <x:c r="S1963" s="0"/>
      <x:c r="T1963" s="0"/>
      <x:c r="U1963" s="0"/>
      <x:c r="V1963" s="0"/>
      <x:c r="W1963" s="0"/>
      <x:c r="X1963" t="str" s="2">
        <x:v>5803991697</x:v>
      </x:c>
      <x:c r="Y1963" t="str" s="2">
        <x:v>emili.daffern@yahoo.com</x:v>
      </x:c>
      <x:c r="Z1963" s="6">
        <x:v>46303.611794247685</x:v>
      </x:c>
      <x:c r="AA1963" t="str" s="2">
        <x:v>Alejandra Calderon</x:v>
      </x:c>
      <x:c r="AB1963" s="6">
        <x:v>46303.608552199075</x:v>
      </x:c>
      <x:c r="AC1963" t="n" s="2">
        <x:v>40654</x:v>
      </x:c>
      <x:c r="AD1963" s="0"/>
      <x:c r="AE1963" s="0"/>
      <x:c r="AF1963" s="0"/>
      <x:c r="AG1963" s="0"/>
      <x:c r="AH1963" s="0"/>
      <x:c r="AI1963" s="0"/>
      <x:c r="AJ1963" s="0"/>
      <x:c r="AK1963" s="0"/>
    </x:row>
    <x:row r="1964">
      <x:c r="A1964" t="str" s="2">
        <x:f>=HYPERLINK("https://rsms.futurehomex.com/lead/40655", "Amy Smotherman")</x:f>
      </x:c>
      <x:c r="B1964" t="n" s="2">
        <x:v>5</x:v>
      </x:c>
      <x:c r="C1964" t="str" s="2">
        <x:v>1/1</x:v>
      </x:c>
      <x:c r="D1964" t="str" s="2">
        <x:f>=""</x:f>
      </x:c>
      <x:c r="E1964" s="0"/>
      <x:c r="F1964" t="str" s="2">
        <x:v>Financing Form</x:v>
      </x:c>
      <x:c r="G1964" t="str" s="2">
        <x:v>Heritage Housing of Oklahoma City</x:v>
      </x:c>
      <x:c r="H1964" t="str" s="2">
        <x:v>Steve Castell</x:v>
      </x:c>
      <x:c r="I1964" s="0"/>
      <x:c r="J1964" t="str" s="2">
        <x:v>Steve Castell</x:v>
      </x:c>
      <x:c r="K1964" t="n" s="2">
        <x:v>5</x:v>
      </x:c>
      <x:c r="L1964" t="str" s="2">
        <x:v>1.1</x:v>
      </x:c>
      <x:c r="M1964" t="str" s="2">
        <x:v>Tentative</x:v>
      </x:c>
      <x:c r="N1964" t="str" s="2">
        <x:v>Deal Created</x:v>
      </x:c>
      <x:c r="O1964" s="0"/>
      <x:c r="P1964" s="6">
        <x:v>46303</x:v>
      </x:c>
      <x:c r="Q1964" s="6">
        <x:v>46303.61259741898</x:v>
      </x:c>
      <x:c r="R1964" s="0"/>
      <x:c r="S1964" s="0"/>
      <x:c r="T1964" s="0"/>
      <x:c r="U1964" s="0"/>
      <x:c r="V1964" s="0"/>
      <x:c r="W1964" s="0"/>
      <x:c r="X1964" t="str" s="2">
        <x:v>5736044326</x:v>
      </x:c>
      <x:c r="Y1964" t="str" s="2">
        <x:v>amysmotherman180@gmail.com</x:v>
      </x:c>
      <x:c r="Z1964" s="6">
        <x:v>46303.61313503472</x:v>
      </x:c>
      <x:c r="AA1964" t="str" s="2">
        <x:v>Steve Castell</x:v>
      </x:c>
      <x:c r="AB1964" s="6">
        <x:v>46303.61259795139</x:v>
      </x:c>
      <x:c r="AC1964" t="n" s="2">
        <x:v>40655</x:v>
      </x:c>
      <x:c r="AD1964" s="0"/>
      <x:c r="AE1964" s="0"/>
      <x:c r="AF1964" s="0"/>
      <x:c r="AG1964" s="0"/>
      <x:c r="AH1964" s="0"/>
      <x:c r="AI1964" s="0"/>
      <x:c r="AJ1964" s="0"/>
      <x:c r="AK1964" s="0"/>
    </x:row>
    <x:row r="1965">
      <x:c r="A1965" t="str" s="2">
        <x:f>=HYPERLINK("https://rsms.futurehomex.com/lead/40656", "Nichole Samuels")</x:f>
      </x:c>
      <x:c r="B1965" t="n" s="2">
        <x:v>5</x:v>
      </x:c>
      <x:c r="C1965" t="str" s="2">
        <x:v/>
      </x:c>
      <x:c r="D1965" t="str" s="2">
        <x:f>=""</x:f>
      </x:c>
      <x:c r="E1965" s="0"/>
      <x:c r="F1965" t="str" s="2">
        <x:v>Landing_BPM</x:v>
      </x:c>
      <x:c r="G1965" t="str" s="2">
        <x:v>Heritage Housing of Oklahoma City</x:v>
      </x:c>
      <x:c r="H1965" t="str" s="2">
        <x:v>Steve Castell</x:v>
      </x:c>
      <x:c r="I1965" s="0"/>
      <x:c r="J1965" t="str" s="2">
        <x:v>Steve Castell</x:v>
      </x:c>
      <x:c r="K1965" t="n" s="2">
        <x:v>5</x:v>
      </x:c>
      <x:c r="L1965" t="str" s="2">
        <x:v>1.1</x:v>
      </x:c>
      <x:c r="M1965" t="str" s="2">
        <x:v>Tentative</x:v>
      </x:c>
      <x:c r="N1965" t="str" s="2">
        <x:v>Deal Created</x:v>
      </x:c>
      <x:c r="O1965" s="0"/>
      <x:c r="P1965" s="6">
        <x:v>46303</x:v>
      </x:c>
      <x:c r="Q1965" s="6">
        <x:v>46303.61465246528</x:v>
      </x:c>
      <x:c r="R1965" s="0"/>
      <x:c r="S1965" s="0"/>
      <x:c r="T1965" s="0"/>
      <x:c r="U1965" s="0"/>
      <x:c r="V1965" s="0"/>
      <x:c r="W1965" s="0"/>
      <x:c r="X1965" t="str" s="2">
        <x:v>4054394180</x:v>
      </x:c>
      <x:c r="Y1965" t="str" s="2">
        <x:v>nicholenikki373@gmail.com</x:v>
      </x:c>
      <x:c r="Z1965" s="6">
        <x:v>46303.61676527778</x:v>
      </x:c>
      <x:c r="AA1965" t="str" s="2">
        <x:v>Steve Castell</x:v>
      </x:c>
      <x:c r="AB1965" s="6">
        <x:v>46303.61465315972</x:v>
      </x:c>
      <x:c r="AC1965" t="n" s="2">
        <x:v>40656</x:v>
      </x:c>
      <x:c r="AD1965" s="0"/>
      <x:c r="AE1965" s="0"/>
      <x:c r="AF1965" s="0"/>
      <x:c r="AG1965" s="0"/>
      <x:c r="AH1965" s="0"/>
      <x:c r="AI1965" s="0"/>
      <x:c r="AJ1965" s="0"/>
      <x:c r="AK1965" s="0"/>
    </x:row>
    <x:row r="1966">
      <x:c r="A1966" t="str" s="2">
        <x:f>=HYPERLINK("https://rsms.futurehomex.com/lead/40657", "Heather Leach")</x:f>
      </x:c>
      <x:c r="B1966" t="n" s="2">
        <x:v>5</x:v>
      </x:c>
      <x:c r="C1966" t="str" s="2">
        <x:v/>
      </x:c>
      <x:c r="D1966" t="str" s="2">
        <x:f>=""</x:f>
      </x:c>
      <x:c r="E1966" s="0"/>
      <x:c r="F1966" t="str" s="2">
        <x:v>Meta Ads - Messenger</x:v>
      </x:c>
      <x:c r="G1966" t="str" s="2">
        <x:v>Heritage Housing of Asheboro</x:v>
      </x:c>
      <x:c r="H1966" t="str" s="2">
        <x:v>Kate Gutierrez</x:v>
      </x:c>
      <x:c r="I1966" s="0"/>
      <x:c r="J1966" t="str" s="2">
        <x:v>Kate Gutierrez</x:v>
      </x:c>
      <x:c r="K1966" t="n" s="2">
        <x:v>21</x:v>
      </x:c>
      <x:c r="L1966" t="str" s="2">
        <x:v>2.1</x:v>
      </x:c>
      <x:c r="M1966" t="str" s="2">
        <x:v>Tentative</x:v>
      </x:c>
      <x:c r="N1966" t="str" s="2">
        <x:v>Qualified</x:v>
      </x:c>
      <x:c r="O1966" s="0"/>
      <x:c r="P1966" s="6">
        <x:v>46303</x:v>
      </x:c>
      <x:c r="Q1966" s="6">
        <x:v>46304.63464309028</x:v>
      </x:c>
      <x:c r="R1966" s="0"/>
      <x:c r="S1966" s="0"/>
      <x:c r="T1966" s="0"/>
      <x:c r="U1966" s="0"/>
      <x:c r="V1966" s="0"/>
      <x:c r="W1966" s="0"/>
      <x:c r="X1966" t="str" s="2">
        <x:v>9109189256</x:v>
      </x:c>
      <x:c r="Y1966" t="str" s="2">
        <x:v>9109189256</x:v>
      </x:c>
      <x:c r="Z1966" s="6">
        <x:v>46304.81206921296</x:v>
      </x:c>
      <x:c r="AA1966" t="str" s="2">
        <x:v>Jeremy Jacques</x:v>
      </x:c>
      <x:c r="AB1966" s="6">
        <x:v>46303.62630462963</x:v>
      </x:c>
      <x:c r="AC1966" t="n" s="2">
        <x:v>40657</x:v>
      </x:c>
      <x:c r="AD1966" s="0"/>
      <x:c r="AE1966" s="0"/>
      <x:c r="AF1966" s="0"/>
      <x:c r="AG1966" s="0"/>
      <x:c r="AH1966" s="0"/>
      <x:c r="AI1966" s="0"/>
      <x:c r="AJ1966" s="0"/>
      <x:c r="AK1966" s="0"/>
    </x:row>
    <x:row r="1967">
      <x:c r="A1967" t="str" s="2">
        <x:f>=HYPERLINK("https://rsms.futurehomex.com/lead/40658", "Whitney Carey")</x:f>
      </x:c>
      <x:c r="B1967" t="n" s="2">
        <x:v>5</x:v>
      </x:c>
      <x:c r="C1967" t="str" s="2">
        <x:v/>
      </x:c>
      <x:c r="D1967" t="str" s="2">
        <x:f>=""</x:f>
      </x:c>
      <x:c r="E1967" s="0"/>
      <x:c r="F1967" t="str" s="2">
        <x:v>Walk-in</x:v>
      </x:c>
      <x:c r="G1967" t="str" s="2">
        <x:v>Heritage Housing of Athens</x:v>
      </x:c>
      <x:c r="H1967" t="str" s="2">
        <x:v>Ethan Fossett</x:v>
      </x:c>
      <x:c r="I1967" s="0"/>
      <x:c r="J1967" s="0"/>
      <x:c r="K1967" t="n" s="2">
        <x:v>5</x:v>
      </x:c>
      <x:c r="L1967" t="str" s="2">
        <x:v>1.1</x:v>
      </x:c>
      <x:c r="M1967" t="str" s="2">
        <x:v>Tentative</x:v>
      </x:c>
      <x:c r="N1967" t="str" s="2">
        <x:v>Prospect</x:v>
      </x:c>
      <x:c r="O1967" s="0"/>
      <x:c r="P1967" s="6">
        <x:v>46303</x:v>
      </x:c>
      <x:c r="Q1967" s="6">
        <x:v>46303.64471851852</x:v>
      </x:c>
      <x:c r="R1967" s="0"/>
      <x:c r="S1967" s="0"/>
      <x:c r="T1967" s="0"/>
      <x:c r="U1967" s="0"/>
      <x:c r="V1967" s="0"/>
      <x:c r="W1967" s="0"/>
      <x:c r="X1967" t="str" s="2">
        <x:v>7065404023</x:v>
      </x:c>
      <x:c r="Y1967" t="str" s="2">
        <x:v>wgbrady1181@gmail.com</x:v>
      </x:c>
      <x:c r="Z1967" s="6">
        <x:v>46304.62267665509</x:v>
      </x:c>
      <x:c r="AA1967" t="str" s="2">
        <x:v>Ethan Fossett</x:v>
      </x:c>
      <x:c r="AB1967" s="6">
        <x:v>46303.6447190625</x:v>
      </x:c>
      <x:c r="AC1967" t="n" s="2">
        <x:v>40658</x:v>
      </x:c>
      <x:c r="AD1967" s="0"/>
      <x:c r="AE1967" s="0"/>
      <x:c r="AF1967" s="0"/>
      <x:c r="AG1967" s="0"/>
      <x:c r="AH1967" s="0"/>
      <x:c r="AI1967" s="0"/>
      <x:c r="AJ1967" s="0"/>
      <x:c r="AK1967" s="0"/>
    </x:row>
    <x:row r="1968">
      <x:c r="A1968" t="str" s="2">
        <x:f>=HYPERLINK("https://rsms.futurehomex.com/lead/40660", "Christopher Lohman")</x:f>
      </x:c>
      <x:c r="B1968" t="n" s="2">
        <x:v>5</x:v>
      </x:c>
      <x:c r="C1968" t="str" s="2">
        <x:v>1/1</x:v>
      </x:c>
      <x:c r="D1968" t="str" s="2">
        <x:f>=""</x:f>
      </x:c>
      <x:c r="E1968" s="0"/>
      <x:c r="F1968" t="str" s="2">
        <x:v>Landing_BPM</x:v>
      </x:c>
      <x:c r="G1968" t="str" s="2">
        <x:v>Heritage Housing of Oklahoma City</x:v>
      </x:c>
      <x:c r="H1968" t="str" s="2">
        <x:v>Trey Rixleben</x:v>
      </x:c>
      <x:c r="I1968" s="0"/>
      <x:c r="J1968" t="str" s="2">
        <x:v>Trey Rixleben</x:v>
      </x:c>
      <x:c r="K1968" t="n" s="2">
        <x:v>5</x:v>
      </x:c>
      <x:c r="L1968" t="str" s="2">
        <x:v>1.1</x:v>
      </x:c>
      <x:c r="M1968" t="str" s="2">
        <x:v>Tentative</x:v>
      </x:c>
      <x:c r="N1968" t="str" s="2">
        <x:v>Deal Created</x:v>
      </x:c>
      <x:c r="O1968" s="0"/>
      <x:c r="P1968" s="6">
        <x:v>46303</x:v>
      </x:c>
      <x:c r="Q1968" s="6">
        <x:v>46303.65710783565</x:v>
      </x:c>
      <x:c r="R1968" s="0"/>
      <x:c r="S1968" s="0"/>
      <x:c r="T1968" s="0"/>
      <x:c r="U1968" s="0"/>
      <x:c r="V1968" s="0"/>
      <x:c r="W1968" s="0"/>
      <x:c r="X1968" t="str" s="2">
        <x:v>4059154983</x:v>
      </x:c>
      <x:c r="Y1968" t="str" s="2">
        <x:v>ltlohm28@gmail.com</x:v>
      </x:c>
      <x:c r="Z1968" s="6">
        <x:v>46303.659178622685</x:v>
      </x:c>
      <x:c r="AA1968" t="str" s="2">
        <x:v>Trey Rixleben</x:v>
      </x:c>
      <x:c r="AB1968" s="6">
        <x:v>46303.65674074074</x:v>
      </x:c>
      <x:c r="AC1968" t="n" s="2">
        <x:v>40660</x:v>
      </x:c>
      <x:c r="AD1968" s="0"/>
      <x:c r="AE1968" s="0"/>
      <x:c r="AF1968" s="0"/>
      <x:c r="AG1968" s="0"/>
      <x:c r="AH1968" s="0"/>
      <x:c r="AI1968" s="0"/>
      <x:c r="AJ1968" s="0"/>
      <x:c r="AK1968" s="0"/>
    </x:row>
    <x:row r="1969">
      <x:c r="A1969" t="str" s="2">
        <x:f>=HYPERLINK("https://rsms.futurehomex.com/lead/40661", "Lourdes Jaquez")</x:f>
      </x:c>
      <x:c r="B1969" t="n" s="2">
        <x:v>5</x:v>
      </x:c>
      <x:c r="C1969" t="str" s="2">
        <x:v>0/1</x:v>
      </x:c>
      <x:c r="D1969" t="str" s="2">
        <x:f>=""</x:f>
      </x:c>
      <x:c r="E1969" s="0"/>
      <x:c r="F1969" t="str" s="2">
        <x:v>Meta Ads - Forms</x:v>
      </x:c>
      <x:c r="G1969" t="str" s="2">
        <x:v>Heritage Housing of Oklahoma City</x:v>
      </x:c>
      <x:c r="H1969" t="str" s="2">
        <x:v>Trey Rixleben</x:v>
      </x:c>
      <x:c r="I1969" s="0"/>
      <x:c r="J1969" t="str" s="2">
        <x:v>Trey Rixleben</x:v>
      </x:c>
      <x:c r="K1969" t="n" s="2">
        <x:v>5</x:v>
      </x:c>
      <x:c r="L1969" t="str" s="2">
        <x:v>1.1</x:v>
      </x:c>
      <x:c r="M1969" t="str" s="2">
        <x:v>Dead</x:v>
      </x:c>
      <x:c r="N1969" t="str" s="2">
        <x:v>Deal Created</x:v>
      </x:c>
      <x:c r="O1969" s="0"/>
      <x:c r="P1969" s="6">
        <x:v>46303</x:v>
      </x:c>
      <x:c r="Q1969" s="6">
        <x:v>46303.6600871875</x:v>
      </x:c>
      <x:c r="R1969" s="0"/>
      <x:c r="S1969" s="0"/>
      <x:c r="T1969" s="0"/>
      <x:c r="U1969" s="0"/>
      <x:c r="V1969" s="0"/>
      <x:c r="W1969" s="0"/>
      <x:c r="X1969" t="str" s="2">
        <x:v>4054855432</x:v>
      </x:c>
      <x:c r="Y1969" t="str" s="2">
        <x:v>lourwomen@gmail.com</x:v>
      </x:c>
      <x:c r="Z1969" s="6">
        <x:v>46303.88890752315</x:v>
      </x:c>
      <x:c r="AA1969" t="str" s="2">
        <x:v>Richard Bell</x:v>
      </x:c>
      <x:c r="AB1969" s="6">
        <x:v>46303.659860914355</x:v>
      </x:c>
      <x:c r="AC1969" t="n" s="2">
        <x:v>40661</x:v>
      </x:c>
      <x:c r="AD1969" s="0"/>
      <x:c r="AE1969" s="0"/>
      <x:c r="AF1969" s="0"/>
      <x:c r="AG1969" s="0"/>
      <x:c r="AH1969" s="0"/>
      <x:c r="AI1969" s="0"/>
      <x:c r="AJ1969" s="0"/>
      <x:c r="AK1969" s="0"/>
    </x:row>
    <x:row r="1970">
      <x:c r="A1970" t="str" s="2">
        <x:f>=HYPERLINK("https://rsms.futurehomex.com/lead/40662", "Felicia Cormier")</x:f>
      </x:c>
      <x:c r="B1970" t="n" s="2">
        <x:v>5</x:v>
      </x:c>
      <x:c r="C1970" t="str" s="2">
        <x:v/>
      </x:c>
      <x:c r="D1970" t="str" s="2">
        <x:f>=""</x:f>
      </x:c>
      <x:c r="E1970" s="0"/>
      <x:c r="F1970" t="str" s="2">
        <x:v>Walk-in</x:v>
      </x:c>
      <x:c r="G1970" t="str" s="2">
        <x:v>Heritage Housing of Asheboro</x:v>
      </x:c>
      <x:c r="H1970" t="str" s="2">
        <x:v>Kate Gutierrez</x:v>
      </x:c>
      <x:c r="I1970" s="0"/>
      <x:c r="J1970" s="0"/>
      <x:c r="K1970" t="n" s="2">
        <x:v>21</x:v>
      </x:c>
      <x:c r="L1970" t="str" s="2">
        <x:v>2.1</x:v>
      </x:c>
      <x:c r="M1970" t="str" s="2">
        <x:v>Tentative</x:v>
      </x:c>
      <x:c r="N1970" t="str" s="2">
        <x:v>Qualified</x:v>
      </x:c>
      <x:c r="O1970" s="0"/>
      <x:c r="P1970" s="6">
        <x:v>46303</x:v>
      </x:c>
      <x:c r="Q1970" s="6">
        <x:v>46304.81229490741</x:v>
      </x:c>
      <x:c r="R1970" s="0"/>
      <x:c r="S1970" s="0"/>
      <x:c r="T1970" s="0"/>
      <x:c r="U1970" s="0"/>
      <x:c r="V1970" s="0"/>
      <x:c r="W1970" s="0"/>
      <x:c r="X1970" t="str" s="2">
        <x:v>3524311201</x:v>
      </x:c>
      <x:c r="Y1970" t="str" s="2">
        <x:v>feliciacormier@gmail.com</x:v>
      </x:c>
      <x:c r="Z1970" s="6">
        <x:v>46304.81228333333</x:v>
      </x:c>
      <x:c r="AA1970" t="str" s="2">
        <x:v>Jeremy Jacques</x:v>
      </x:c>
      <x:c r="AB1970" s="6">
        <x:v>46303.66559267361</x:v>
      </x:c>
      <x:c r="AC1970" t="n" s="2">
        <x:v>40662</x:v>
      </x:c>
      <x:c r="AD1970" s="0"/>
      <x:c r="AE1970" s="0"/>
      <x:c r="AF1970" s="0"/>
      <x:c r="AG1970" s="0"/>
      <x:c r="AH1970" s="0"/>
      <x:c r="AI1970" s="0"/>
      <x:c r="AJ1970" s="0"/>
      <x:c r="AK1970" s="0"/>
    </x:row>
    <x:row r="1971">
      <x:c r="A1971" t="str" s="2">
        <x:f>=HYPERLINK("https://rsms.futurehomex.com/lead/40663", "Sherri Johnston")</x:f>
      </x:c>
      <x:c r="B1971" t="n" s="2">
        <x:v>5</x:v>
      </x:c>
      <x:c r="C1971" t="str" s="2">
        <x:v/>
      </x:c>
      <x:c r="D1971" t="str" s="2">
        <x:f>=""</x:f>
      </x:c>
      <x:c r="E1971" s="0"/>
      <x:c r="F1971" t="str" s="2">
        <x:v>Website</x:v>
      </x:c>
      <x:c r="G1971" t="str" s="2">
        <x:v>Heritage Housing of Tulsa</x:v>
      </x:c>
      <x:c r="H1971" t="str" s="2">
        <x:v>Jenna Fransisco</x:v>
      </x:c>
      <x:c r="I1971" t="str" s="2">
        <x:v>Karol Romero</x:v>
      </x:c>
      <x:c r="J1971" s="0"/>
      <x:c r="K1971" t="n" s="2">
        <x:v>5</x:v>
      </x:c>
      <x:c r="L1971" t="str" s="2">
        <x:v>1.1</x:v>
      </x:c>
      <x:c r="M1971" t="str" s="2">
        <x:v>Tentative</x:v>
      </x:c>
      <x:c r="N1971" t="str" s="2">
        <x:v>Prospect</x:v>
      </x:c>
      <x:c r="O1971" s="0"/>
      <x:c r="P1971" s="6">
        <x:v>46303</x:v>
      </x:c>
      <x:c r="Q1971" s="6">
        <x:v>46303.691881516206</x:v>
      </x:c>
      <x:c r="R1971" s="0"/>
      <x:c r="S1971" s="0"/>
      <x:c r="T1971" s="0"/>
      <x:c r="U1971" s="0"/>
      <x:c r="V1971" s="0"/>
      <x:c r="W1971" s="0"/>
      <x:c r="X1971" t="str" s="2">
        <x:v>9185067411</x:v>
      </x:c>
      <x:c r="Y1971" t="str" s="2">
        <x:v>sherbear0959@gmail.com</x:v>
      </x:c>
      <x:c r="Z1971" s="0"/>
      <x:c r="AA1971" s="0"/>
      <x:c r="AB1971" s="6">
        <x:v>46303.691883252315</x:v>
      </x:c>
      <x:c r="AC1971" t="n" s="2">
        <x:v>40663</x:v>
      </x:c>
      <x:c r="AD1971" s="0"/>
      <x:c r="AE1971" s="0"/>
      <x:c r="AF1971" s="0"/>
      <x:c r="AG1971" s="0"/>
      <x:c r="AH1971" s="0"/>
      <x:c r="AI1971" s="0"/>
      <x:c r="AJ1971" s="0"/>
      <x:c r="AK1971" s="0"/>
    </x:row>
    <x:row r="1972">
      <x:c r="A1972" t="str" s="2">
        <x:f>=HYPERLINK("https://rsms.futurehomex.com/lead/40664", "Roy Wilkerson")</x:f>
      </x:c>
      <x:c r="B1972" t="n" s="2">
        <x:v>5</x:v>
      </x:c>
      <x:c r="C1972" t="str" s="2">
        <x:v/>
      </x:c>
      <x:c r="D1972" t="str" s="2">
        <x:f>=""</x:f>
      </x:c>
      <x:c r="E1972" s="0"/>
      <x:c r="F1972" t="str" s="2">
        <x:v>Referrals</x:v>
      </x:c>
      <x:c r="G1972" t="str" s="2">
        <x:v>Heritage Housing of Minden</x:v>
      </x:c>
      <x:c r="H1972" t="str" s="2">
        <x:v>Patrick Schuchart</x:v>
      </x:c>
      <x:c r="I1972" t="str" s="2">
        <x:v>Karol Romero</x:v>
      </x:c>
      <x:c r="J1972" t="str" s="2">
        <x:v>Patrick Schuchart</x:v>
      </x:c>
      <x:c r="K1972" t="n" s="2">
        <x:v>5</x:v>
      </x:c>
      <x:c r="L1972" t="str" s="2">
        <x:v>1.1</x:v>
      </x:c>
      <x:c r="M1972" t="str" s="2">
        <x:v>Dead</x:v>
      </x:c>
      <x:c r="N1972" t="str" s="2">
        <x:v>Deal Created</x:v>
      </x:c>
      <x:c r="O1972" s="0"/>
      <x:c r="P1972" s="6">
        <x:v>46303</x:v>
      </x:c>
      <x:c r="Q1972" s="6">
        <x:v>46303.69364077546</x:v>
      </x:c>
      <x:c r="R1972" t="str" s="2">
        <x:v>Patrick Schuchart</x:v>
      </x:c>
      <x:c r="S1972" s="0"/>
      <x:c r="T1972" s="0"/>
      <x:c r="U1972" s="0"/>
      <x:c r="V1972" s="0"/>
      <x:c r="W1972" s="0"/>
      <x:c r="X1972" t="str" s="2">
        <x:v>3188413264</x:v>
      </x:c>
      <x:c r="Y1972" t="str" s="2">
        <x:v>3188413264</x:v>
      </x:c>
      <x:c r="Z1972" s="0"/>
      <x:c r="AA1972" s="0"/>
      <x:c r="AB1972" s="6">
        <x:v>46303.693642210645</x:v>
      </x:c>
      <x:c r="AC1972" t="n" s="2">
        <x:v>40664</x:v>
      </x:c>
      <x:c r="AD1972" s="0"/>
      <x:c r="AE1972" s="0"/>
      <x:c r="AF1972" s="0"/>
      <x:c r="AG1972" s="0"/>
      <x:c r="AH1972" s="0"/>
      <x:c r="AI1972" s="0"/>
      <x:c r="AJ1972" s="0"/>
      <x:c r="AK1972" s="0"/>
    </x:row>
    <x:row r="1973">
      <x:c r="A1973" t="str" s="2">
        <x:f>=HYPERLINK("https://rsms.futurehomex.com/lead/40665", "Eli Parker")</x:f>
      </x:c>
      <x:c r="B1973" t="n" s="2">
        <x:v>5</x:v>
      </x:c>
      <x:c r="C1973" t="str" s="2">
        <x:v>1/1</x:v>
      </x:c>
      <x:c r="D1973" t="str" s="2">
        <x:f>=""</x:f>
      </x:c>
      <x:c r="E1973" s="0"/>
      <x:c r="F1973" t="str" s="2">
        <x:v>Walk-in</x:v>
      </x:c>
      <x:c r="G1973" t="str" s="2">
        <x:v>Legacy Housing Corp. DBA Americasa</x:v>
      </x:c>
      <x:c r="H1973" t="str" s="2">
        <x:v>Joey Marquez</x:v>
      </x:c>
      <x:c r="I1973" s="0"/>
      <x:c r="J1973" t="str" s="2">
        <x:v>Joey Marquez</x:v>
      </x:c>
      <x:c r="K1973" t="n" s="2">
        <x:v>5</x:v>
      </x:c>
      <x:c r="L1973" t="str" s="2">
        <x:v>1.1</x:v>
      </x:c>
      <x:c r="M1973" t="str" s="2">
        <x:v>Tentative</x:v>
      </x:c>
      <x:c r="N1973" t="str" s="2">
        <x:v>Deal Created</x:v>
      </x:c>
      <x:c r="O1973" s="0"/>
      <x:c r="P1973" s="6">
        <x:v>46303</x:v>
      </x:c>
      <x:c r="Q1973" s="6">
        <x:v>46303.7056065162</x:v>
      </x:c>
      <x:c r="R1973" s="0"/>
      <x:c r="S1973" s="0"/>
      <x:c r="T1973" s="0"/>
      <x:c r="U1973" s="0"/>
      <x:c r="V1973" s="0"/>
      <x:c r="W1973" s="0"/>
      <x:c r="X1973" t="str" s="2">
        <x:v>7138635482</x:v>
      </x:c>
      <x:c r="Y1973" t="str" s="2">
        <x:v>7138635482</x:v>
      </x:c>
      <x:c r="Z1973" s="6">
        <x:v>46303.7245809375</x:v>
      </x:c>
      <x:c r="AA1973" t="str" s="2">
        <x:v>Joey Marquez</x:v>
      </x:c>
      <x:c r="AB1973" s="6">
        <x:v>46303.705608020835</x:v>
      </x:c>
      <x:c r="AC1973" t="n" s="2">
        <x:v>40665</x:v>
      </x:c>
      <x:c r="AD1973" s="0"/>
      <x:c r="AE1973" s="0"/>
      <x:c r="AF1973" s="0"/>
      <x:c r="AG1973" s="0"/>
      <x:c r="AH1973" s="0"/>
      <x:c r="AI1973" s="0"/>
      <x:c r="AJ1973" s="0"/>
      <x:c r="AK1973" s="0"/>
    </x:row>
    <x:row r="1974">
      <x:c r="A1974" t="str" s="2">
        <x:f>=HYPERLINK("https://rsms.futurehomex.com/lead/40666", "Amanda Kloes")</x:f>
      </x:c>
      <x:c r="B1974" t="n" s="2">
        <x:v>5</x:v>
      </x:c>
      <x:c r="C1974" t="str" s="2">
        <x:v/>
      </x:c>
      <x:c r="D1974" t="str" s="2">
        <x:f>=""</x:f>
      </x:c>
      <x:c r="E1974" s="0"/>
      <x:c r="F1974" t="str" s="2">
        <x:v>Walk-in</x:v>
      </x:c>
      <x:c r="G1974" t="str" s="2">
        <x:v>Heritage Housing of Athens</x:v>
      </x:c>
      <x:c r="H1974" t="str" s="2">
        <x:v>Ethan Fossett</x:v>
      </x:c>
      <x:c r="I1974" s="0"/>
      <x:c r="J1974" s="0"/>
      <x:c r="K1974" t="n" s="2">
        <x:v>5</x:v>
      </x:c>
      <x:c r="L1974" t="str" s="2">
        <x:v>1.1</x:v>
      </x:c>
      <x:c r="M1974" t="str" s="2">
        <x:v>Tentative</x:v>
      </x:c>
      <x:c r="N1974" t="str" s="2">
        <x:v>Prospect</x:v>
      </x:c>
      <x:c r="O1974" s="0"/>
      <x:c r="P1974" s="6">
        <x:v>46303</x:v>
      </x:c>
      <x:c r="Q1974" s="6">
        <x:v>46303.70858078704</x:v>
      </x:c>
      <x:c r="R1974" s="0"/>
      <x:c r="S1974" s="0"/>
      <x:c r="T1974" s="0"/>
      <x:c r="U1974" s="0"/>
      <x:c r="V1974" s="0"/>
      <x:c r="W1974" s="0"/>
      <x:c r="X1974" t="str" s="2">
        <x:v>7066803888</x:v>
      </x:c>
      <x:c r="Y1974" t="str" s="2">
        <x:v>amandakloes@gmail.com</x:v>
      </x:c>
      <x:c r="Z1974" s="0"/>
      <x:c r="AA1974" s="0"/>
      <x:c r="AB1974" s="6">
        <x:v>46303.70858128472</x:v>
      </x:c>
      <x:c r="AC1974" t="n" s="2">
        <x:v>40666</x:v>
      </x:c>
      <x:c r="AD1974" s="0"/>
      <x:c r="AE1974" s="0"/>
      <x:c r="AF1974" s="0"/>
      <x:c r="AG1974" s="0"/>
      <x:c r="AH1974" s="0"/>
      <x:c r="AI1974" s="0"/>
      <x:c r="AJ1974" s="0"/>
      <x:c r="AK1974" s="0"/>
    </x:row>
    <x:row r="1975">
      <x:c r="A1975" t="str" s="2">
        <x:f>=HYPERLINK("https://rsms.futurehomex.com/lead/40669", "Kelsey White")</x:f>
      </x:c>
      <x:c r="B1975" t="n" s="2">
        <x:v>5</x:v>
      </x:c>
      <x:c r="C1975" t="str" s="2">
        <x:v>0/1</x:v>
      </x:c>
      <x:c r="D1975" t="str" s="2">
        <x:f>=""</x:f>
      </x:c>
      <x:c r="E1975" s="0"/>
      <x:c r="F1975" t="str" s="2">
        <x:v>Financing Form</x:v>
      </x:c>
      <x:c r="G1975" t="str" s="2">
        <x:v>Heritage Housing of Greenville</x:v>
      </x:c>
      <x:c r="H1975" t="str" s="2">
        <x:v>Brooklynn Allen</x:v>
      </x:c>
      <x:c r="I1975" s="0"/>
      <x:c r="J1975" t="str" s="2">
        <x:v>Brooklynn Allen</x:v>
      </x:c>
      <x:c r="K1975" t="n" s="2">
        <x:v>38</x:v>
      </x:c>
      <x:c r="L1975" t="str" s="2">
        <x:v>3.2</x:v>
      </x:c>
      <x:c r="M1975" t="str" s="2">
        <x:v>Active</x:v>
      </x:c>
      <x:c r="N1975" t="str" s="2">
        <x:v>Application</x:v>
      </x:c>
      <x:c r="O1975" s="0"/>
      <x:c r="P1975" s="6">
        <x:v>46303</x:v>
      </x:c>
      <x:c r="Q1975" s="6">
        <x:v>46303.76289583333</x:v>
      </x:c>
      <x:c r="R1975" s="0"/>
      <x:c r="S1975" s="6">
        <x:v>46303</x:v>
      </x:c>
      <x:c r="T1975" s="6">
        <x:v>46303</x:v>
      </x:c>
      <x:c r="U1975" s="6">
        <x:v>46303</x:v>
      </x:c>
      <x:c r="V1975" s="0"/>
      <x:c r="W1975" s="0"/>
      <x:c r="X1975" t="str" s="2">
        <x:v>4698915080</x:v>
      </x:c>
      <x:c r="Y1975" t="str" s="2">
        <x:v>kelseywhite81539@gmail.com</x:v>
      </x:c>
      <x:c r="Z1975" s="6">
        <x:v>46304.85801805556</x:v>
      </x:c>
      <x:c r="AA1975" t="str" s="2">
        <x:v>Sarahi Vazquez</x:v>
      </x:c>
      <x:c r="AB1975" s="6">
        <x:v>46303.71145243056</x:v>
      </x:c>
      <x:c r="AC1975" t="n" s="2">
        <x:v>40669</x:v>
      </x:c>
      <x:c r="AD1975" t="str" s="2">
        <x:v>Singlewide</x:v>
      </x:c>
      <x:c r="AE1975" t="str" s="2">
        <x:v>Legacy Housing Corporation</x:v>
      </x:c>
      <x:c r="AF1975" s="7">
        <x:v>5810</x:v>
      </x:c>
      <x:c r="AG1975" s="7">
        <x:v>4000</x:v>
      </x:c>
      <x:c r="AH1975" s="0"/>
      <x:c r="AI1975" t="str" s="2">
        <x:v>628</x:v>
      </x:c>
      <x:c r="AJ1975" s="0"/>
      <x:c r="AK1975" s="0"/>
    </x:row>
    <x:row r="1976">
      <x:c r="A1976" t="str" s="2">
        <x:f>=HYPERLINK("https://rsms.futurehomex.com/lead/40670", "Sharon Bellew")</x:f>
      </x:c>
      <x:c r="B1976" t="n" s="2">
        <x:v>5</x:v>
      </x:c>
      <x:c r="C1976" t="str" s="2">
        <x:v>2/2</x:v>
      </x:c>
      <x:c r="D1976" t="str" s="2">
        <x:f>=""</x:f>
      </x:c>
      <x:c r="E1976" s="0"/>
      <x:c r="F1976" t="str" s="2">
        <x:v>Meta Ads - Messenger</x:v>
      </x:c>
      <x:c r="G1976" t="str" s="2">
        <x:v>Heritage Housing of Oklahoma City</x:v>
      </x:c>
      <x:c r="H1976" t="str" s="2">
        <x:v>Alejandra Calderon</x:v>
      </x:c>
      <x:c r="I1976" t="str" s="2">
        <x:v>Karol Romero</x:v>
      </x:c>
      <x:c r="J1976" t="str" s="2">
        <x:v>Alejandra Calderon</x:v>
      </x:c>
      <x:c r="K1976" t="n" s="2">
        <x:v>5</x:v>
      </x:c>
      <x:c r="L1976" t="str" s="2">
        <x:v>1.1</x:v>
      </x:c>
      <x:c r="M1976" t="str" s="2">
        <x:v>Tentative</x:v>
      </x:c>
      <x:c r="N1976" t="str" s="2">
        <x:v>Deal Created</x:v>
      </x:c>
      <x:c r="O1976" s="0"/>
      <x:c r="P1976" s="6">
        <x:v>46303</x:v>
      </x:c>
      <x:c r="Q1976" s="6">
        <x:v>46303.79443834491</x:v>
      </x:c>
      <x:c r="R1976" s="0"/>
      <x:c r="S1976" s="6">
        <x:v>46303</x:v>
      </x:c>
      <x:c r="T1976" s="0"/>
      <x:c r="U1976" s="0"/>
      <x:c r="V1976" s="0"/>
      <x:c r="W1976" s="0"/>
      <x:c r="X1976" t="str" s="2">
        <x:v>4057882830</x:v>
      </x:c>
      <x:c r="Y1976" t="str" s="2">
        <x:v>sharonbellew@att.net</x:v>
      </x:c>
      <x:c r="Z1976" s="6">
        <x:v>46304.6533162037</x:v>
      </x:c>
      <x:c r="AA1976" t="str" s="2">
        <x:v>Alejandra Calderon</x:v>
      </x:c>
      <x:c r="AB1976" s="6">
        <x:v>46303.72512418981</x:v>
      </x:c>
      <x:c r="AC1976" t="n" s="2">
        <x:v>40670</x:v>
      </x:c>
      <x:c r="AD1976" s="0"/>
      <x:c r="AE1976" s="0"/>
      <x:c r="AF1976" s="0"/>
      <x:c r="AG1976" s="0"/>
      <x:c r="AH1976" s="0"/>
      <x:c r="AI1976" s="0"/>
      <x:c r="AJ1976" s="0"/>
      <x:c r="AK1976" s="0"/>
    </x:row>
    <x:row r="1977">
      <x:c r="A1977" t="str" s="2">
        <x:f>=HYPERLINK("https://rsms.futurehomex.com/lead/40672", "Tiffany Webb")</x:f>
      </x:c>
      <x:c r="B1977" t="n" s="2">
        <x:v>5</x:v>
      </x:c>
      <x:c r="C1977" t="str" s="2">
        <x:v>1/2</x:v>
      </x:c>
      <x:c r="D1977" t="str" s="2">
        <x:f>=""</x:f>
      </x:c>
      <x:c r="E1977" s="0"/>
      <x:c r="F1977" t="str" s="2">
        <x:v>Landing_BPM</x:v>
      </x:c>
      <x:c r="G1977" t="str" s="2">
        <x:v>Heritage Housing of Oklahoma City</x:v>
      </x:c>
      <x:c r="H1977" t="str" s="2">
        <x:v>Steve Castell</x:v>
      </x:c>
      <x:c r="I1977" s="0"/>
      <x:c r="J1977" t="str" s="2">
        <x:v>Steve Castell</x:v>
      </x:c>
      <x:c r="K1977" t="n" s="2">
        <x:v>5</x:v>
      </x:c>
      <x:c r="L1977" t="str" s="2">
        <x:v>1.1</x:v>
      </x:c>
      <x:c r="M1977" t="str" s="2">
        <x:v>Tentative</x:v>
      </x:c>
      <x:c r="N1977" t="str" s="2">
        <x:v>Deal Created</x:v>
      </x:c>
      <x:c r="O1977" s="0"/>
      <x:c r="P1977" s="6">
        <x:v>46303</x:v>
      </x:c>
      <x:c r="Q1977" s="6">
        <x:v>46303.746909988426</x:v>
      </x:c>
      <x:c r="R1977" s="0"/>
      <x:c r="S1977" s="0"/>
      <x:c r="T1977" s="0"/>
      <x:c r="U1977" s="0"/>
      <x:c r="V1977" s="0"/>
      <x:c r="W1977" s="0"/>
      <x:c r="X1977" t="str" s="2">
        <x:v>4058034704</x:v>
      </x:c>
      <x:c r="Y1977" t="str" s="2">
        <x:v>twebb8084@gmail.com</x:v>
      </x:c>
      <x:c r="Z1977" s="6">
        <x:v>46304.964889270836</x:v>
      </x:c>
      <x:c r="AA1977" t="str" s="2">
        <x:v>Steve Castell</x:v>
      </x:c>
      <x:c r="AB1977" s="6">
        <x:v>46303.74691076389</x:v>
      </x:c>
      <x:c r="AC1977" t="n" s="2">
        <x:v>40672</x:v>
      </x:c>
      <x:c r="AD1977" s="0"/>
      <x:c r="AE1977" s="0"/>
      <x:c r="AF1977" s="0"/>
      <x:c r="AG1977" s="0"/>
      <x:c r="AH1977" s="0"/>
      <x:c r="AI1977" s="0"/>
      <x:c r="AJ1977" s="0"/>
      <x:c r="AK1977" s="0"/>
    </x:row>
    <x:row r="1978">
      <x:c r="A1978" t="str" s="2">
        <x:f>=HYPERLINK("https://rsms.futurehomex.com/lead/40673", "Cynthia Kaminski")</x:f>
      </x:c>
      <x:c r="B1978" t="n" s="2">
        <x:v>5</x:v>
      </x:c>
      <x:c r="C1978" t="str" s="2">
        <x:v/>
      </x:c>
      <x:c r="D1978" t="str" s="2">
        <x:f>=""</x:f>
      </x:c>
      <x:c r="E1978" s="0"/>
      <x:c r="F1978" t="str" s="2">
        <x:v>Walk-in</x:v>
      </x:c>
      <x:c r="G1978" t="str" s="2">
        <x:v>Heritage Housing of Asheboro</x:v>
      </x:c>
      <x:c r="H1978" t="str" s="2">
        <x:v>Kate Gutierrez</x:v>
      </x:c>
      <x:c r="I1978" s="0"/>
      <x:c r="J1978" s="0"/>
      <x:c r="K1978" t="n" s="2">
        <x:v>21</x:v>
      </x:c>
      <x:c r="L1978" t="str" s="2">
        <x:v>2.1</x:v>
      </x:c>
      <x:c r="M1978" t="str" s="2">
        <x:v>Tentative</x:v>
      </x:c>
      <x:c r="N1978" t="str" s="2">
        <x:v>Qualified</x:v>
      </x:c>
      <x:c r="O1978" s="0"/>
      <x:c r="P1978" s="6">
        <x:v>46303</x:v>
      </x:c>
      <x:c r="Q1978" s="6">
        <x:v>46304.81254305555</x:v>
      </x:c>
      <x:c r="R1978" s="0"/>
      <x:c r="S1978" s="0"/>
      <x:c r="T1978" s="0"/>
      <x:c r="U1978" s="0"/>
      <x:c r="V1978" s="0"/>
      <x:c r="W1978" s="0"/>
      <x:c r="X1978" t="str" s="2">
        <x:v>9802342521</x:v>
      </x:c>
      <x:c r="Y1978" t="str" s="2">
        <x:v>cckaminski@gmail.com</x:v>
      </x:c>
      <x:c r="Z1978" s="6">
        <x:v>46304.81252792824</x:v>
      </x:c>
      <x:c r="AA1978" t="str" s="2">
        <x:v>Jeremy Jacques</x:v>
      </x:c>
      <x:c r="AB1978" s="6">
        <x:v>46303.75692465278</x:v>
      </x:c>
      <x:c r="AC1978" t="n" s="2">
        <x:v>40673</x:v>
      </x:c>
      <x:c r="AD1978" s="0"/>
      <x:c r="AE1978" s="0"/>
      <x:c r="AF1978" s="0"/>
      <x:c r="AG1978" s="0"/>
      <x:c r="AH1978" s="0"/>
      <x:c r="AI1978" s="0"/>
      <x:c r="AJ1978" s="0"/>
      <x:c r="AK1978" s="0"/>
    </x:row>
    <x:row r="1979">
      <x:c r="A1979" t="str" s="2">
        <x:f>=HYPERLINK("https://rsms.futurehomex.com/lead/40674", "Ron Kelley")</x:f>
      </x:c>
      <x:c r="B1979" t="n" s="2">
        <x:v>5</x:v>
      </x:c>
      <x:c r="C1979" t="str" s="2">
        <x:v/>
      </x:c>
      <x:c r="D1979" t="str" s="2">
        <x:f>=""</x:f>
      </x:c>
      <x:c r="E1979" s="0"/>
      <x:c r="F1979" t="str" s="2">
        <x:v>Walk-in</x:v>
      </x:c>
      <x:c r="G1979" t="str" s="2">
        <x:v>Heritage Housing of Athens</x:v>
      </x:c>
      <x:c r="H1979" t="str" s="2">
        <x:v>Nathan Bishop</x:v>
      </x:c>
      <x:c r="I1979" s="0"/>
      <x:c r="J1979" s="0"/>
      <x:c r="K1979" t="n" s="2">
        <x:v>5</x:v>
      </x:c>
      <x:c r="L1979" t="str" s="2">
        <x:v>1.1</x:v>
      </x:c>
      <x:c r="M1979" t="str" s="2">
        <x:v>Tentative</x:v>
      </x:c>
      <x:c r="N1979" t="str" s="2">
        <x:v>Prospect</x:v>
      </x:c>
      <x:c r="O1979" s="0"/>
      <x:c r="P1979" s="6">
        <x:v>46303</x:v>
      </x:c>
      <x:c r="Q1979" s="6">
        <x:v>46303.76943943287</x:v>
      </x:c>
      <x:c r="R1979" s="0"/>
      <x:c r="S1979" s="6">
        <x:v>46303</x:v>
      </x:c>
      <x:c r="T1979" s="0"/>
      <x:c r="U1979" s="0"/>
      <x:c r="V1979" s="0"/>
      <x:c r="W1979" s="0"/>
      <x:c r="X1979" t="str" s="2">
        <x:v>7062862835</x:v>
      </x:c>
      <x:c r="Y1979" t="str" s="2">
        <x:v>rkelleyboi23@gmail.com</x:v>
      </x:c>
      <x:c r="Z1979" s="6">
        <x:v>46303.775977777776</x:v>
      </x:c>
      <x:c r="AA1979" t="str" s="2">
        <x:v>Nathan Bishop</x:v>
      </x:c>
      <x:c r="AB1979" s="6">
        <x:v>46303.769439965276</x:v>
      </x:c>
      <x:c r="AC1979" t="n" s="2">
        <x:v>40674</x:v>
      </x:c>
      <x:c r="AD1979" s="0"/>
      <x:c r="AE1979" s="0"/>
      <x:c r="AF1979" s="0"/>
      <x:c r="AG1979" s="0"/>
      <x:c r="AH1979" s="0"/>
      <x:c r="AI1979" s="0"/>
      <x:c r="AJ1979" s="0"/>
      <x:c r="AK1979" s="0"/>
    </x:row>
    <x:row r="1980">
      <x:c r="A1980" t="str" s="2">
        <x:f>=HYPERLINK("https://rsms.futurehomex.com/lead/40675", "Kelsey Parrish")</x:f>
      </x:c>
      <x:c r="B1980" t="n" s="2">
        <x:v>5</x:v>
      </x:c>
      <x:c r="C1980" t="str" s="2">
        <x:v/>
      </x:c>
      <x:c r="D1980" t="str" s="2">
        <x:f>=""</x:f>
      </x:c>
      <x:c r="E1980" s="0"/>
      <x:c r="F1980" t="str" s="2">
        <x:v>Walk-in</x:v>
      </x:c>
      <x:c r="G1980" t="str" s="2">
        <x:v>Heritage Housing of Augusta</x:v>
      </x:c>
      <x:c r="H1980" t="str" s="2">
        <x:v>Jennifer Johnson</x:v>
      </x:c>
      <x:c r="I1980" s="0"/>
      <x:c r="J1980" t="str" s="2">
        <x:v>Jennifer Johnson</x:v>
      </x:c>
      <x:c r="K1980" t="n" s="2">
        <x:v>5</x:v>
      </x:c>
      <x:c r="L1980" t="str" s="2">
        <x:v>1.1</x:v>
      </x:c>
      <x:c r="M1980" t="str" s="2">
        <x:v>Tentative</x:v>
      </x:c>
      <x:c r="N1980" t="str" s="2">
        <x:v>Prospect</x:v>
      </x:c>
      <x:c r="O1980" s="0"/>
      <x:c r="P1980" s="6">
        <x:v>46303</x:v>
      </x:c>
      <x:c r="Q1980" s="6">
        <x:v>46303.77591716435</x:v>
      </x:c>
      <x:c r="R1980" s="0"/>
      <x:c r="S1980" s="0"/>
      <x:c r="T1980" s="0"/>
      <x:c r="U1980" s="0"/>
      <x:c r="V1980" s="0"/>
      <x:c r="W1980" s="0"/>
      <x:c r="X1980" t="str" s="2">
        <x:v>9126820123</x:v>
      </x:c>
      <x:c r="Y1980" t="str" s="2">
        <x:v>1972ktpsr@gmail.com</x:v>
      </x:c>
      <x:c r="Z1980" s="0"/>
      <x:c r="AA1980" s="0"/>
      <x:c r="AB1980" s="6">
        <x:v>46303.775917708335</x:v>
      </x:c>
      <x:c r="AC1980" t="n" s="2">
        <x:v>40675</x:v>
      </x:c>
      <x:c r="AD1980" s="0"/>
      <x:c r="AE1980" s="0"/>
      <x:c r="AF1980" s="0"/>
      <x:c r="AG1980" s="0"/>
      <x:c r="AH1980" s="0"/>
      <x:c r="AI1980" s="0"/>
      <x:c r="AJ1980" s="0"/>
      <x:c r="AK1980" s="0"/>
    </x:row>
    <x:row r="1981">
      <x:c r="A1981" t="str" s="2">
        <x:f>=HYPERLINK("https://rsms.futurehomex.com/lead/40676", "CARLOS HERNANDEZ")</x:f>
      </x:c>
      <x:c r="B1981" t="n" s="2">
        <x:v>5</x:v>
      </x:c>
      <x:c r="C1981" t="str" s="2">
        <x:v/>
      </x:c>
      <x:c r="D1981" t="str" s="2">
        <x:f>=""</x:f>
      </x:c>
      <x:c r="E1981" s="0"/>
      <x:c r="F1981" t="str" s="2">
        <x:v>Promotional Signage</x:v>
      </x:c>
      <x:c r="G1981" t="str" s="2">
        <x:v>Heritage Housing Gainesville</x:v>
      </x:c>
      <x:c r="H1981" t="str" s="2">
        <x:v>Jeniffer Arellano</x:v>
      </x:c>
      <x:c r="I1981" s="0"/>
      <x:c r="J1981" s="0"/>
      <x:c r="K1981" t="n" s="2">
        <x:v>38</x:v>
      </x:c>
      <x:c r="L1981" t="str" s="2">
        <x:v>3.2</x:v>
      </x:c>
      <x:c r="M1981" t="str" s="2">
        <x:v>Tentative</x:v>
      </x:c>
      <x:c r="N1981" t="str" s="2">
        <x:v>Application</x:v>
      </x:c>
      <x:c r="O1981" s="0"/>
      <x:c r="P1981" s="6">
        <x:v>46303</x:v>
      </x:c>
      <x:c r="Q1981" s="6">
        <x:v>46304.77408642361</x:v>
      </x:c>
      <x:c r="R1981" s="0"/>
      <x:c r="S1981" s="0"/>
      <x:c r="T1981" s="0"/>
      <x:c r="U1981" s="0"/>
      <x:c r="V1981" s="0"/>
      <x:c r="W1981" s="0"/>
      <x:c r="X1981" t="str" s="2">
        <x:v>2146207369</x:v>
      </x:c>
      <x:c r="Y1981" t="str" s="2">
        <x:v>carlos071199@gmail.com</x:v>
      </x:c>
      <x:c r="Z1981" s="6">
        <x:v>46304.77424186342</x:v>
      </x:c>
      <x:c r="AA1981" t="str" s="2">
        <x:v>John Schwichtenberg</x:v>
      </x:c>
      <x:c r="AB1981" s="6">
        <x:v>46303.783529050925</x:v>
      </x:c>
      <x:c r="AC1981" t="n" s="2">
        <x:v>40676</x:v>
      </x:c>
      <x:c r="AD1981" t="str" s="2">
        <x:v>Doublewide</x:v>
      </x:c>
      <x:c r="AE1981" s="0"/>
      <x:c r="AF1981" s="0"/>
      <x:c r="AG1981" s="0"/>
      <x:c r="AH1981" s="0"/>
      <x:c r="AI1981" s="0"/>
      <x:c r="AJ1981" s="0"/>
      <x:c r="AK1981" s="0"/>
    </x:row>
    <x:row r="1982">
      <x:c r="A1982" t="str" s="2">
        <x:f>=HYPERLINK("https://rsms.futurehomex.com/lead/40677", "Benji Schrenk")</x:f>
      </x:c>
      <x:c r="B1982" t="n" s="2">
        <x:v>5</x:v>
      </x:c>
      <x:c r="C1982" t="str" s="2">
        <x:v/>
      </x:c>
      <x:c r="D1982" t="str" s="2">
        <x:f>=""</x:f>
      </x:c>
      <x:c r="E1982" s="0"/>
      <x:c r="F1982" t="str" s="2">
        <x:v>Walk-in</x:v>
      </x:c>
      <x:c r="G1982" t="str" s="2">
        <x:v>Heritage Housing of Athens</x:v>
      </x:c>
      <x:c r="H1982" t="str" s="2">
        <x:v>Ethan Fossett</x:v>
      </x:c>
      <x:c r="I1982" s="0"/>
      <x:c r="J1982" s="0"/>
      <x:c r="K1982" t="n" s="2">
        <x:v>5</x:v>
      </x:c>
      <x:c r="L1982" t="str" s="2">
        <x:v>1.1</x:v>
      </x:c>
      <x:c r="M1982" t="str" s="2">
        <x:v>Tentative</x:v>
      </x:c>
      <x:c r="N1982" t="str" s="2">
        <x:v>Prospect</x:v>
      </x:c>
      <x:c r="O1982" s="0"/>
      <x:c r="P1982" s="6">
        <x:v>46303</x:v>
      </x:c>
      <x:c r="Q1982" s="6">
        <x:v>46303.8221221875</x:v>
      </x:c>
      <x:c r="R1982" s="0"/>
      <x:c r="S1982" s="0"/>
      <x:c r="T1982" s="0"/>
      <x:c r="U1982" s="0"/>
      <x:c r="V1982" s="0"/>
      <x:c r="W1982" s="0"/>
      <x:c r="X1982" t="str" s="2">
        <x:v>6789935868</x:v>
      </x:c>
      <x:c r="Y1982" t="str" s="2">
        <x:v>benjischrenk1@gmail.com</x:v>
      </x:c>
      <x:c r="Z1982" s="0"/>
      <x:c r="AA1982" s="0"/>
      <x:c r="AB1982" s="6">
        <x:v>46303.82212268518</x:v>
      </x:c>
      <x:c r="AC1982" t="n" s="2">
        <x:v>40677</x:v>
      </x:c>
      <x:c r="AD1982" s="0"/>
      <x:c r="AE1982" s="0"/>
      <x:c r="AF1982" s="0"/>
      <x:c r="AG1982" s="0"/>
      <x:c r="AH1982" s="0"/>
      <x:c r="AI1982" s="0"/>
      <x:c r="AJ1982" s="0"/>
      <x:c r="AK1982" s="0"/>
    </x:row>
    <x:row r="1983">
      <x:c r="A1983" t="str" s="2">
        <x:f>=HYPERLINK("https://rsms.futurehomex.com/lead/40678", "Sharon Sterling")</x:f>
      </x:c>
      <x:c r="B1983" t="n" s="2">
        <x:v>5</x:v>
      </x:c>
      <x:c r="C1983" t="str" s="2">
        <x:v/>
      </x:c>
      <x:c r="D1983" t="str" s="2">
        <x:f>=""</x:f>
      </x:c>
      <x:c r="E1983" s="0"/>
      <x:c r="F1983" t="str" s="2">
        <x:v>Landing_BPM</x:v>
      </x:c>
      <x:c r="G1983" t="str" s="2">
        <x:v>Heritage Housing of Asheboro</x:v>
      </x:c>
      <x:c r="H1983" t="str" s="2">
        <x:v>Kate Gutierrez</x:v>
      </x:c>
      <x:c r="I1983" s="0"/>
      <x:c r="J1983" s="0"/>
      <x:c r="K1983" t="n" s="2">
        <x:v>21</x:v>
      </x:c>
      <x:c r="L1983" t="str" s="2">
        <x:v>2.1</x:v>
      </x:c>
      <x:c r="M1983" t="str" s="2">
        <x:v>Tentative</x:v>
      </x:c>
      <x:c r="N1983" t="str" s="2">
        <x:v>Qualified</x:v>
      </x:c>
      <x:c r="O1983" s="0"/>
      <x:c r="P1983" s="6">
        <x:v>46303</x:v>
      </x:c>
      <x:c r="Q1983" s="6">
        <x:v>46304.812784837966</x:v>
      </x:c>
      <x:c r="R1983" s="0"/>
      <x:c r="S1983" s="0"/>
      <x:c r="T1983" s="0"/>
      <x:c r="U1983" s="0"/>
      <x:c r="V1983" s="0"/>
      <x:c r="W1983" s="0"/>
      <x:c r="X1983" t="str" s="2">
        <x:v>7046488162</x:v>
      </x:c>
      <x:c r="Y1983" t="str" s="2">
        <x:v>shrn_sterling@yahoo.com</x:v>
      </x:c>
      <x:c r="Z1983" s="6">
        <x:v>46304.81277253472</x:v>
      </x:c>
      <x:c r="AA1983" t="str" s="2">
        <x:v>Jeremy Jacques</x:v>
      </x:c>
      <x:c r="AB1983" s="6">
        <x:v>46303.91390292824</x:v>
      </x:c>
      <x:c r="AC1983" t="n" s="2">
        <x:v>40678</x:v>
      </x:c>
      <x:c r="AD1983" s="0"/>
      <x:c r="AE1983" s="0"/>
      <x:c r="AF1983" s="0"/>
      <x:c r="AG1983" s="0"/>
      <x:c r="AH1983" s="0"/>
      <x:c r="AI1983" s="0"/>
      <x:c r="AJ1983" s="0"/>
      <x:c r="AK1983" s="0"/>
    </x:row>
    <x:row r="1984">
      <x:c r="A1984" t="str" s="2">
        <x:f>=HYPERLINK("https://rsms.futurehomex.com/lead/40679", "Kelley Coe")</x:f>
      </x:c>
      <x:c r="B1984" t="n" s="2">
        <x:v>5</x:v>
      </x:c>
      <x:c r="C1984" t="str" s="2">
        <x:v/>
      </x:c>
      <x:c r="D1984" t="str" s="2">
        <x:f>=""</x:f>
      </x:c>
      <x:c r="E1984" s="0"/>
      <x:c r="F1984" t="str" s="2">
        <x:v>Walk-in</x:v>
      </x:c>
      <x:c r="G1984" t="str" s="2">
        <x:v>Heritage Housing of Tulsa</x:v>
      </x:c>
      <x:c r="H1984" t="str" s="2">
        <x:v>Jenna Fransisco</x:v>
      </x:c>
      <x:c r="I1984" s="0"/>
      <x:c r="J1984" s="0"/>
      <x:c r="K1984" t="n" s="2">
        <x:v>5</x:v>
      </x:c>
      <x:c r="L1984" t="str" s="2">
        <x:v>1.1</x:v>
      </x:c>
      <x:c r="M1984" t="str" s="2">
        <x:v>Tentative</x:v>
      </x:c>
      <x:c r="N1984" t="str" s="2">
        <x:v>Prospect</x:v>
      </x:c>
      <x:c r="O1984" s="0"/>
      <x:c r="P1984" s="6">
        <x:v>46303</x:v>
      </x:c>
      <x:c r="Q1984" s="6">
        <x:v>46303.91529880787</x:v>
      </x:c>
      <x:c r="R1984" s="0"/>
      <x:c r="S1984" s="0"/>
      <x:c r="T1984" s="0"/>
      <x:c r="U1984" s="0"/>
      <x:c r="V1984" s="0"/>
      <x:c r="W1984" s="0"/>
      <x:c r="X1984" t="str" s="2">
        <x:v>9185571404</x:v>
      </x:c>
      <x:c r="Y1984" t="str" s="2">
        <x:v>kelleylcoe@gmail.com</x:v>
      </x:c>
      <x:c r="Z1984" s="0"/>
      <x:c r="AA1984" s="0"/>
      <x:c r="AB1984" s="6">
        <x:v>46303.91529950232</x:v>
      </x:c>
      <x:c r="AC1984" t="n" s="2">
        <x:v>40679</x:v>
      </x:c>
      <x:c r="AD1984" s="0"/>
      <x:c r="AE1984" s="0"/>
      <x:c r="AF1984" s="0"/>
      <x:c r="AG1984" s="0"/>
      <x:c r="AH1984" s="0"/>
      <x:c r="AI1984" s="0"/>
      <x:c r="AJ1984" s="0"/>
      <x:c r="AK1984" s="0"/>
    </x:row>
    <x:row r="1985">
      <x:c r="A1985" t="str" s="2">
        <x:f>=HYPERLINK("https://rsms.futurehomex.com/lead/40680", "Terry Thompson")</x:f>
      </x:c>
      <x:c r="B1985" t="n" s="2">
        <x:v>5</x:v>
      </x:c>
      <x:c r="C1985" t="str" s="2">
        <x:v/>
      </x:c>
      <x:c r="D1985" t="str" s="2">
        <x:f>=""</x:f>
      </x:c>
      <x:c r="E1985" s="0"/>
      <x:c r="F1985" t="str" s="2">
        <x:v>Walk-in</x:v>
      </x:c>
      <x:c r="G1985" t="str" s="2">
        <x:v>Heritage Housing of Tulsa</x:v>
      </x:c>
      <x:c r="H1985" t="str" s="2">
        <x:v>Jenna Fransisco</x:v>
      </x:c>
      <x:c r="I1985" s="0"/>
      <x:c r="J1985" s="0"/>
      <x:c r="K1985" t="n" s="2">
        <x:v>5</x:v>
      </x:c>
      <x:c r="L1985" t="str" s="2">
        <x:v>1.1</x:v>
      </x:c>
      <x:c r="M1985" t="str" s="2">
        <x:v>Tentative</x:v>
      </x:c>
      <x:c r="N1985" t="str" s="2">
        <x:v>Prospect</x:v>
      </x:c>
      <x:c r="O1985" s="0"/>
      <x:c r="P1985" s="6">
        <x:v>46303</x:v>
      </x:c>
      <x:c r="Q1985" s="6">
        <x:v>46303.915401736114</x:v>
      </x:c>
      <x:c r="R1985" s="0"/>
      <x:c r="S1985" s="0"/>
      <x:c r="T1985" s="0"/>
      <x:c r="U1985" s="0"/>
      <x:c r="V1985" s="0"/>
      <x:c r="W1985" s="0"/>
      <x:c r="X1985" t="str" s="2">
        <x:v>9189072118</x:v>
      </x:c>
      <x:c r="Y1985" t="str" s="2">
        <x:v>thompsonterry84@yahoo.com</x:v>
      </x:c>
      <x:c r="Z1985" s="0"/>
      <x:c r="AA1985" s="0"/>
      <x:c r="AB1985" s="6">
        <x:v>46303.915402199076</x:v>
      </x:c>
      <x:c r="AC1985" t="n" s="2">
        <x:v>40680</x:v>
      </x:c>
      <x:c r="AD1985" s="0"/>
      <x:c r="AE1985" s="0"/>
      <x:c r="AF1985" s="0"/>
      <x:c r="AG1985" s="0"/>
      <x:c r="AH1985" s="0"/>
      <x:c r="AI1985" s="0"/>
      <x:c r="AJ1985" s="0"/>
      <x:c r="AK1985" s="0"/>
    </x:row>
    <x:row r="1986">
      <x:c r="A1986" t="str" s="2">
        <x:f>=HYPERLINK("https://rsms.futurehomex.com/lead/40681", "Aj Eason")</x:f>
      </x:c>
      <x:c r="B1986" t="n" s="2">
        <x:v>5</x:v>
      </x:c>
      <x:c r="C1986" t="str" s="2">
        <x:v/>
      </x:c>
      <x:c r="D1986" t="str" s="2">
        <x:f>=""</x:f>
      </x:c>
      <x:c r="E1986" s="0"/>
      <x:c r="F1986" t="str" s="2">
        <x:v>LandingPage</x:v>
      </x:c>
      <x:c r="G1986" t="str" s="2">
        <x:v>Heritage Housing of Albany</x:v>
      </x:c>
      <x:c r="H1986" t="str" s="2">
        <x:v>Yanet Alvarez</x:v>
      </x:c>
      <x:c r="I1986" s="0"/>
      <x:c r="J1986" t="str" s="2">
        <x:v>Yanet Alvarez</x:v>
      </x:c>
      <x:c r="K1986" t="n" s="2">
        <x:v>5</x:v>
      </x:c>
      <x:c r="L1986" t="str" s="2">
        <x:v>1.1</x:v>
      </x:c>
      <x:c r="M1986" t="str" s="2">
        <x:v>Tentative</x:v>
      </x:c>
      <x:c r="N1986" t="str" s="2">
        <x:v>Prospect</x:v>
      </x:c>
      <x:c r="O1986" s="0"/>
      <x:c r="P1986" s="6">
        <x:v>46303</x:v>
      </x:c>
      <x:c r="Q1986" s="6">
        <x:v>46303.91627144676</x:v>
      </x:c>
      <x:c r="R1986" s="0"/>
      <x:c r="S1986" s="0"/>
      <x:c r="T1986" s="0"/>
      <x:c r="U1986" s="0"/>
      <x:c r="V1986" s="0"/>
      <x:c r="W1986" s="0"/>
      <x:c r="X1986" t="str" s="2">
        <x:v>2297338364</x:v>
      </x:c>
      <x:c r="Y1986" t="str" s="2">
        <x:v>ajeason93@gmail.com</x:v>
      </x:c>
      <x:c r="Z1986" s="6">
        <x:v>46303.91653445602</x:v>
      </x:c>
      <x:c r="AA1986" t="str" s="2">
        <x:v>Yanet Alvarez</x:v>
      </x:c>
      <x:c r="AB1986" s="6">
        <x:v>46303.91627207176</x:v>
      </x:c>
      <x:c r="AC1986" t="n" s="2">
        <x:v>40681</x:v>
      </x:c>
      <x:c r="AD1986" s="0"/>
      <x:c r="AE1986" s="0"/>
      <x:c r="AF1986" s="0"/>
      <x:c r="AG1986" s="0"/>
      <x:c r="AH1986" s="0"/>
      <x:c r="AI1986" s="0"/>
      <x:c r="AJ1986" s="0"/>
      <x:c r="AK1986" s="0"/>
    </x:row>
    <x:row r="1987">
      <x:c r="A1987" t="str" s="2">
        <x:f>=HYPERLINK("https://rsms.futurehomex.com/lead/40682", "Cloe Owens")</x:f>
      </x:c>
      <x:c r="B1987" t="n" s="2">
        <x:v>5</x:v>
      </x:c>
      <x:c r="C1987" t="str" s="2">
        <x:v>1/1</x:v>
      </x:c>
      <x:c r="D1987" t="str" s="2">
        <x:f>=""</x:f>
      </x:c>
      <x:c r="E1987" s="0"/>
      <x:c r="F1987" t="str" s="2">
        <x:v>Landing_BPM</x:v>
      </x:c>
      <x:c r="G1987" t="str" s="2">
        <x:v>Heritage Housing of Oklahoma City</x:v>
      </x:c>
      <x:c r="H1987" t="str" s="2">
        <x:v>Alejandra Calderon</x:v>
      </x:c>
      <x:c r="I1987" s="0"/>
      <x:c r="J1987" t="str" s="2">
        <x:v>Alejandra Calderon</x:v>
      </x:c>
      <x:c r="K1987" t="n" s="2">
        <x:v>5</x:v>
      </x:c>
      <x:c r="L1987" t="str" s="2">
        <x:v>1.1</x:v>
      </x:c>
      <x:c r="M1987" t="str" s="2">
        <x:v>Tentative</x:v>
      </x:c>
      <x:c r="N1987" t="str" s="2">
        <x:v>Deal Created</x:v>
      </x:c>
      <x:c r="O1987" s="0"/>
      <x:c r="P1987" s="6">
        <x:v>46303</x:v>
      </x:c>
      <x:c r="Q1987" s="6">
        <x:v>46303.94105494213</x:v>
      </x:c>
      <x:c r="R1987" s="0"/>
      <x:c r="S1987" s="0"/>
      <x:c r="T1987" s="0"/>
      <x:c r="U1987" s="0"/>
      <x:c r="V1987" s="0"/>
      <x:c r="W1987" s="0"/>
      <x:c r="X1987" t="str" s="2">
        <x:v>9187151490</x:v>
      </x:c>
      <x:c r="Y1987" t="str" s="2">
        <x:v>cloeowens61@gmail.com</x:v>
      </x:c>
      <x:c r="Z1987" s="0"/>
      <x:c r="AA1987" s="0"/>
      <x:c r="AB1987" s="6">
        <x:v>46303.922875578704</x:v>
      </x:c>
      <x:c r="AC1987" t="n" s="2">
        <x:v>40682</x:v>
      </x:c>
      <x:c r="AD1987" s="0"/>
      <x:c r="AE1987" s="0"/>
      <x:c r="AF1987" s="0"/>
      <x:c r="AG1987" s="0"/>
      <x:c r="AH1987" s="0"/>
      <x:c r="AI1987" s="0"/>
      <x:c r="AJ1987" s="0"/>
      <x:c r="AK1987" s="0"/>
    </x:row>
    <x:row r="1988">
      <x:c r="A1988" t="str" s="2">
        <x:f>=HYPERLINK("https://rsms.futurehomex.com/lead/40683", "Malique Burnes")</x:f>
      </x:c>
      <x:c r="B1988" t="n" s="2">
        <x:v>5</x:v>
      </x:c>
      <x:c r="C1988" t="str" s="2">
        <x:v>1/1</x:v>
      </x:c>
      <x:c r="D1988" t="str" s="2">
        <x:f>=""</x:f>
      </x:c>
      <x:c r="E1988" s="0"/>
      <x:c r="F1988" t="str" s="2">
        <x:v>Facebook Messenger</x:v>
      </x:c>
      <x:c r="G1988" t="str" s="2">
        <x:v>Heritage Housing of Oklahoma City</x:v>
      </x:c>
      <x:c r="H1988" t="str" s="2">
        <x:v>Steve Castell</x:v>
      </x:c>
      <x:c r="I1988" s="0"/>
      <x:c r="J1988" t="str" s="2">
        <x:v>Steve Castell</x:v>
      </x:c>
      <x:c r="K1988" t="n" s="2">
        <x:v>5</x:v>
      </x:c>
      <x:c r="L1988" t="str" s="2">
        <x:v>1.1</x:v>
      </x:c>
      <x:c r="M1988" t="str" s="2">
        <x:v>Tentative</x:v>
      </x:c>
      <x:c r="N1988" t="str" s="2">
        <x:v>Deal Created</x:v>
      </x:c>
      <x:c r="O1988" s="0"/>
      <x:c r="P1988" s="6">
        <x:v>46303</x:v>
      </x:c>
      <x:c r="Q1988" s="6">
        <x:v>46303.93058811343</x:v>
      </x:c>
      <x:c r="R1988" s="0"/>
      <x:c r="S1988" s="0"/>
      <x:c r="T1988" s="0"/>
      <x:c r="U1988" s="0"/>
      <x:c r="V1988" s="0"/>
      <x:c r="W1988" s="0"/>
      <x:c r="X1988" t="str" s="2">
        <x:v>8324281155</x:v>
      </x:c>
      <x:c r="Y1988" t="str" s="2">
        <x:v>8324281155</x:v>
      </x:c>
      <x:c r="Z1988" s="6">
        <x:v>46303.93140972222</x:v>
      </x:c>
      <x:c r="AA1988" t="str" s="2">
        <x:v>Steve Castell</x:v>
      </x:c>
      <x:c r="AB1988" s="6">
        <x:v>46303.930588738425</x:v>
      </x:c>
      <x:c r="AC1988" t="n" s="2">
        <x:v>40683</x:v>
      </x:c>
      <x:c r="AD1988" s="0"/>
      <x:c r="AE1988" s="0"/>
      <x:c r="AF1988" s="0"/>
      <x:c r="AG1988" s="0"/>
      <x:c r="AH1988" s="0"/>
      <x:c r="AI1988" s="0"/>
      <x:c r="AJ1988" s="0"/>
      <x:c r="AK1988" s="0"/>
    </x:row>
    <x:row r="1989">
      <x:c r="A1989" t="str" s="2">
        <x:f>=HYPERLINK("https://rsms.futurehomex.com/lead/40685", "Amie King-Neal")</x:f>
      </x:c>
      <x:c r="B1989" t="n" s="2">
        <x:v>5</x:v>
      </x:c>
      <x:c r="C1989" t="str" s="2">
        <x:v>0/1</x:v>
      </x:c>
      <x:c r="D1989" t="str" s="2">
        <x:f>=""</x:f>
      </x:c>
      <x:c r="E1989" s="0"/>
      <x:c r="F1989" t="str" s="2">
        <x:v>Landing_BPM</x:v>
      </x:c>
      <x:c r="G1989" t="str" s="2">
        <x:v>Heritage Housing of Oklahoma City</x:v>
      </x:c>
      <x:c r="H1989" t="str" s="2">
        <x:v>Steve Castell</x:v>
      </x:c>
      <x:c r="I1989" s="0"/>
      <x:c r="J1989" t="str" s="2">
        <x:v>Steve Castell</x:v>
      </x:c>
      <x:c r="K1989" t="n" s="2">
        <x:v>21</x:v>
      </x:c>
      <x:c r="L1989" t="str" s="2">
        <x:v>2.1</x:v>
      </x:c>
      <x:c r="M1989" t="str" s="2">
        <x:v>Tentative</x:v>
      </x:c>
      <x:c r="N1989" t="str" s="2">
        <x:v>Qualified</x:v>
      </x:c>
      <x:c r="O1989" s="0"/>
      <x:c r="P1989" s="6">
        <x:v>46303</x:v>
      </x:c>
      <x:c r="Q1989" s="6">
        <x:v>46307.9206940625</x:v>
      </x:c>
      <x:c r="R1989" s="0"/>
      <x:c r="S1989" s="0"/>
      <x:c r="T1989" s="0"/>
      <x:c r="U1989" s="0"/>
      <x:c r="V1989" s="0"/>
      <x:c r="W1989" s="0"/>
      <x:c r="X1989" t="str" s="2">
        <x:v>4057886260</x:v>
      </x:c>
      <x:c r="Y1989" t="str" s="2">
        <x:v>beautifullybrokenbabe2315@gmail.com</x:v>
      </x:c>
      <x:c r="Z1989" s="6">
        <x:v>46307.920679131945</x:v>
      </x:c>
      <x:c r="AA1989" t="str" s="2">
        <x:v>Richard Bell</x:v>
      </x:c>
      <x:c r="AB1989" s="6">
        <x:v>46303.95083376158</x:v>
      </x:c>
      <x:c r="AC1989" t="n" s="2">
        <x:v>40685</x:v>
      </x:c>
      <x:c r="AD1989" s="0"/>
      <x:c r="AE1989" s="0"/>
      <x:c r="AF1989" s="0"/>
      <x:c r="AG1989" s="0"/>
      <x:c r="AH1989" s="0"/>
      <x:c r="AI1989" s="0"/>
      <x:c r="AJ1989" s="0"/>
      <x:c r="AK1989" s="0"/>
    </x:row>
    <x:row r="1990">
      <x:c r="A1990" t="str" s="2">
        <x:f>=HYPERLINK("https://rsms.futurehomex.com/lead/40686", "Jon Hopkins")</x:f>
      </x:c>
      <x:c r="B1990" t="n" s="2">
        <x:v>5</x:v>
      </x:c>
      <x:c r="C1990" t="str" s="2">
        <x:v>0/1</x:v>
      </x:c>
      <x:c r="D1990" t="str" s="2">
        <x:f>=""</x:f>
      </x:c>
      <x:c r="E1990" s="0"/>
      <x:c r="F1990" t="str" s="2">
        <x:v>Meta Ads - Forms</x:v>
      </x:c>
      <x:c r="G1990" t="str" s="2">
        <x:v>Heritage Housing of Oklahoma City</x:v>
      </x:c>
      <x:c r="H1990" t="str" s="2">
        <x:v>Trey Rixleben</x:v>
      </x:c>
      <x:c r="I1990" s="0"/>
      <x:c r="J1990" t="str" s="2">
        <x:v>Trey Rixleben</x:v>
      </x:c>
      <x:c r="K1990" t="n" s="2">
        <x:v>5</x:v>
      </x:c>
      <x:c r="L1990" t="str" s="2">
        <x:v>1.1</x:v>
      </x:c>
      <x:c r="M1990" t="str" s="2">
        <x:v>Tentative</x:v>
      </x:c>
      <x:c r="N1990" t="str" s="2">
        <x:v>Deal Created</x:v>
      </x:c>
      <x:c r="O1990" s="0"/>
      <x:c r="P1990" s="6">
        <x:v>46303</x:v>
      </x:c>
      <x:c r="Q1990" s="6">
        <x:v>46303.96206322917</x:v>
      </x:c>
      <x:c r="R1990" s="0"/>
      <x:c r="S1990" s="0"/>
      <x:c r="T1990" s="0"/>
      <x:c r="U1990" s="0"/>
      <x:c r="V1990" s="0"/>
      <x:c r="W1990" s="0"/>
      <x:c r="X1990" t="str" s="2">
        <x:v>4056172016</x:v>
      </x:c>
      <x:c r="Y1990" t="str" s="2">
        <x:v>jjjccc1950@yahoo.com</x:v>
      </x:c>
      <x:c r="Z1990" s="6">
        <x:v>46304.97346461806</x:v>
      </x:c>
      <x:c r="AA1990" t="str" s="2">
        <x:v>Steve Castell</x:v>
      </x:c>
      <x:c r="AB1990" s="6">
        <x:v>46303.96206377315</x:v>
      </x:c>
      <x:c r="AC1990" t="n" s="2">
        <x:v>40686</x:v>
      </x:c>
      <x:c r="AD1990" s="0"/>
      <x:c r="AE1990" s="0"/>
      <x:c r="AF1990" s="0"/>
      <x:c r="AG1990" s="0"/>
      <x:c r="AH1990" s="0"/>
      <x:c r="AI1990" s="0"/>
      <x:c r="AJ1990" s="0"/>
      <x:c r="AK1990" s="0"/>
    </x:row>
    <x:row r="1991">
      <x:c r="A1991" t="str" s="2">
        <x:f>=HYPERLINK("https://rsms.futurehomex.com/lead/40689", "Christopher Depriest")</x:f>
      </x:c>
      <x:c r="B1991" t="n" s="2">
        <x:v>5</x:v>
      </x:c>
      <x:c r="C1991" t="str" s="2">
        <x:v>1/1</x:v>
      </x:c>
      <x:c r="D1991" t="str" s="2">
        <x:f>=""</x:f>
      </x:c>
      <x:c r="E1991" s="0"/>
      <x:c r="F1991" t="str" s="2">
        <x:v>Landing_BPM</x:v>
      </x:c>
      <x:c r="G1991" t="str" s="2">
        <x:v>Heritage Housing of Oklahoma City</x:v>
      </x:c>
      <x:c r="H1991" t="str" s="2">
        <x:v>Trey Rixleben</x:v>
      </x:c>
      <x:c r="I1991" s="0"/>
      <x:c r="J1991" t="str" s="2">
        <x:v>Trey Rixleben</x:v>
      </x:c>
      <x:c r="K1991" t="n" s="2">
        <x:v>5</x:v>
      </x:c>
      <x:c r="L1991" t="str" s="2">
        <x:v>1.1</x:v>
      </x:c>
      <x:c r="M1991" t="str" s="2">
        <x:v>Tentative</x:v>
      </x:c>
      <x:c r="N1991" t="str" s="2">
        <x:v>Deal Created</x:v>
      </x:c>
      <x:c r="O1991" s="0"/>
      <x:c r="P1991" s="6">
        <x:v>46303</x:v>
      </x:c>
      <x:c r="Q1991" s="6">
        <x:v>46303.97282005787</x:v>
      </x:c>
      <x:c r="R1991" s="0"/>
      <x:c r="S1991" s="0"/>
      <x:c r="T1991" s="0"/>
      <x:c r="U1991" s="0"/>
      <x:c r="V1991" s="0"/>
      <x:c r="W1991" s="0"/>
      <x:c r="X1991" t="str" s="2">
        <x:v>7316189849</x:v>
      </x:c>
      <x:c r="Y1991" t="str" s="2">
        <x:v>chrisdepriest70@gmail.com</x:v>
      </x:c>
      <x:c r="Z1991" s="6">
        <x:v>46303.97445107639</x:v>
      </x:c>
      <x:c r="AA1991" t="str" s="2">
        <x:v>Trey Rixleben</x:v>
      </x:c>
      <x:c r="AB1991" s="6">
        <x:v>46303.97252592593</x:v>
      </x:c>
      <x:c r="AC1991" t="n" s="2">
        <x:v>40689</x:v>
      </x:c>
      <x:c r="AD1991" s="0"/>
      <x:c r="AE1991" s="0"/>
      <x:c r="AF1991" s="0"/>
      <x:c r="AG1991" s="0"/>
      <x:c r="AH1991" s="0"/>
      <x:c r="AI1991" s="0"/>
      <x:c r="AJ1991" s="0"/>
      <x:c r="AK1991" s="0"/>
    </x:row>
    <x:row r="1992">
      <x:c r="A1992" t="str" s="2">
        <x:f>=HYPERLINK("https://rsms.futurehomex.com/lead/40690", "Shayla Mendiola")</x:f>
      </x:c>
      <x:c r="B1992" t="n" s="2">
        <x:v>5</x:v>
      </x:c>
      <x:c r="C1992" t="str" s="2">
        <x:v>0/1</x:v>
      </x:c>
      <x:c r="D1992" t="str" s="2">
        <x:f>=""</x:f>
      </x:c>
      <x:c r="E1992" s="0"/>
      <x:c r="F1992" t="str" s="2">
        <x:v>Other</x:v>
      </x:c>
      <x:c r="G1992" t="str" s="2">
        <x:v>Heritage Housing Mt Pleasant</x:v>
      </x:c>
      <x:c r="H1992" t="str" s="2">
        <x:v>Sandra Saldana</x:v>
      </x:c>
      <x:c r="I1992" s="0"/>
      <x:c r="J1992" t="str" s="2">
        <x:v>Sandra Saldana</x:v>
      </x:c>
      <x:c r="K1992" t="n" s="2">
        <x:v>59</x:v>
      </x:c>
      <x:c r="L1992" t="str" s="2">
        <x:v>4.3</x:v>
      </x:c>
      <x:c r="M1992" t="str" s="2">
        <x:v>Tentative</x:v>
      </x:c>
      <x:c r="N1992" t="str" s="2">
        <x:v>Loan Approved</x:v>
      </x:c>
      <x:c r="O1992" s="0"/>
      <x:c r="P1992" s="6">
        <x:v>46303</x:v>
      </x:c>
      <x:c r="Q1992" s="6">
        <x:v>46307.67574348379</x:v>
      </x:c>
      <x:c r="R1992" s="0"/>
      <x:c r="S1992" s="6">
        <x:v>46303</x:v>
      </x:c>
      <x:c r="T1992" s="6">
        <x:v>46303</x:v>
      </x:c>
      <x:c r="U1992" s="6">
        <x:v>46307</x:v>
      </x:c>
      <x:c r="V1992" s="0"/>
      <x:c r="W1992" s="0"/>
      <x:c r="X1992" t="str" s="2">
        <x:v>9034663719</x:v>
      </x:c>
      <x:c r="Y1992" t="str" s="2">
        <x:v>shaylact2406@gmail.com</x:v>
      </x:c>
      <x:c r="Z1992" s="6">
        <x:v>46307.708325694446</x:v>
      </x:c>
      <x:c r="AA1992" t="str" s="2">
        <x:v>Sarahi Vazquez</x:v>
      </x:c>
      <x:c r="AB1992" s="6">
        <x:v>46303.98449780093</x:v>
      </x:c>
      <x:c r="AC1992" t="n" s="2">
        <x:v>40690</x:v>
      </x:c>
      <x:c r="AD1992" t="str" s="2">
        <x:v>Singlewide</x:v>
      </x:c>
      <x:c r="AE1992" t="str" s="2">
        <x:v>Legacy Housing Corporation</x:v>
      </x:c>
      <x:c r="AF1992" s="7">
        <x:v>11450</x:v>
      </x:c>
      <x:c r="AG1992" s="7">
        <x:v>10770</x:v>
      </x:c>
      <x:c r="AH1992" s="0"/>
      <x:c r="AI1992" t="str" s="2">
        <x:v>517</x:v>
      </x:c>
      <x:c r="AJ1992" s="0"/>
      <x:c r="AK1992" s="0"/>
    </x:row>
    <x:row r="1993">
      <x:c r="A1993" t="str" s="2">
        <x:f>=HYPERLINK("https://rsms.futurehomex.com/lead/40691", "Felix Cargill")</x:f>
      </x:c>
      <x:c r="B1993" t="n" s="2">
        <x:v>4</x:v>
      </x:c>
      <x:c r="C1993" t="str" s="2">
        <x:v>1/1</x:v>
      </x:c>
      <x:c r="D1993" t="str" s="2">
        <x:f>=""</x:f>
      </x:c>
      <x:c r="E1993" s="0"/>
      <x:c r="F1993" t="str" s="2">
        <x:v>Facebook Messenger</x:v>
      </x:c>
      <x:c r="G1993" t="str" s="2">
        <x:v>Heritage Housing of Oklahoma City</x:v>
      </x:c>
      <x:c r="H1993" t="str" s="2">
        <x:v>Steve Castell</x:v>
      </x:c>
      <x:c r="I1993" s="0"/>
      <x:c r="J1993" t="str" s="2">
        <x:v>Steve Castell</x:v>
      </x:c>
      <x:c r="K1993" t="n" s="2">
        <x:v>34</x:v>
      </x:c>
      <x:c r="L1993" t="str" s="2">
        <x:v>2.4</x:v>
      </x:c>
      <x:c r="M1993" t="str" s="2">
        <x:v>Active</x:v>
      </x:c>
      <x:c r="N1993" t="str" s="2">
        <x:v>Deal approval</x:v>
      </x:c>
      <x:c r="O1993" s="0"/>
      <x:c r="P1993" s="6">
        <x:v>46304</x:v>
      </x:c>
      <x:c r="Q1993" s="6">
        <x:v>46308.67253024306</x:v>
      </x:c>
      <x:c r="R1993" s="0"/>
      <x:c r="S1993" s="6">
        <x:v>46304</x:v>
      </x:c>
      <x:c r="T1993" s="0"/>
      <x:c r="U1993" s="0"/>
      <x:c r="V1993" s="0"/>
      <x:c r="W1993" s="0"/>
      <x:c r="X1993" t="str" s="2">
        <x:v>4056207475</x:v>
      </x:c>
      <x:c r="Y1993" t="str" s="2">
        <x:v>feal_real@icloud.com</x:v>
      </x:c>
      <x:c r="Z1993" s="6">
        <x:v>46308.66805609954</x:v>
      </x:c>
      <x:c r="AA1993" t="str" s="2">
        <x:v>Steve Castell</x:v>
      </x:c>
      <x:c r="AB1993" s="6">
        <x:v>46304.036912233794</x:v>
      </x:c>
      <x:c r="AC1993" t="n" s="2">
        <x:v>40691</x:v>
      </x:c>
      <x:c r="AD1993" t="str" s="2">
        <x:v>Singlewide</x:v>
      </x:c>
      <x:c r="AE1993" s="0"/>
      <x:c r="AF1993" s="0"/>
      <x:c r="AG1993" s="7">
        <x:v>5500</x:v>
      </x:c>
      <x:c r="AH1993" s="0"/>
      <x:c r="AI1993" s="0"/>
      <x:c r="AJ1993" s="0"/>
      <x:c r="AK1993" s="0"/>
    </x:row>
    <x:row r="1994">
      <x:c r="A1994" t="str" s="2">
        <x:f>=HYPERLINK("https://rsms.futurehomex.com/lead/40692", "Martha K Freeman")</x:f>
      </x:c>
      <x:c r="B1994" t="n" s="2">
        <x:v>4</x:v>
      </x:c>
      <x:c r="C1994" t="str" s="2">
        <x:v>0/2</x:v>
      </x:c>
      <x:c r="D1994" t="str" s="2">
        <x:f>=""</x:f>
      </x:c>
      <x:c r="E1994" s="0"/>
      <x:c r="F1994" t="str" s="2">
        <x:v>Office Hot Calls</x:v>
      </x:c>
      <x:c r="G1994" t="str" s="2">
        <x:v>Heritage Housing of Jennings</x:v>
      </x:c>
      <x:c r="H1994" t="str" s="2">
        <x:v>Clint O'Neal</x:v>
      </x:c>
      <x:c r="I1994" s="0"/>
      <x:c r="J1994" t="str" s="2">
        <x:v>Clint O'Neal</x:v>
      </x:c>
      <x:c r="K1994" t="n" s="2">
        <x:v>21</x:v>
      </x:c>
      <x:c r="L1994" t="str" s="2">
        <x:v>2.1</x:v>
      </x:c>
      <x:c r="M1994" t="str" s="2">
        <x:v>Active</x:v>
      </x:c>
      <x:c r="N1994" t="str" s="2">
        <x:v>Qualified</x:v>
      </x:c>
      <x:c r="O1994" s="6">
        <x:v>46326</x:v>
      </x:c>
      <x:c r="P1994" s="6">
        <x:v>46304</x:v>
      </x:c>
      <x:c r="Q1994" s="6">
        <x:v>46305.67954074074</x:v>
      </x:c>
      <x:c r="R1994" s="0"/>
      <x:c r="S1994" s="6">
        <x:v>46305</x:v>
      </x:c>
      <x:c r="T1994" s="0"/>
      <x:c r="U1994" s="0"/>
      <x:c r="V1994" s="0"/>
      <x:c r="W1994" s="0"/>
      <x:c r="X1994" t="str" s="2">
        <x:v>3374458663</x:v>
      </x:c>
      <x:c r="Y1994" t="str" s="2">
        <x:v>mfreeman.janiking@gmail.com</x:v>
      </x:c>
      <x:c r="Z1994" s="6">
        <x:v>46307.696183912034</x:v>
      </x:c>
      <x:c r="AA1994" t="str" s="2">
        <x:v>Clint O'Neal</x:v>
      </x:c>
      <x:c r="AB1994" s="6">
        <x:v>46304.56901450232</x:v>
      </x:c>
      <x:c r="AC1994" t="n" s="2">
        <x:v>40692</x:v>
      </x:c>
      <x:c r="AD1994" s="0"/>
      <x:c r="AE1994" s="0"/>
      <x:c r="AF1994" s="0"/>
      <x:c r="AG1994" s="7">
        <x:v>12000</x:v>
      </x:c>
      <x:c r="AH1994" s="0"/>
      <x:c r="AI1994" t="str" s="2">
        <x:v>556</x:v>
      </x:c>
      <x:c r="AJ1994" s="0"/>
      <x:c r="AK1994" s="0"/>
    </x:row>
    <x:row r="1995">
      <x:c r="A1995" t="str" s="2">
        <x:f>=HYPERLINK("https://rsms.futurehomex.com/lead/40693", "Robert Searles")</x:f>
      </x:c>
      <x:c r="B1995" t="n" s="2">
        <x:v>4</x:v>
      </x:c>
      <x:c r="C1995" t="str" s="2">
        <x:v/>
      </x:c>
      <x:c r="D1995" t="str" s="2">
        <x:f>=""</x:f>
      </x:c>
      <x:c r="E1995" t="str" s="2">
        <x:v/>
      </x:c>
      <x:c r="F1995" t="str" s="2">
        <x:v>Walk-in</x:v>
      </x:c>
      <x:c r="G1995" t="str" s="2">
        <x:v>Heritage Housing of Augusta</x:v>
      </x:c>
      <x:c r="H1995" t="str" s="2">
        <x:v>Jennifer Johnson</x:v>
      </x:c>
      <x:c r="I1995" s="0"/>
      <x:c r="J1995" t="str" s="2">
        <x:v>Jennifer Johnson</x:v>
      </x:c>
      <x:c r="K1995" t="n" s="2">
        <x:v>5</x:v>
      </x:c>
      <x:c r="L1995" t="str" s="2">
        <x:v>1.1</x:v>
      </x:c>
      <x:c r="M1995" t="str" s="2">
        <x:v>Tentative</x:v>
      </x:c>
      <x:c r="N1995" t="str" s="2">
        <x:v>Prospect</x:v>
      </x:c>
      <x:c r="O1995" s="0"/>
      <x:c r="P1995" s="6">
        <x:v>46304</x:v>
      </x:c>
      <x:c r="Q1995" s="6">
        <x:v>46304.63446570602</x:v>
      </x:c>
      <x:c r="R1995" s="0"/>
      <x:c r="S1995" s="0"/>
      <x:c r="T1995" s="0"/>
      <x:c r="U1995" s="0"/>
      <x:c r="V1995" s="0"/>
      <x:c r="W1995" s="0"/>
      <x:c r="X1995" t="str" s="2">
        <x:v>7064454596</x:v>
      </x:c>
      <x:c r="Y1995" t="str" s="2">
        <x:v>evasearles66@gmail.com</x:v>
      </x:c>
      <x:c r="Z1995" s="0"/>
      <x:c r="AA1995" s="0"/>
      <x:c r="AB1995" s="6">
        <x:v>46304.57168503472</x:v>
      </x:c>
      <x:c r="AC1995" t="n" s="2">
        <x:v>40693</x:v>
      </x:c>
      <x:c r="AD1995" s="0"/>
      <x:c r="AE1995" s="0"/>
      <x:c r="AF1995" s="0"/>
      <x:c r="AG1995" s="7">
        <x:v>18000</x:v>
      </x:c>
      <x:c r="AH1995" s="0"/>
      <x:c r="AI1995" s="0"/>
      <x:c r="AJ1995" s="0"/>
      <x:c r="AK1995" s="0"/>
    </x:row>
    <x:row r="1996">
      <x:c r="A1996" t="str" s="2">
        <x:f>=HYPERLINK("https://rsms.futurehomex.com/lead/40694", "Dolly Varden Management")</x:f>
      </x:c>
      <x:c r="B1996" t="n" s="2">
        <x:v>4</x:v>
      </x:c>
      <x:c r="C1996" t="str" s="2">
        <x:v/>
      </x:c>
      <x:c r="D1996" t="str" s="2">
        <x:f>=""</x:f>
      </x:c>
      <x:c r="E1996" s="0"/>
      <x:c r="F1996" t="str" s="2">
        <x:v>Referrals</x:v>
      </x:c>
      <x:c r="G1996" t="str" s="2">
        <x:v>Heritage Housing Marble Falls</x:v>
      </x:c>
      <x:c r="H1996" t="str" s="2">
        <x:v>Stephen Sanders</x:v>
      </x:c>
      <x:c r="I1996" t="str" s="2">
        <x:v>Karol Romero</x:v>
      </x:c>
      <x:c r="J1996" t="str" s="2">
        <x:v>Stephen Sanders</x:v>
      </x:c>
      <x:c r="K1996" t="n" s="2">
        <x:v>59</x:v>
      </x:c>
      <x:c r="L1996" t="str" s="2">
        <x:v>4.3</x:v>
      </x:c>
      <x:c r="M1996" t="str" s="2">
        <x:v>Tentative</x:v>
      </x:c>
      <x:c r="N1996" t="str" s="2">
        <x:v>Loan Approved</x:v>
      </x:c>
      <x:c r="O1996" s="6">
        <x:v>46309</x:v>
      </x:c>
      <x:c r="P1996" s="6">
        <x:v>46304</x:v>
      </x:c>
      <x:c r="Q1996" s="6">
        <x:v>46304.622551388886</x:v>
      </x:c>
      <x:c r="R1996" s="0"/>
      <x:c r="S1996" s="6">
        <x:v>46304</x:v>
      </x:c>
      <x:c r="T1996" s="6">
        <x:v>46304</x:v>
      </x:c>
      <x:c r="U1996" s="6">
        <x:v>46304</x:v>
      </x:c>
      <x:c r="V1996" s="6">
        <x:v>46307</x:v>
      </x:c>
      <x:c r="W1996" s="0"/>
      <x:c r="X1996" t="str" s="2">
        <x:v>3252489284</x:v>
      </x:c>
      <x:c r="Y1996" t="str" s="2">
        <x:v>DVmanagers@outlook.com</x:v>
      </x:c>
      <x:c r="Z1996" s="6">
        <x:v>46304.62275552083</x:v>
      </x:c>
      <x:c r="AA1996" t="str" s="2">
        <x:v>Stephen Sanders</x:v>
      </x:c>
      <x:c r="AB1996" s="6">
        <x:v>46304.60199487268</x:v>
      </x:c>
      <x:c r="AC1996" t="n" s="2">
        <x:v>40694</x:v>
      </x:c>
      <x:c r="AD1996" t="str" s="2">
        <x:v>Singlewide</x:v>
      </x:c>
      <x:c r="AE1996" s="0"/>
      <x:c r="AF1996" s="7">
        <x:v>50255</x:v>
      </x:c>
      <x:c r="AG1996" s="7">
        <x:v>51900</x:v>
      </x:c>
      <x:c r="AH1996" s="0"/>
      <x:c r="AI1996" s="0"/>
      <x:c r="AJ1996" s="0"/>
      <x:c r="AK1996" s="0"/>
    </x:row>
    <x:row r="1997">
      <x:c r="A1997" t="str" s="2">
        <x:f>=HYPERLINK("https://rsms.futurehomex.com/lead/40695", "Skylar Redmon")</x:f>
      </x:c>
      <x:c r="B1997" t="n" s="2">
        <x:v>4</x:v>
      </x:c>
      <x:c r="C1997" t="str" s="2">
        <x:v/>
      </x:c>
      <x:c r="D1997" t="str" s="2">
        <x:f>=""</x:f>
      </x:c>
      <x:c r="E1997" s="0"/>
      <x:c r="F1997" t="str" s="2">
        <x:v>Walk-in</x:v>
      </x:c>
      <x:c r="G1997" t="str" s="2">
        <x:v>Heritage Housing of Asheboro</x:v>
      </x:c>
      <x:c r="H1997" t="str" s="2">
        <x:v>Maria Lopez</x:v>
      </x:c>
      <x:c r="I1997" s="0"/>
      <x:c r="J1997" s="0"/>
      <x:c r="K1997" t="n" s="2">
        <x:v>21</x:v>
      </x:c>
      <x:c r="L1997" t="str" s="2">
        <x:v>2.1</x:v>
      </x:c>
      <x:c r="M1997" t="str" s="2">
        <x:v>Tentative</x:v>
      </x:c>
      <x:c r="N1997" t="str" s="2">
        <x:v>Qualified</x:v>
      </x:c>
      <x:c r="O1997" s="0"/>
      <x:c r="P1997" s="6">
        <x:v>46304</x:v>
      </x:c>
      <x:c r="Q1997" s="6">
        <x:v>46304.81136342593</x:v>
      </x:c>
      <x:c r="R1997" s="0"/>
      <x:c r="S1997" s="6">
        <x:v>46304</x:v>
      </x:c>
      <x:c r="T1997" s="0"/>
      <x:c r="U1997" s="0"/>
      <x:c r="V1997" s="0"/>
      <x:c r="W1997" s="0"/>
      <x:c r="X1997" t="str" s="2">
        <x:v>3364603690</x:v>
      </x:c>
      <x:c r="Y1997" t="str" s="2">
        <x:v>redmonskylar2809@gmail.com</x:v>
      </x:c>
      <x:c r="Z1997" s="6">
        <x:v>46304.81135173611</x:v>
      </x:c>
      <x:c r="AA1997" t="str" s="2">
        <x:v>Jeremy Jacques</x:v>
      </x:c>
      <x:c r="AB1997" s="6">
        <x:v>46304.60462126158</x:v>
      </x:c>
      <x:c r="AC1997" t="n" s="2">
        <x:v>40695</x:v>
      </x:c>
      <x:c r="AD1997" s="0"/>
      <x:c r="AE1997" s="0"/>
      <x:c r="AF1997" s="0"/>
      <x:c r="AG1997" s="0"/>
      <x:c r="AH1997" s="0"/>
      <x:c r="AI1997" s="0"/>
      <x:c r="AJ1997" s="0"/>
      <x:c r="AK1997" s="0"/>
    </x:row>
    <x:row r="1998">
      <x:c r="A1998" t="str" s="2">
        <x:f>=HYPERLINK("https://rsms.futurehomex.com/lead/40696", "Daniel Armando Reyes")</x:f>
      </x:c>
      <x:c r="B1998" t="n" s="2">
        <x:v>4</x:v>
      </x:c>
      <x:c r="C1998" t="str" s="2">
        <x:v>1/1</x:v>
      </x:c>
      <x:c r="D1998" t="str" s="2">
        <x:f>=""</x:f>
      </x:c>
      <x:c r="E1998" s="0"/>
      <x:c r="F1998" t="str" s="2">
        <x:v>Referrals</x:v>
      </x:c>
      <x:c r="G1998" t="str" s="2">
        <x:v>Legacy Housing Corp. DBA Americasa</x:v>
      </x:c>
      <x:c r="H1998" t="str" s="2">
        <x:v>Angelica Mendoza </x:v>
      </x:c>
      <x:c r="I1998" t="str" s="2">
        <x:v>Karol Romero</x:v>
      </x:c>
      <x:c r="J1998" s="0"/>
      <x:c r="K1998" t="n" s="2">
        <x:v>5</x:v>
      </x:c>
      <x:c r="L1998" t="str" s="2">
        <x:v>1.1</x:v>
      </x:c>
      <x:c r="M1998" t="str" s="2">
        <x:v>Tentative</x:v>
      </x:c>
      <x:c r="N1998" t="str" s="2">
        <x:v>Prospect</x:v>
      </x:c>
      <x:c r="O1998" s="0"/>
      <x:c r="P1998" s="6">
        <x:v>46304</x:v>
      </x:c>
      <x:c r="Q1998" s="6">
        <x:v>46304.621092789355</x:v>
      </x:c>
      <x:c r="R1998" s="0"/>
      <x:c r="S1998" s="0"/>
      <x:c r="T1998" s="0"/>
      <x:c r="U1998" s="0"/>
      <x:c r="V1998" s="0"/>
      <x:c r="W1998" s="0"/>
      <x:c r="X1998" t="str" s="2">
        <x:v>6315591008</x:v>
      </x:c>
      <x:c r="Y1998" t="str" s="2">
        <x:v>6315591008</x:v>
      </x:c>
      <x:c r="Z1998" s="6">
        <x:v>46304.62465150463</x:v>
      </x:c>
      <x:c r="AA1998" t="str" s="2">
        <x:v>Angelica Mendoza </x:v>
      </x:c>
      <x:c r="AB1998" s="6">
        <x:v>46304.62109417824</x:v>
      </x:c>
      <x:c r="AC1998" t="n" s="2">
        <x:v>40696</x:v>
      </x:c>
      <x:c r="AD1998" s="0"/>
      <x:c r="AE1998" s="0"/>
      <x:c r="AF1998" s="0"/>
      <x:c r="AG1998" s="0"/>
      <x:c r="AH1998" s="0"/>
      <x:c r="AI1998" s="0"/>
      <x:c r="AJ1998" s="0"/>
      <x:c r="AK1998" s="0"/>
    </x:row>
    <x:row r="1999">
      <x:c r="A1999" t="str" s="2">
        <x:f>=HYPERLINK("https://rsms.futurehomex.com/lead/40698", "Alisa Shackelford")</x:f>
      </x:c>
      <x:c r="B1999" t="n" s="2">
        <x:v>4</x:v>
      </x:c>
      <x:c r="C1999" t="str" s="2">
        <x:v/>
      </x:c>
      <x:c r="D1999" t="str" s="2">
        <x:f>=""</x:f>
      </x:c>
      <x:c r="E1999" s="0"/>
      <x:c r="F1999" t="str" s="2">
        <x:v>Financing Form</x:v>
      </x:c>
      <x:c r="G1999" t="str" s="2">
        <x:v>Heritage Housing of Canton</x:v>
      </x:c>
      <x:c r="H1999" t="str" s="2">
        <x:v>Jacob Hatten</x:v>
      </x:c>
      <x:c r="I1999" s="0"/>
      <x:c r="J1999" s="0"/>
      <x:c r="K1999" t="n" s="2">
        <x:v>5</x:v>
      </x:c>
      <x:c r="L1999" t="str" s="2">
        <x:v>1.1</x:v>
      </x:c>
      <x:c r="M1999" t="str" s="2">
        <x:v>Tentative</x:v>
      </x:c>
      <x:c r="N1999" t="str" s="2">
        <x:v>Prospect</x:v>
      </x:c>
      <x:c r="O1999" s="0"/>
      <x:c r="P1999" s="6">
        <x:v>46304</x:v>
      </x:c>
      <x:c r="Q1999" s="6">
        <x:v>46304.63864537037</x:v>
      </x:c>
      <x:c r="R1999" s="0"/>
      <x:c r="S1999" s="0"/>
      <x:c r="T1999" s="0"/>
      <x:c r="U1999" s="0"/>
      <x:c r="V1999" s="0"/>
      <x:c r="W1999" s="0"/>
      <x:c r="X1999" t="str" s="2">
        <x:v>8324024406</x:v>
      </x:c>
      <x:c r="Y1999" t="str" s="2">
        <x:v>alisashackelford@gmail.com</x:v>
      </x:c>
      <x:c r="Z1999" s="6">
        <x:v>46304.63898344908</x:v>
      </x:c>
      <x:c r="AA1999" t="str" s="2">
        <x:v>Jacob Hatten</x:v>
      </x:c>
      <x:c r="AB1999" s="6">
        <x:v>46304.6386462963</x:v>
      </x:c>
      <x:c r="AC1999" t="n" s="2">
        <x:v>40698</x:v>
      </x:c>
      <x:c r="AD1999" s="0"/>
      <x:c r="AE1999" s="0"/>
      <x:c r="AF1999" s="0"/>
      <x:c r="AG1999" s="0"/>
      <x:c r="AH1999" s="0"/>
      <x:c r="AI1999" s="0"/>
      <x:c r="AJ1999" s="0"/>
      <x:c r="AK1999" s="0"/>
    </x:row>
    <x:row r="2000">
      <x:c r="A2000" t="str" s="2">
        <x:f>=HYPERLINK("https://rsms.futurehomex.com/lead/40699", "Sulma Hawkins")</x:f>
      </x:c>
      <x:c r="B2000" t="n" s="2">
        <x:v>4</x:v>
      </x:c>
      <x:c r="C2000" t="str" s="2">
        <x:v/>
      </x:c>
      <x:c r="D2000" t="str" s="2">
        <x:f>=""</x:f>
      </x:c>
      <x:c r="E2000" s="0"/>
      <x:c r="F2000" t="str" s="2">
        <x:v>Facebook Messenger</x:v>
      </x:c>
      <x:c r="G2000" t="str" s="2">
        <x:v>Heritage Housing Mt Pleasant</x:v>
      </x:c>
      <x:c r="H2000" t="str" s="2">
        <x:v>Yarelis Torres</x:v>
      </x:c>
      <x:c r="I2000" s="0"/>
      <x:c r="J2000" t="str" s="2">
        <x:v>Yarelis Torres</x:v>
      </x:c>
      <x:c r="K2000" t="n" s="2">
        <x:v>5</x:v>
      </x:c>
      <x:c r="L2000" t="str" s="2">
        <x:v>1.1</x:v>
      </x:c>
      <x:c r="M2000" t="str" s="2">
        <x:v>Tentative</x:v>
      </x:c>
      <x:c r="N2000" t="str" s="2">
        <x:v>Deal Created</x:v>
      </x:c>
      <x:c r="O2000" s="0"/>
      <x:c r="P2000" s="6">
        <x:v>46304</x:v>
      </x:c>
      <x:c r="Q2000" s="6">
        <x:v>46304.66817291667</x:v>
      </x:c>
      <x:c r="R2000" s="0"/>
      <x:c r="S2000" s="0"/>
      <x:c r="T2000" s="0"/>
      <x:c r="U2000" s="0"/>
      <x:c r="V2000" s="0"/>
      <x:c r="W2000" s="0"/>
      <x:c r="X2000" t="str" s="2">
        <x:v>9032854481</x:v>
      </x:c>
      <x:c r="Y2000" t="str" s="2">
        <x:v>9032854481</x:v>
      </x:c>
      <x:c r="Z2000" s="6">
        <x:v>46305.6442869213</x:v>
      </x:c>
      <x:c r="AA2000" t="str" s="2">
        <x:v>Yarelis Torres</x:v>
      </x:c>
      <x:c r="AB2000" s="6">
        <x:v>46304.668174618055</x:v>
      </x:c>
      <x:c r="AC2000" t="n" s="2">
        <x:v>40699</x:v>
      </x:c>
      <x:c r="AD2000" s="0"/>
      <x:c r="AE2000" s="0"/>
      <x:c r="AF2000" s="0"/>
      <x:c r="AG2000" s="0"/>
      <x:c r="AH2000" s="0"/>
      <x:c r="AI2000" s="0"/>
      <x:c r="AJ2000" s="0"/>
      <x:c r="AK2000" s="0"/>
    </x:row>
    <x:row r="2001">
      <x:c r="A2001" t="str" s="2">
        <x:f>=HYPERLINK("https://rsms.futurehomex.com/lead/40701", "Kara Kyle")</x:f>
      </x:c>
      <x:c r="B2001" t="n" s="2">
        <x:v>4</x:v>
      </x:c>
      <x:c r="C2001" t="str" s="2">
        <x:v/>
      </x:c>
      <x:c r="D2001" t="str" s="2">
        <x:f>=""</x:f>
      </x:c>
      <x:c r="E2001" s="0"/>
      <x:c r="F2001" t="str" s="2">
        <x:v>Walk-in</x:v>
      </x:c>
      <x:c r="G2001" t="str" s="2">
        <x:v>Heritage Housing of Augusta</x:v>
      </x:c>
      <x:c r="H2001" t="str" s="2">
        <x:v>Jennifer Johnson</x:v>
      </x:c>
      <x:c r="I2001" s="0"/>
      <x:c r="J2001" s="0"/>
      <x:c r="K2001" t="n" s="2">
        <x:v>5</x:v>
      </x:c>
      <x:c r="L2001" t="str" s="2">
        <x:v>1.1</x:v>
      </x:c>
      <x:c r="M2001" t="str" s="2">
        <x:v>Tentative</x:v>
      </x:c>
      <x:c r="N2001" t="str" s="2">
        <x:v>Prospect</x:v>
      </x:c>
      <x:c r="O2001" s="0"/>
      <x:c r="P2001" s="6">
        <x:v>46304</x:v>
      </x:c>
      <x:c r="Q2001" s="6">
        <x:v>46304.7053278588</x:v>
      </x:c>
      <x:c r="R2001" s="0"/>
      <x:c r="S2001" s="0"/>
      <x:c r="T2001" s="0"/>
      <x:c r="U2001" s="0"/>
      <x:c r="V2001" s="0"/>
      <x:c r="W2001" s="0"/>
      <x:c r="X2001" t="str" s="2">
        <x:v>7068703218</x:v>
      </x:c>
      <x:c r="Y2001" t="str" s="2">
        <x:v>kara.kyle1999@gmail.com</x:v>
      </x:c>
      <x:c r="Z2001" s="0"/>
      <x:c r="AA2001" s="0"/>
      <x:c r="AB2001" s="6">
        <x:v>46304.70532896991</x:v>
      </x:c>
      <x:c r="AC2001" t="n" s="2">
        <x:v>40701</x:v>
      </x:c>
      <x:c r="AD2001" s="0"/>
      <x:c r="AE2001" s="0"/>
      <x:c r="AF2001" s="0"/>
      <x:c r="AG2001" s="0"/>
      <x:c r="AH2001" s="0"/>
      <x:c r="AI2001" s="0"/>
      <x:c r="AJ2001" s="0"/>
      <x:c r="AK2001" s="0"/>
    </x:row>
    <x:row r="2002">
      <x:c r="A2002" t="str" s="2">
        <x:f>=HYPERLINK("https://rsms.futurehomex.com/lead/40702", "Karrie Mckeever")</x:f>
      </x:c>
      <x:c r="B2002" t="n" s="2">
        <x:v>4</x:v>
      </x:c>
      <x:c r="C2002" t="str" s="2">
        <x:v>1/1</x:v>
      </x:c>
      <x:c r="D2002" t="str" s="2">
        <x:f>=""</x:f>
      </x:c>
      <x:c r="E2002" s="0"/>
      <x:c r="F2002" t="str" s="2">
        <x:v>Landing_BPM</x:v>
      </x:c>
      <x:c r="G2002" t="str" s="2">
        <x:v>Heritage Housing of Oklahoma City</x:v>
      </x:c>
      <x:c r="H2002" t="str" s="2">
        <x:v>Trey Rixleben</x:v>
      </x:c>
      <x:c r="I2002" s="0"/>
      <x:c r="J2002" t="str" s="2">
        <x:v>Trey Rixleben</x:v>
      </x:c>
      <x:c r="K2002" t="n" s="2">
        <x:v>5</x:v>
      </x:c>
      <x:c r="L2002" t="str" s="2">
        <x:v>1.1</x:v>
      </x:c>
      <x:c r="M2002" t="str" s="2">
        <x:v>Tentative</x:v>
      </x:c>
      <x:c r="N2002" t="str" s="2">
        <x:v>Deal Created</x:v>
      </x:c>
      <x:c r="O2002" s="0"/>
      <x:c r="P2002" s="6">
        <x:v>46304</x:v>
      </x:c>
      <x:c r="Q2002" s="6">
        <x:v>46304.73996292824</x:v>
      </x:c>
      <x:c r="R2002" s="0"/>
      <x:c r="S2002" s="0"/>
      <x:c r="T2002" s="0"/>
      <x:c r="U2002" s="0"/>
      <x:c r="V2002" s="0"/>
      <x:c r="W2002" s="0"/>
      <x:c r="X2002" t="str" s="2">
        <x:v>5809823797</x:v>
      </x:c>
      <x:c r="Y2002" t="str" s="2">
        <x:v>karriebear0324@gmail.com</x:v>
      </x:c>
      <x:c r="Z2002" s="6">
        <x:v>46304.74243568287</x:v>
      </x:c>
      <x:c r="AA2002" t="str" s="2">
        <x:v>Trey Rixleben</x:v>
      </x:c>
      <x:c r="AB2002" s="6">
        <x:v>46304.73973263889</x:v>
      </x:c>
      <x:c r="AC2002" t="n" s="2">
        <x:v>40702</x:v>
      </x:c>
      <x:c r="AD2002" s="0"/>
      <x:c r="AE2002" s="0"/>
      <x:c r="AF2002" s="0"/>
      <x:c r="AG2002" s="0"/>
      <x:c r="AH2002" s="0"/>
      <x:c r="AI2002" s="0"/>
      <x:c r="AJ2002" s="0"/>
      <x:c r="AK2002" s="0"/>
    </x:row>
    <x:row r="2003">
      <x:c r="A2003" t="str" s="2">
        <x:f>=HYPERLINK("https://rsms.futurehomex.com/lead/40703", "Tamika .")</x:f>
      </x:c>
      <x:c r="B2003" t="n" s="2">
        <x:v>4</x:v>
      </x:c>
      <x:c r="C2003" t="str" s="2">
        <x:v/>
      </x:c>
      <x:c r="D2003" t="str" s="2">
        <x:f>=""</x:f>
      </x:c>
      <x:c r="E2003" s="0"/>
      <x:c r="F2003" t="str" s="2">
        <x:v>Website</x:v>
      </x:c>
      <x:c r="G2003" t="str" s="2">
        <x:v>Heritage Housing of Augusta</x:v>
      </x:c>
      <x:c r="H2003" t="str" s="2">
        <x:v>Jennifer Johnson</x:v>
      </x:c>
      <x:c r="I2003" t="str" s="2">
        <x:v>Karol Romero</x:v>
      </x:c>
      <x:c r="J2003" t="str" s="2">
        <x:v>Jennifer Johnson</x:v>
      </x:c>
      <x:c r="K2003" t="n" s="2">
        <x:v>5</x:v>
      </x:c>
      <x:c r="L2003" t="str" s="2">
        <x:v>1.1</x:v>
      </x:c>
      <x:c r="M2003" t="str" s="2">
        <x:v>Tentative</x:v>
      </x:c>
      <x:c r="N2003" t="str" s="2">
        <x:v>Deal Created</x:v>
      </x:c>
      <x:c r="O2003" s="0"/>
      <x:c r="P2003" s="6">
        <x:v>46304</x:v>
      </x:c>
      <x:c r="Q2003" s="6">
        <x:v>46304.744413506945</x:v>
      </x:c>
      <x:c r="R2003" s="0"/>
      <x:c r="S2003" s="0"/>
      <x:c r="T2003" s="0"/>
      <x:c r="U2003" s="0"/>
      <x:c r="V2003" s="0"/>
      <x:c r="W2003" s="0"/>
      <x:c r="X2003" t="str" s="2">
        <x:v>8039798655</x:v>
      </x:c>
      <x:c r="Y2003" t="str" s="2">
        <x:v>8039798655</x:v>
      </x:c>
      <x:c r="Z2003" s="0"/>
      <x:c r="AA2003" s="0"/>
      <x:c r="AB2003" s="6">
        <x:v>46304.74442971065</x:v>
      </x:c>
      <x:c r="AC2003" t="n" s="2">
        <x:v>40703</x:v>
      </x:c>
      <x:c r="AD2003" s="0"/>
      <x:c r="AE2003" s="0"/>
      <x:c r="AF2003" s="0"/>
      <x:c r="AG2003" s="0"/>
      <x:c r="AH2003" s="0"/>
      <x:c r="AI2003" s="0"/>
      <x:c r="AJ2003" s="0"/>
      <x:c r="AK2003" s="0"/>
    </x:row>
    <x:row r="2004">
      <x:c r="A2004" t="str" s="2">
        <x:f>=HYPERLINK("https://rsms.futurehomex.com/lead/40704", "Annabeth Perkins")</x:f>
      </x:c>
      <x:c r="B2004" t="n" s="2">
        <x:v>4</x:v>
      </x:c>
      <x:c r="C2004" t="str" s="2">
        <x:v/>
      </x:c>
      <x:c r="D2004" t="str" s="2">
        <x:f>=""</x:f>
      </x:c>
      <x:c r="E2004" s="0"/>
      <x:c r="F2004" t="str" s="2">
        <x:v>Walk-in</x:v>
      </x:c>
      <x:c r="G2004" t="str" s="2">
        <x:v>Heritage Housing of Augusta</x:v>
      </x:c>
      <x:c r="H2004" t="str" s="2">
        <x:v>Jennifer Johnson</x:v>
      </x:c>
      <x:c r="I2004" s="0"/>
      <x:c r="J2004" s="0"/>
      <x:c r="K2004" t="n" s="2">
        <x:v>5</x:v>
      </x:c>
      <x:c r="L2004" t="str" s="2">
        <x:v>1.1</x:v>
      </x:c>
      <x:c r="M2004" t="str" s="2">
        <x:v>Tentative</x:v>
      </x:c>
      <x:c r="N2004" t="str" s="2">
        <x:v>Prospect</x:v>
      </x:c>
      <x:c r="O2004" s="0"/>
      <x:c r="P2004" s="6">
        <x:v>46304</x:v>
      </x:c>
      <x:c r="Q2004" s="6">
        <x:v>46304.751443368055</x:v>
      </x:c>
      <x:c r="R2004" s="0"/>
      <x:c r="S2004" s="0"/>
      <x:c r="T2004" s="0"/>
      <x:c r="U2004" s="0"/>
      <x:c r="V2004" s="0"/>
      <x:c r="W2004" s="0"/>
      <x:c r="X2004" t="str" s="2">
        <x:v>7068405517</x:v>
      </x:c>
      <x:c r="Y2004" t="str" s="2">
        <x:v>perkinsannabeth@gmail.com</x:v>
      </x:c>
      <x:c r="Z2004" s="0"/>
      <x:c r="AA2004" s="0"/>
      <x:c r="AB2004" s="6">
        <x:v>46304.75144424768</x:v>
      </x:c>
      <x:c r="AC2004" t="n" s="2">
        <x:v>40704</x:v>
      </x:c>
      <x:c r="AD2004" s="0"/>
      <x:c r="AE2004" s="0"/>
      <x:c r="AF2004" s="0"/>
      <x:c r="AG2004" s="0"/>
      <x:c r="AH2004" s="0"/>
      <x:c r="AI2004" s="0"/>
      <x:c r="AJ2004" s="0"/>
      <x:c r="AK2004" s="0"/>
    </x:row>
    <x:row r="2005">
      <x:c r="A2005" t="str" s="2">
        <x:f>=HYPERLINK("https://rsms.futurehomex.com/lead/40706", "Dwight Hunt")</x:f>
      </x:c>
      <x:c r="B2005" t="n" s="2">
        <x:v>4</x:v>
      </x:c>
      <x:c r="C2005" t="str" s="2">
        <x:v/>
      </x:c>
      <x:c r="D2005" t="str" s="2">
        <x:f>=""</x:f>
      </x:c>
      <x:c r="E2005" s="0"/>
      <x:c r="F2005" t="str" s="2">
        <x:v>Walk-in</x:v>
      </x:c>
      <x:c r="G2005" t="str" s="2">
        <x:v>Heritage Housing of Athens</x:v>
      </x:c>
      <x:c r="H2005" t="str" s="2">
        <x:v>Nathan Bishop</x:v>
      </x:c>
      <x:c r="I2005" s="0"/>
      <x:c r="J2005" s="0"/>
      <x:c r="K2005" t="n" s="2">
        <x:v>5</x:v>
      </x:c>
      <x:c r="L2005" t="str" s="2">
        <x:v>1.1</x:v>
      </x:c>
      <x:c r="M2005" t="str" s="2">
        <x:v>Tentative</x:v>
      </x:c>
      <x:c r="N2005" t="str" s="2">
        <x:v>Prospect</x:v>
      </x:c>
      <x:c r="O2005" s="0"/>
      <x:c r="P2005" s="6">
        <x:v>46304</x:v>
      </x:c>
      <x:c r="Q2005" s="6">
        <x:v>46304.82228133102</x:v>
      </x:c>
      <x:c r="R2005" s="0"/>
      <x:c r="S2005" s="6">
        <x:v>46304</x:v>
      </x:c>
      <x:c r="T2005" s="0"/>
      <x:c r="U2005" s="0"/>
      <x:c r="V2005" s="0"/>
      <x:c r="W2005" s="0"/>
      <x:c r="X2005" t="str" s="2">
        <x:v>8643531287</x:v>
      </x:c>
      <x:c r="Y2005" t="str" s="2">
        <x:v>slickwillie2056@yahoo.com</x:v>
      </x:c>
      <x:c r="Z2005" s="6">
        <x:v>46304.81422453704</x:v>
      </x:c>
      <x:c r="AA2005" t="str" s="2">
        <x:v>Nathan Bishop</x:v>
      </x:c>
      <x:c r="AB2005" s="6">
        <x:v>46304.758761377314</x:v>
      </x:c>
      <x:c r="AC2005" t="n" s="2">
        <x:v>40706</x:v>
      </x:c>
      <x:c r="AD2005" s="0"/>
      <x:c r="AE2005" s="0"/>
      <x:c r="AF2005" s="0"/>
      <x:c r="AG2005" s="0"/>
      <x:c r="AH2005" s="0"/>
      <x:c r="AI2005" s="0"/>
      <x:c r="AJ2005" s="0"/>
      <x:c r="AK2005" s="0"/>
    </x:row>
    <x:row r="2006">
      <x:c r="A2006" t="str" s="2">
        <x:f>=HYPERLINK("https://rsms.futurehomex.com/lead/40707", "Dreama Murphy")</x:f>
      </x:c>
      <x:c r="B2006" t="n" s="2">
        <x:v>4</x:v>
      </x:c>
      <x:c r="C2006" t="str" s="2">
        <x:v/>
      </x:c>
      <x:c r="D2006" t="str" s="2">
        <x:f>=""</x:f>
      </x:c>
      <x:c r="E2006" s="0"/>
      <x:c r="F2006" t="str" s="2">
        <x:v>Walk-in</x:v>
      </x:c>
      <x:c r="G2006" t="str" s="2">
        <x:v>Heritage Housing of Asheboro</x:v>
      </x:c>
      <x:c r="H2006" t="str" s="2">
        <x:v>Maria Lopez</x:v>
      </x:c>
      <x:c r="I2006" s="0"/>
      <x:c r="J2006" s="0"/>
      <x:c r="K2006" t="n" s="2">
        <x:v>21</x:v>
      </x:c>
      <x:c r="L2006" t="str" s="2">
        <x:v>2.1</x:v>
      </x:c>
      <x:c r="M2006" t="str" s="2">
        <x:v>Tentative</x:v>
      </x:c>
      <x:c r="N2006" t="str" s="2">
        <x:v>Qualified</x:v>
      </x:c>
      <x:c r="O2006" s="0"/>
      <x:c r="P2006" s="6">
        <x:v>46304</x:v>
      </x:c>
      <x:c r="Q2006" s="6">
        <x:v>46304.81157149305</x:v>
      </x:c>
      <x:c r="R2006" s="0"/>
      <x:c r="S2006" s="6">
        <x:v>46304</x:v>
      </x:c>
      <x:c r="T2006" s="0"/>
      <x:c r="U2006" s="0"/>
      <x:c r="V2006" s="0"/>
      <x:c r="W2006" s="0"/>
      <x:c r="X2006" t="str" s="2">
        <x:v>3369643284</x:v>
      </x:c>
      <x:c r="Y2006" t="str" s="2">
        <x:v>tmurphy32970@gmail.com</x:v>
      </x:c>
      <x:c r="Z2006" s="6">
        <x:v>46304.817754895834</x:v>
      </x:c>
      <x:c r="AA2006" t="str" s="2">
        <x:v>Maria Lopez</x:v>
      </x:c>
      <x:c r="AB2006" s="6">
        <x:v>46304.784616516205</x:v>
      </x:c>
      <x:c r="AC2006" t="n" s="2">
        <x:v>40707</x:v>
      </x:c>
      <x:c r="AD2006" s="0"/>
      <x:c r="AE2006" s="0"/>
      <x:c r="AF2006" s="0"/>
      <x:c r="AG2006" s="0"/>
      <x:c r="AH2006" s="0"/>
      <x:c r="AI2006" s="0"/>
      <x:c r="AJ2006" s="0"/>
      <x:c r="AK2006" s="0"/>
    </x:row>
    <x:row r="2007">
      <x:c r="A2007" t="str" s="2">
        <x:f>=HYPERLINK("https://rsms.futurehomex.com/lead/40708", "Dylan Paul")</x:f>
      </x:c>
      <x:c r="B2007" t="n" s="2">
        <x:v>4</x:v>
      </x:c>
      <x:c r="C2007" t="str" s="2">
        <x:v/>
      </x:c>
      <x:c r="D2007" t="str" s="2">
        <x:f>=""</x:f>
      </x:c>
      <x:c r="E2007" s="0"/>
      <x:c r="F2007" t="str" s="2">
        <x:v>Referrals</x:v>
      </x:c>
      <x:c r="G2007" t="str" s="2">
        <x:v>Heritage Housing of Oklahoma City</x:v>
      </x:c>
      <x:c r="H2007" t="str" s="2">
        <x:v>Devon McCoy</x:v>
      </x:c>
      <x:c r="I2007" t="str" s="2">
        <x:v>Karol Romero</x:v>
      </x:c>
      <x:c r="J2007" t="str" s="2">
        <x:v>Devon McCoy</x:v>
      </x:c>
      <x:c r="K2007" t="n" s="2">
        <x:v>5</x:v>
      </x:c>
      <x:c r="L2007" t="str" s="2">
        <x:v>1.1</x:v>
      </x:c>
      <x:c r="M2007" t="str" s="2">
        <x:v>Tentative</x:v>
      </x:c>
      <x:c r="N2007" t="str" s="2">
        <x:v>Deal Created</x:v>
      </x:c>
      <x:c r="O2007" s="0"/>
      <x:c r="P2007" s="6">
        <x:v>46304</x:v>
      </x:c>
      <x:c r="Q2007" s="6">
        <x:v>46304.78793472222</x:v>
      </x:c>
      <x:c r="R2007" s="0"/>
      <x:c r="S2007" s="0"/>
      <x:c r="T2007" s="0"/>
      <x:c r="U2007" s="0"/>
      <x:c r="V2007" s="0"/>
      <x:c r="W2007" s="0"/>
      <x:c r="X2007" t="str" s="2">
        <x:v>9073709487</x:v>
      </x:c>
      <x:c r="Y2007" t="str" s="2">
        <x:v>paulfamily66@yahoo.com</x:v>
      </x:c>
      <x:c r="Z2007" s="6">
        <x:v>46304.78829178241</x:v>
      </x:c>
      <x:c r="AA2007" t="str" s="2">
        <x:v>Devon McCoy</x:v>
      </x:c>
      <x:c r="AB2007" s="6">
        <x:v>46304.78793630787</x:v>
      </x:c>
      <x:c r="AC2007" t="n" s="2">
        <x:v>40708</x:v>
      </x:c>
      <x:c r="AD2007" s="0"/>
      <x:c r="AE2007" s="0"/>
      <x:c r="AF2007" s="0"/>
      <x:c r="AG2007" s="7">
        <x:v>3000</x:v>
      </x:c>
      <x:c r="AH2007" s="0"/>
      <x:c r="AI2007" s="0"/>
      <x:c r="AJ2007" s="0"/>
      <x:c r="AK2007" s="0"/>
    </x:row>
    <x:row r="2008">
      <x:c r="A2008" t="str" s="2">
        <x:f>=HYPERLINK("https://rsms.futurehomex.com/lead/40709", "Makale Hebert")</x:f>
      </x:c>
      <x:c r="B2008" t="n" s="2">
        <x:v>4</x:v>
      </x:c>
      <x:c r="C2008" t="str" s="2">
        <x:v>1/2</x:v>
      </x:c>
      <x:c r="D2008" t="str" s="2">
        <x:f>=""</x:f>
      </x:c>
      <x:c r="E2008" s="0"/>
      <x:c r="F2008" t="str" s="2">
        <x:v>Walk-in</x:v>
      </x:c>
      <x:c r="G2008" t="str" s="2">
        <x:v>Heritage Housing of Jennings</x:v>
      </x:c>
      <x:c r="H2008" t="str" s="2">
        <x:v>Clint O'Neal</x:v>
      </x:c>
      <x:c r="I2008" s="0"/>
      <x:c r="J2008" s="0"/>
      <x:c r="K2008" t="n" s="2">
        <x:v>5</x:v>
      </x:c>
      <x:c r="L2008" t="str" s="2">
        <x:v>1.1</x:v>
      </x:c>
      <x:c r="M2008" t="str" s="2">
        <x:v>Active</x:v>
      </x:c>
      <x:c r="N2008" t="str" s="2">
        <x:v>Prospect</x:v>
      </x:c>
      <x:c r="O2008" s="0"/>
      <x:c r="P2008" s="6">
        <x:v>46304</x:v>
      </x:c>
      <x:c r="Q2008" s="6">
        <x:v>46304.81483912037</x:v>
      </x:c>
      <x:c r="R2008" s="0"/>
      <x:c r="S2008" s="0"/>
      <x:c r="T2008" s="0"/>
      <x:c r="U2008" s="0"/>
      <x:c r="V2008" s="0"/>
      <x:c r="W2008" s="0"/>
      <x:c r="X2008" t="str" s="2">
        <x:v>1337371705</x:v>
      </x:c>
      <x:c r="Y2008" t="str" s="2">
        <x:v>makale.hebert@gmail.com</x:v>
      </x:c>
      <x:c r="Z2008" s="6">
        <x:v>46307.80682271991</x:v>
      </x:c>
      <x:c r="AA2008" t="str" s="2">
        <x:v>Clint O'Neal</x:v>
      </x:c>
      <x:c r="AB2008" s="6">
        <x:v>46304.81483966435</x:v>
      </x:c>
      <x:c r="AC2008" t="n" s="2">
        <x:v>40709</x:v>
      </x:c>
      <x:c r="AD2008" s="0"/>
      <x:c r="AE2008" s="0"/>
      <x:c r="AF2008" s="0"/>
      <x:c r="AG2008" s="0"/>
      <x:c r="AH2008" s="0"/>
      <x:c r="AI2008" s="0"/>
      <x:c r="AJ2008" s="0"/>
      <x:c r="AK2008" s="0"/>
    </x:row>
    <x:row r="2009">
      <x:c r="A2009" t="str" s="2">
        <x:f>=HYPERLINK("https://rsms.futurehomex.com/lead/40710", "Anyssa Morales")</x:f>
      </x:c>
      <x:c r="B2009" t="n" s="2">
        <x:v>4</x:v>
      </x:c>
      <x:c r="C2009" t="str" s="2">
        <x:v/>
      </x:c>
      <x:c r="D2009" t="str" s="2">
        <x:f>=""</x:f>
      </x:c>
      <x:c r="E2009" s="0"/>
      <x:c r="F2009" t="str" s="2">
        <x:v>Facebook Messenger</x:v>
      </x:c>
      <x:c r="G2009" t="str" s="2">
        <x:v>Heritage Housing of Oklahoma City</x:v>
      </x:c>
      <x:c r="H2009" t="str" s="2">
        <x:v>Devon McCoy</x:v>
      </x:c>
      <x:c r="I2009" t="str" s="2">
        <x:v>Karol Romero</x:v>
      </x:c>
      <x:c r="J2009" t="str" s="2">
        <x:v>Devon McCoy</x:v>
      </x:c>
      <x:c r="K2009" t="n" s="2">
        <x:v>5</x:v>
      </x:c>
      <x:c r="L2009" t="str" s="2">
        <x:v>1.1</x:v>
      </x:c>
      <x:c r="M2009" t="str" s="2">
        <x:v>Tentative</x:v>
      </x:c>
      <x:c r="N2009" t="str" s="2">
        <x:v>Deal Created</x:v>
      </x:c>
      <x:c r="O2009" s="0"/>
      <x:c r="P2009" s="6">
        <x:v>46304</x:v>
      </x:c>
      <x:c r="Q2009" s="6">
        <x:v>46304.823675</x:v>
      </x:c>
      <x:c r="R2009" s="0"/>
      <x:c r="S2009" s="0"/>
      <x:c r="T2009" s="0"/>
      <x:c r="U2009" s="0"/>
      <x:c r="V2009" s="0"/>
      <x:c r="W2009" s="0"/>
      <x:c r="X2009" t="str" s="2">
        <x:v>4053125056</x:v>
      </x:c>
      <x:c r="Y2009" t="str" s="2">
        <x:v>4053125056</x:v>
      </x:c>
      <x:c r="Z2009" s="6">
        <x:v>46307.81684413194</x:v>
      </x:c>
      <x:c r="AA2009" t="str" s="2">
        <x:v>Devon McCoy</x:v>
      </x:c>
      <x:c r="AB2009" s="6">
        <x:v>46304.82367670139</x:v>
      </x:c>
      <x:c r="AC2009" t="n" s="2">
        <x:v>40710</x:v>
      </x:c>
      <x:c r="AD2009" s="0"/>
      <x:c r="AE2009" s="0"/>
      <x:c r="AF2009" s="0"/>
      <x:c r="AG2009" s="0"/>
      <x:c r="AH2009" s="0"/>
      <x:c r="AI2009" s="0"/>
      <x:c r="AJ2009" s="0"/>
      <x:c r="AK2009" s="0"/>
    </x:row>
    <x:row r="2010">
      <x:c r="A2010" t="str" s="2">
        <x:f>=HYPERLINK("https://rsms.futurehomex.com/lead/40711", "Harley Cargill")</x:f>
      </x:c>
      <x:c r="B2010" t="n" s="2">
        <x:v>4</x:v>
      </x:c>
      <x:c r="C2010" t="str" s="2">
        <x:v/>
      </x:c>
      <x:c r="D2010" t="str" s="2">
        <x:f>=""</x:f>
      </x:c>
      <x:c r="E2010" s="0"/>
      <x:c r="F2010" t="str" s="2">
        <x:v>Facebook Messenger</x:v>
      </x:c>
      <x:c r="G2010" t="str" s="2">
        <x:v>Heritage Housing of Oklahoma City</x:v>
      </x:c>
      <x:c r="H2010" t="str" s="2">
        <x:v>Steve Castell</x:v>
      </x:c>
      <x:c r="I2010" s="0"/>
      <x:c r="J2010" t="str" s="2">
        <x:v>Steve Castell</x:v>
      </x:c>
      <x:c r="K2010" t="n" s="2">
        <x:v>21</x:v>
      </x:c>
      <x:c r="L2010" t="str" s="2">
        <x:v>2.1</x:v>
      </x:c>
      <x:c r="M2010" t="str" s="2">
        <x:v>Tentative</x:v>
      </x:c>
      <x:c r="N2010" t="str" s="2">
        <x:v>Qualified</x:v>
      </x:c>
      <x:c r="O2010" s="0"/>
      <x:c r="P2010" s="6">
        <x:v>46304</x:v>
      </x:c>
      <x:c r="Q2010" s="6">
        <x:v>46304.896460219905</x:v>
      </x:c>
      <x:c r="R2010" s="0"/>
      <x:c r="S2010" s="6">
        <x:v>46304</x:v>
      </x:c>
      <x:c r="T2010" s="0"/>
      <x:c r="U2010" s="0"/>
      <x:c r="V2010" s="0"/>
      <x:c r="W2010" s="0"/>
      <x:c r="X2010" t="str" s="2">
        <x:v>4055853053</x:v>
      </x:c>
      <x:c r="Y2010" t="str" s="2">
        <x:v>harley_bell_07@icloud.com</x:v>
      </x:c>
      <x:c r="Z2010" s="6">
        <x:v>46304.89644282407</x:v>
      </x:c>
      <x:c r="AA2010" t="str" s="2">
        <x:v>Richard Bell</x:v>
      </x:c>
      <x:c r="AB2010" s="6">
        <x:v>46304.8296662037</x:v>
      </x:c>
      <x:c r="AC2010" t="n" s="2">
        <x:v>40711</x:v>
      </x:c>
      <x:c r="AD2010" s="0"/>
      <x:c r="AE2010" s="0"/>
      <x:c r="AF2010" s="0"/>
      <x:c r="AG2010" s="7">
        <x:v>5000</x:v>
      </x:c>
      <x:c r="AH2010" s="0"/>
      <x:c r="AI2010" s="0"/>
      <x:c r="AJ2010" s="0"/>
      <x:c r="AK2010" s="0"/>
    </x:row>
    <x:row r="2011">
      <x:c r="A2011" t="str" s="2">
        <x:f>=HYPERLINK("https://rsms.futurehomex.com/lead/40712", "Roy Wilkerson")</x:f>
      </x:c>
      <x:c r="B2011" t="n" s="2">
        <x:v>4</x:v>
      </x:c>
      <x:c r="C2011" t="str" s="2">
        <x:v/>
      </x:c>
      <x:c r="D2011" t="str" s="2">
        <x:f>=""</x:f>
      </x:c>
      <x:c r="E2011" s="0"/>
      <x:c r="F2011" t="str" s="2">
        <x:v>Other</x:v>
      </x:c>
      <x:c r="G2011" t="str" s="2">
        <x:v>Heritage Housing of Minden</x:v>
      </x:c>
      <x:c r="H2011" t="str" s="2">
        <x:v>Kyla Brown</x:v>
      </x:c>
      <x:c r="I2011" t="str" s="2">
        <x:v>Karol Romero</x:v>
      </x:c>
      <x:c r="J2011" t="str" s="2">
        <x:v>Patrick Schuchart</x:v>
      </x:c>
      <x:c r="K2011" t="n" s="2">
        <x:v>34</x:v>
      </x:c>
      <x:c r="L2011" t="str" s="2">
        <x:v>2.4</x:v>
      </x:c>
      <x:c r="M2011" t="str" s="2">
        <x:v>Active</x:v>
      </x:c>
      <x:c r="N2011" t="str" s="2">
        <x:v>Deal approval</x:v>
      </x:c>
      <x:c r="O2011" s="0"/>
      <x:c r="P2011" s="6">
        <x:v>46304</x:v>
      </x:c>
      <x:c r="Q2011" s="6">
        <x:v>46305.64295474537</x:v>
      </x:c>
      <x:c r="R2011" s="0"/>
      <x:c r="S2011" s="6">
        <x:v>46304</x:v>
      </x:c>
      <x:c r="T2011" s="0"/>
      <x:c r="U2011" s="0"/>
      <x:c r="V2011" s="0"/>
      <x:c r="W2011" s="0"/>
      <x:c r="X2011" t="str" s="2">
        <x:v>3183413264</x:v>
      </x:c>
      <x:c r="Y2011" t="str" s="2">
        <x:v>3183413264</x:v>
      </x:c>
      <x:c r="Z2011" s="6">
        <x:v>46304.933471331016</x:v>
      </x:c>
      <x:c r="AA2011" t="str" s="2">
        <x:v>Kyla Brown</x:v>
      </x:c>
      <x:c r="AB2011" s="6">
        <x:v>46304.839178125</x:v>
      </x:c>
      <x:c r="AC2011" t="n" s="2">
        <x:v>40712</x:v>
      </x:c>
      <x:c r="AD2011" t="str" s="2">
        <x:v>Doublewide</x:v>
      </x:c>
      <x:c r="AE2011" s="0"/>
      <x:c r="AF2011" s="0"/>
      <x:c r="AG2011" s="0"/>
      <x:c r="AH2011" s="0"/>
      <x:c r="AI2011" s="0"/>
      <x:c r="AJ2011" s="0"/>
      <x:c r="AK2011" s="0"/>
    </x:row>
    <x:row r="2012">
      <x:c r="A2012" t="str" s="2">
        <x:f>=HYPERLINK("https://rsms.futurehomex.com/lead/40713", "Kristan Maloy")</x:f>
      </x:c>
      <x:c r="B2012" t="n" s="2">
        <x:v>4</x:v>
      </x:c>
      <x:c r="C2012" t="str" s="2">
        <x:v>1/1</x:v>
      </x:c>
      <x:c r="D2012" t="str" s="2">
        <x:f>=""</x:f>
      </x:c>
      <x:c r="E2012" s="0"/>
      <x:c r="F2012" t="str" s="2">
        <x:v>Landing_BPM</x:v>
      </x:c>
      <x:c r="G2012" t="str" s="2">
        <x:v>Heritage Housing of Oklahoma City</x:v>
      </x:c>
      <x:c r="H2012" t="str" s="2">
        <x:v>Alejandra Calderon</x:v>
      </x:c>
      <x:c r="I2012" s="0"/>
      <x:c r="J2012" t="str" s="2">
        <x:v>Alejandra Calderon</x:v>
      </x:c>
      <x:c r="K2012" t="n" s="2">
        <x:v>5</x:v>
      </x:c>
      <x:c r="L2012" t="str" s="2">
        <x:v>1.1</x:v>
      </x:c>
      <x:c r="M2012" t="str" s="2">
        <x:v>Tentative</x:v>
      </x:c>
      <x:c r="N2012" t="str" s="2">
        <x:v>Deal Created</x:v>
      </x:c>
      <x:c r="O2012" s="0"/>
      <x:c r="P2012" s="6">
        <x:v>46304</x:v>
      </x:c>
      <x:c r="Q2012" s="6">
        <x:v>46305.66434609954</x:v>
      </x:c>
      <x:c r="R2012" s="0"/>
      <x:c r="S2012" s="0"/>
      <x:c r="T2012" s="0"/>
      <x:c r="U2012" s="0"/>
      <x:c r="V2012" s="0"/>
      <x:c r="W2012" s="0"/>
      <x:c r="X2012" t="str" s="2">
        <x:v>4053230750</x:v>
      </x:c>
      <x:c r="Y2012" t="str" s="2">
        <x:v>kshellz5389@gmail.com</x:v>
      </x:c>
      <x:c r="Z2012" s="0"/>
      <x:c r="AA2012" s="0"/>
      <x:c r="AB2012" s="6">
        <x:v>46304.84516431713</x:v>
      </x:c>
      <x:c r="AC2012" t="n" s="2">
        <x:v>40713</x:v>
      </x:c>
      <x:c r="AD2012" s="0"/>
      <x:c r="AE2012" s="0"/>
      <x:c r="AF2012" s="0"/>
      <x:c r="AG2012" s="0"/>
      <x:c r="AH2012" s="0"/>
      <x:c r="AI2012" s="0"/>
      <x:c r="AJ2012" s="0"/>
      <x:c r="AK2012" s="0"/>
    </x:row>
    <x:row r="2013">
      <x:c r="A2013" t="str" s="2">
        <x:f>=HYPERLINK("https://rsms.futurehomex.com/lead/40714", "Portland Andrews")</x:f>
      </x:c>
      <x:c r="B2013" t="n" s="2">
        <x:v>4</x:v>
      </x:c>
      <x:c r="C2013" t="str" s="2">
        <x:v/>
      </x:c>
      <x:c r="D2013" t="str" s="2">
        <x:f>=""</x:f>
      </x:c>
      <x:c r="E2013" s="0"/>
      <x:c r="F2013" t="str" s="2">
        <x:v>Meta Ads - Messenger</x:v>
      </x:c>
      <x:c r="G2013" t="str" s="2">
        <x:v>Heritage Housing of Oklahoma City</x:v>
      </x:c>
      <x:c r="H2013" t="str" s="2">
        <x:v>Alejandra Calderon</x:v>
      </x:c>
      <x:c r="I2013" t="str" s="2">
        <x:v>Karol Romero</x:v>
      </x:c>
      <x:c r="J2013" t="str" s="2">
        <x:v>Alejandra Calderon</x:v>
      </x:c>
      <x:c r="K2013" t="n" s="2">
        <x:v>5</x:v>
      </x:c>
      <x:c r="L2013" t="str" s="2">
        <x:v>1.1</x:v>
      </x:c>
      <x:c r="M2013" t="str" s="2">
        <x:v>Tentative</x:v>
      </x:c>
      <x:c r="N2013" t="str" s="2">
        <x:v>Deal Created</x:v>
      </x:c>
      <x:c r="O2013" s="0"/>
      <x:c r="P2013" s="6">
        <x:v>46304</x:v>
      </x:c>
      <x:c r="Q2013" s="6">
        <x:v>46304.86361605324</x:v>
      </x:c>
      <x:c r="R2013" s="0"/>
      <x:c r="S2013" s="6">
        <x:v>46304</x:v>
      </x:c>
      <x:c r="T2013" s="0"/>
      <x:c r="U2013" s="0"/>
      <x:c r="V2013" s="0"/>
      <x:c r="W2013" s="0"/>
      <x:c r="X2013" t="str" s="2">
        <x:v>4055501143</x:v>
      </x:c>
      <x:c r="Y2013" t="str" s="2">
        <x:v>4055501143</x:v>
      </x:c>
      <x:c r="Z2013" s="6">
        <x:v>46304.92243637732</x:v>
      </x:c>
      <x:c r="AA2013" t="str" s="2">
        <x:v>Alejandra Calderon</x:v>
      </x:c>
      <x:c r="AB2013" s="6">
        <x:v>46304.86361767361</x:v>
      </x:c>
      <x:c r="AC2013" t="n" s="2">
        <x:v>40714</x:v>
      </x:c>
      <x:c r="AD2013" s="0"/>
      <x:c r="AE2013" s="0"/>
      <x:c r="AF2013" s="0"/>
      <x:c r="AG2013" s="0"/>
      <x:c r="AH2013" s="0"/>
      <x:c r="AI2013" s="0"/>
      <x:c r="AJ2013" s="0"/>
      <x:c r="AK2013" s="0"/>
    </x:row>
    <x:row r="2014">
      <x:c r="A2014" t="str" s="2">
        <x:f>=HYPERLINK("https://rsms.futurehomex.com/lead/40715", "Amie Christian")</x:f>
      </x:c>
      <x:c r="B2014" t="n" s="2">
        <x:v>4</x:v>
      </x:c>
      <x:c r="C2014" t="str" s="2">
        <x:v/>
      </x:c>
      <x:c r="D2014" t="str" s="2">
        <x:f>=""</x:f>
      </x:c>
      <x:c r="E2014" s="0"/>
      <x:c r="F2014" t="str" s="2">
        <x:v>Walk-in</x:v>
      </x:c>
      <x:c r="G2014" t="str" s="2">
        <x:v>Heritage Housing of Jennings</x:v>
      </x:c>
      <x:c r="H2014" t="str" s="2">
        <x:v>Mervin Leslie Smith</x:v>
      </x:c>
      <x:c r="I2014" s="0"/>
      <x:c r="J2014" s="0"/>
      <x:c r="K2014" t="n" s="2">
        <x:v>5</x:v>
      </x:c>
      <x:c r="L2014" t="str" s="2">
        <x:v>1.1</x:v>
      </x:c>
      <x:c r="M2014" t="str" s="2">
        <x:v>Tentative</x:v>
      </x:c>
      <x:c r="N2014" t="str" s="2">
        <x:v>Prospect</x:v>
      </x:c>
      <x:c r="O2014" s="0"/>
      <x:c r="P2014" s="6">
        <x:v>46304</x:v>
      </x:c>
      <x:c r="Q2014" s="6">
        <x:v>46304.91028429398</x:v>
      </x:c>
      <x:c r="R2014" s="0"/>
      <x:c r="S2014" s="0"/>
      <x:c r="T2014" s="0"/>
      <x:c r="U2014" s="0"/>
      <x:c r="V2014" s="0"/>
      <x:c r="W2014" s="0"/>
      <x:c r="X2014" t="str" s="2">
        <x:v>3184911242</x:v>
      </x:c>
      <x:c r="Y2014" t="str" s="2">
        <x:v>amieb.christian@yahoo.com</x:v>
      </x:c>
      <x:c r="Z2014" s="6">
        <x:v>46305.72662048611</x:v>
      </x:c>
      <x:c r="AA2014" t="str" s="2">
        <x:v>Mervin Leslie Smith</x:v>
      </x:c>
      <x:c r="AB2014" s="6">
        <x:v>46304.910284756945</x:v>
      </x:c>
      <x:c r="AC2014" t="n" s="2">
        <x:v>40715</x:v>
      </x:c>
      <x:c r="AD2014" s="0"/>
      <x:c r="AE2014" s="0"/>
      <x:c r="AF2014" s="0"/>
      <x:c r="AG2014" s="0"/>
      <x:c r="AH2014" s="0"/>
      <x:c r="AI2014" s="0"/>
      <x:c r="AJ2014" s="0"/>
      <x:c r="AK2014" s="0"/>
    </x:row>
    <x:row r="2015">
      <x:c r="A2015" t="str" s="2">
        <x:f>=HYPERLINK("https://rsms.futurehomex.com/lead/40716", "Desira Queen")</x:f>
      </x:c>
      <x:c r="B2015" t="n" s="2">
        <x:v>4</x:v>
      </x:c>
      <x:c r="C2015" t="str" s="2">
        <x:v>1/1</x:v>
      </x:c>
      <x:c r="D2015" t="str" s="2">
        <x:f>=""</x:f>
      </x:c>
      <x:c r="E2015" s="0"/>
      <x:c r="F2015" t="str" s="2">
        <x:v>Financing Form</x:v>
      </x:c>
      <x:c r="G2015" t="str" s="2">
        <x:v>Heritage Housing of Oklahoma City</x:v>
      </x:c>
      <x:c r="H2015" t="str" s="2">
        <x:v>Trey Rixleben</x:v>
      </x:c>
      <x:c r="I2015" s="0"/>
      <x:c r="J2015" t="str" s="2">
        <x:v>Trey Rixleben</x:v>
      </x:c>
      <x:c r="K2015" t="n" s="2">
        <x:v>5</x:v>
      </x:c>
      <x:c r="L2015" t="str" s="2">
        <x:v>1.1</x:v>
      </x:c>
      <x:c r="M2015" t="str" s="2">
        <x:v>Tentative</x:v>
      </x:c>
      <x:c r="N2015" t="str" s="2">
        <x:v>Deal Created</x:v>
      </x:c>
      <x:c r="O2015" s="0"/>
      <x:c r="P2015" s="6">
        <x:v>46304</x:v>
      </x:c>
      <x:c r="Q2015" s="6">
        <x:v>46304.92412175926</x:v>
      </x:c>
      <x:c r="R2015" s="0"/>
      <x:c r="S2015" s="0"/>
      <x:c r="T2015" s="0"/>
      <x:c r="U2015" s="0"/>
      <x:c r="V2015" s="0"/>
      <x:c r="W2015" s="0"/>
      <x:c r="X2015" t="str" s="2">
        <x:v>4059311922</x:v>
      </x:c>
      <x:c r="Y2015" t="str" s="2">
        <x:v>desiraqueen2015@gmail.com</x:v>
      </x:c>
      <x:c r="Z2015" s="6">
        <x:v>46304.92549366898</x:v>
      </x:c>
      <x:c r="AA2015" t="str" s="2">
        <x:v>Trey Rixleben</x:v>
      </x:c>
      <x:c r="AB2015" s="6">
        <x:v>46304.9237752662</x:v>
      </x:c>
      <x:c r="AC2015" t="n" s="2">
        <x:v>40716</x:v>
      </x:c>
      <x:c r="AD2015" s="0"/>
      <x:c r="AE2015" s="0"/>
      <x:c r="AF2015" s="0"/>
      <x:c r="AG2015" s="0"/>
      <x:c r="AH2015" s="0"/>
      <x:c r="AI2015" s="0"/>
      <x:c r="AJ2015" s="0"/>
      <x:c r="AK2015" s="0"/>
    </x:row>
    <x:row r="2016">
      <x:c r="A2016" t="str" s="2">
        <x:f>=HYPERLINK("https://rsms.futurehomex.com/lead/40717", "Juan Pereira")</x:f>
      </x:c>
      <x:c r="B2016" t="n" s="2">
        <x:v>4</x:v>
      </x:c>
      <x:c r="C2016" t="str" s="2">
        <x:v>1/1</x:v>
      </x:c>
      <x:c r="D2016" t="str" s="2">
        <x:f>=""</x:f>
      </x:c>
      <x:c r="E2016" s="0"/>
      <x:c r="F2016" t="str" s="2">
        <x:v>Meta Ads - Forms</x:v>
      </x:c>
      <x:c r="G2016" t="str" s="2">
        <x:v>Heritage Housing of Oklahoma City</x:v>
      </x:c>
      <x:c r="H2016" t="str" s="2">
        <x:v>Trey Rixleben</x:v>
      </x:c>
      <x:c r="I2016" s="0"/>
      <x:c r="J2016" t="str" s="2">
        <x:v>Trey Rixleben</x:v>
      </x:c>
      <x:c r="K2016" t="n" s="2">
        <x:v>5</x:v>
      </x:c>
      <x:c r="L2016" t="str" s="2">
        <x:v>1.1</x:v>
      </x:c>
      <x:c r="M2016" t="str" s="2">
        <x:v>Tentative</x:v>
      </x:c>
      <x:c r="N2016" t="str" s="2">
        <x:v>Deal Created</x:v>
      </x:c>
      <x:c r="O2016" s="0"/>
      <x:c r="P2016" s="6">
        <x:v>46304</x:v>
      </x:c>
      <x:c r="Q2016" s="6">
        <x:v>46304.92656226852</x:v>
      </x:c>
      <x:c r="R2016" s="0"/>
      <x:c r="S2016" s="0"/>
      <x:c r="T2016" s="0"/>
      <x:c r="U2016" s="0"/>
      <x:c r="V2016" s="0"/>
      <x:c r="W2016" s="0"/>
      <x:c r="X2016" t="str" s="2">
        <x:v>4058129694</x:v>
      </x:c>
      <x:c r="Y2016" t="str" s="2">
        <x:v>Juanpereiragomez03@gmail.com</x:v>
      </x:c>
      <x:c r="Z2016" s="6">
        <x:v>46304.92729714121</x:v>
      </x:c>
      <x:c r="AA2016" t="str" s="2">
        <x:v>Trey Rixleben</x:v>
      </x:c>
      <x:c r="AB2016" s="6">
        <x:v>46304.92631354167</x:v>
      </x:c>
      <x:c r="AC2016" t="n" s="2">
        <x:v>40717</x:v>
      </x:c>
      <x:c r="AD2016" s="0"/>
      <x:c r="AE2016" s="0"/>
      <x:c r="AF2016" s="0"/>
      <x:c r="AG2016" s="0"/>
      <x:c r="AH2016" s="0"/>
      <x:c r="AI2016" s="0"/>
      <x:c r="AJ2016" s="0"/>
      <x:c r="AK2016" s="0"/>
    </x:row>
    <x:row r="2017">
      <x:c r="A2017" t="str" s="2">
        <x:f>=HYPERLINK("https://rsms.futurehomex.com/lead/40718", "John Eubanks")</x:f>
      </x:c>
      <x:c r="B2017" t="n" s="2">
        <x:v>4</x:v>
      </x:c>
      <x:c r="C2017" t="str" s="2">
        <x:v>1/1</x:v>
      </x:c>
      <x:c r="D2017" t="str" s="2">
        <x:f>=""</x:f>
      </x:c>
      <x:c r="E2017" s="0"/>
      <x:c r="F2017" t="str" s="2">
        <x:v>Landing_BPM</x:v>
      </x:c>
      <x:c r="G2017" t="str" s="2">
        <x:v>Heritage Housing of Oklahoma City</x:v>
      </x:c>
      <x:c r="H2017" t="str" s="2">
        <x:v>Trey Rixleben</x:v>
      </x:c>
      <x:c r="I2017" s="0"/>
      <x:c r="J2017" t="str" s="2">
        <x:v>Trey Rixleben</x:v>
      </x:c>
      <x:c r="K2017" t="n" s="2">
        <x:v>5</x:v>
      </x:c>
      <x:c r="L2017" t="str" s="2">
        <x:v>1.1</x:v>
      </x:c>
      <x:c r="M2017" t="str" s="2">
        <x:v>Tentative</x:v>
      </x:c>
      <x:c r="N2017" t="str" s="2">
        <x:v>Deal Created</x:v>
      </x:c>
      <x:c r="O2017" s="0"/>
      <x:c r="P2017" s="6">
        <x:v>46304</x:v>
      </x:c>
      <x:c r="Q2017" s="6">
        <x:v>46304.929302662036</x:v>
      </x:c>
      <x:c r="R2017" s="0"/>
      <x:c r="S2017" s="0"/>
      <x:c r="T2017" s="0"/>
      <x:c r="U2017" s="0"/>
      <x:c r="V2017" s="0"/>
      <x:c r="W2017" s="0"/>
      <x:c r="X2017" t="str" s="2">
        <x:v>405-492-0809</x:v>
      </x:c>
      <x:c r="Y2017" t="str" s="2">
        <x:v>jeubanks1169@gmail.com</x:v>
      </x:c>
      <x:c r="Z2017" s="6">
        <x:v>46304.93089841435</x:v>
      </x:c>
      <x:c r="AA2017" t="str" s="2">
        <x:v>Trey Rixleben</x:v>
      </x:c>
      <x:c r="AB2017" s="6">
        <x:v>46304.92904892361</x:v>
      </x:c>
      <x:c r="AC2017" t="n" s="2">
        <x:v>40718</x:v>
      </x:c>
      <x:c r="AD2017" s="0"/>
      <x:c r="AE2017" s="0"/>
      <x:c r="AF2017" s="0"/>
      <x:c r="AG2017" s="0"/>
      <x:c r="AH2017" s="0"/>
      <x:c r="AI2017" s="0"/>
      <x:c r="AJ2017" s="0"/>
      <x:c r="AK2017" s="0"/>
    </x:row>
    <x:row r="2018">
      <x:c r="A2018" t="str" s="2">
        <x:f>=HYPERLINK("https://rsms.futurehomex.com/lead/40719", "Veronica DE")</x:f>
      </x:c>
      <x:c r="B2018" t="n" s="2">
        <x:v>4</x:v>
      </x:c>
      <x:c r="C2018" t="str" s="2">
        <x:v>1/1</x:v>
      </x:c>
      <x:c r="D2018" t="str" s="2">
        <x:f>=""</x:f>
      </x:c>
      <x:c r="E2018" s="0"/>
      <x:c r="F2018" t="str" s="2">
        <x:v>Meta Ads - Forms</x:v>
      </x:c>
      <x:c r="G2018" t="str" s="2">
        <x:v>Heritage Housing of Oklahoma City</x:v>
      </x:c>
      <x:c r="H2018" t="str" s="2">
        <x:v>Trey Rixleben</x:v>
      </x:c>
      <x:c r="I2018" s="0"/>
      <x:c r="J2018" t="str" s="2">
        <x:v>Trey Rixleben</x:v>
      </x:c>
      <x:c r="K2018" t="n" s="2">
        <x:v>5</x:v>
      </x:c>
      <x:c r="L2018" t="str" s="2">
        <x:v>1.1</x:v>
      </x:c>
      <x:c r="M2018" t="str" s="2">
        <x:v>Tentative</x:v>
      </x:c>
      <x:c r="N2018" t="str" s="2">
        <x:v>Deal Created</x:v>
      </x:c>
      <x:c r="O2018" s="0"/>
      <x:c r="P2018" s="6">
        <x:v>46304</x:v>
      </x:c>
      <x:c r="Q2018" s="6">
        <x:v>46304.93167989583</x:v>
      </x:c>
      <x:c r="R2018" s="0"/>
      <x:c r="S2018" s="0"/>
      <x:c r="T2018" s="0"/>
      <x:c r="U2018" s="0"/>
      <x:c r="V2018" s="0"/>
      <x:c r="W2018" s="0"/>
      <x:c r="X2018" t="str" s="2">
        <x:v>4057958068</x:v>
      </x:c>
      <x:c r="Y2018" t="str" s="2">
        <x:v>solisveronica03@gmail.com</x:v>
      </x:c>
      <x:c r="Z2018" s="6">
        <x:v>46304.93345737269</x:v>
      </x:c>
      <x:c r="AA2018" t="str" s="2">
        <x:v>Trey Rixleben</x:v>
      </x:c>
      <x:c r="AB2018" s="6">
        <x:v>46304.93149270833</x:v>
      </x:c>
      <x:c r="AC2018" t="n" s="2">
        <x:v>40719</x:v>
      </x:c>
      <x:c r="AD2018" s="0"/>
      <x:c r="AE2018" s="0"/>
      <x:c r="AF2018" s="0"/>
      <x:c r="AG2018" s="0"/>
      <x:c r="AH2018" s="0"/>
      <x:c r="AI2018" s="0"/>
      <x:c r="AJ2018" s="0"/>
      <x:c r="AK2018" s="0"/>
    </x:row>
    <x:row r="2019">
      <x:c r="A2019" t="str" s="2">
        <x:f>=HYPERLINK("https://rsms.futurehomex.com/lead/40720", "Stephanie Campbell")</x:f>
      </x:c>
      <x:c r="B2019" t="n" s="2">
        <x:v>4</x:v>
      </x:c>
      <x:c r="C2019" t="str" s="2">
        <x:v/>
      </x:c>
      <x:c r="D2019" t="str" s="2">
        <x:f>=""</x:f>
      </x:c>
      <x:c r="E2019" s="0"/>
      <x:c r="F2019" t="str" s="2">
        <x:v>Financing Form</x:v>
      </x:c>
      <x:c r="G2019" t="str" s="2">
        <x:v>Heritage Housing of Oklahoma City</x:v>
      </x:c>
      <x:c r="H2019" t="str" s="2">
        <x:v>Alejandra Calderon</x:v>
      </x:c>
      <x:c r="I2019" s="0"/>
      <x:c r="J2019" t="str" s="2">
        <x:v>Alejandra Calderon</x:v>
      </x:c>
      <x:c r="K2019" t="n" s="2">
        <x:v>5</x:v>
      </x:c>
      <x:c r="L2019" t="str" s="2">
        <x:v>1.1</x:v>
      </x:c>
      <x:c r="M2019" t="str" s="2">
        <x:v>Tentative</x:v>
      </x:c>
      <x:c r="N2019" t="str" s="2">
        <x:v>Deal Created</x:v>
      </x:c>
      <x:c r="O2019" s="0"/>
      <x:c r="P2019" s="6">
        <x:v>46304</x:v>
      </x:c>
      <x:c r="Q2019" s="6">
        <x:v>46305.589030636576</x:v>
      </x:c>
      <x:c r="R2019" s="0"/>
      <x:c r="S2019" s="0"/>
      <x:c r="T2019" s="0"/>
      <x:c r="U2019" s="0"/>
      <x:c r="V2019" s="0"/>
      <x:c r="W2019" s="0"/>
      <x:c r="X2019" t="str" s="2">
        <x:v>4056549667</x:v>
      </x:c>
      <x:c r="Y2019" t="str" s="2">
        <x:v>scampbell7305@gmail.com</x:v>
      </x:c>
      <x:c r="Z2019" s="0"/>
      <x:c r="AA2019" s="0"/>
      <x:c r="AB2019" s="6">
        <x:v>46304.943361805555</x:v>
      </x:c>
      <x:c r="AC2019" t="n" s="2">
        <x:v>40720</x:v>
      </x:c>
      <x:c r="AD2019" s="0"/>
      <x:c r="AE2019" s="0"/>
      <x:c r="AF2019" s="0"/>
      <x:c r="AG2019" s="0"/>
      <x:c r="AH2019" s="0"/>
      <x:c r="AI2019" s="0"/>
      <x:c r="AJ2019" s="0"/>
      <x:c r="AK2019" s="0"/>
    </x:row>
    <x:row r="2020">
      <x:c r="A2020" t="str" s="2">
        <x:f>=HYPERLINK("https://rsms.futurehomex.com/lead/40721", "Cesar Hernandez")</x:f>
      </x:c>
      <x:c r="B2020" t="n" s="2">
        <x:v>3</x:v>
      </x:c>
      <x:c r="C2020" t="str" s="2">
        <x:v>1/3</x:v>
      </x:c>
      <x:c r="D2020" t="str" s="2">
        <x:f>=""</x:f>
      </x:c>
      <x:c r="E2020" s="0"/>
      <x:c r="F2020" t="str" s="2">
        <x:v>TikTok</x:v>
      </x:c>
      <x:c r="G2020" t="str" s="2">
        <x:v>Heritage Housing of Greenville</x:v>
      </x:c>
      <x:c r="H2020" t="str" s="2">
        <x:v>Ana Garcia</x:v>
      </x:c>
      <x:c r="I2020" t="str" s="2">
        <x:v>Karol Romero</x:v>
      </x:c>
      <x:c r="J2020" t="str" s="2">
        <x:v>Ana Garcia</x:v>
      </x:c>
      <x:c r="K2020" t="n" s="2">
        <x:v>38</x:v>
      </x:c>
      <x:c r="L2020" t="str" s="2">
        <x:v>3.2</x:v>
      </x:c>
      <x:c r="M2020" t="str" s="2">
        <x:v>Active</x:v>
      </x:c>
      <x:c r="N2020" t="str" s="2">
        <x:v>Application</x:v>
      </x:c>
      <x:c r="O2020" s="0"/>
      <x:c r="P2020" s="6">
        <x:v>46305</x:v>
      </x:c>
      <x:c r="Q2020" s="6">
        <x:v>46307.521365740744</x:v>
      </x:c>
      <x:c r="R2020" s="0"/>
      <x:c r="S2020" s="6">
        <x:v>46305</x:v>
      </x:c>
      <x:c r="T2020" s="6">
        <x:v>46305</x:v>
      </x:c>
      <x:c r="U2020" s="6">
        <x:v>46307</x:v>
      </x:c>
      <x:c r="V2020" s="0"/>
      <x:c r="W2020" s="0"/>
      <x:c r="X2020" t="str" s="2">
        <x:v>4698255030</x:v>
      </x:c>
      <x:c r="Y2020" t="str" s="2">
        <x:v>hernanhern61@gmail.com</x:v>
      </x:c>
      <x:c r="Z2020" s="6">
        <x:v>46308.709677280094</x:v>
      </x:c>
      <x:c r="AA2020" t="str" s="2">
        <x:v>Ashley Palomera</x:v>
      </x:c>
      <x:c r="AB2020" s="6">
        <x:v>46305.56169934028</x:v>
      </x:c>
      <x:c r="AC2020" t="n" s="2">
        <x:v>40721</x:v>
      </x:c>
      <x:c r="AD2020" t="str" s="2">
        <x:v>Singlewide</x:v>
      </x:c>
      <x:c r="AE2020" t="str" s="2">
        <x:v>Legacy Housing Corporation</x:v>
      </x:c>
      <x:c r="AF2020" s="0"/>
      <x:c r="AG2020" s="7">
        <x:v>10300</x:v>
      </x:c>
      <x:c r="AH2020" s="0"/>
      <x:c r="AI2020" t="str" s="2">
        <x:v>610</x:v>
      </x:c>
      <x:c r="AJ2020" s="0"/>
      <x:c r="AK2020" s="0"/>
    </x:row>
    <x:row r="2021">
      <x:c r="A2021" t="str" s="2">
        <x:f>=HYPERLINK("https://rsms.futurehomex.com/lead/40722", "Kara Sandifer")</x:f>
      </x:c>
      <x:c r="B2021" t="n" s="2">
        <x:v>3</x:v>
      </x:c>
      <x:c r="C2021" t="str" s="2">
        <x:v/>
      </x:c>
      <x:c r="D2021" t="str" s="2">
        <x:f>=""</x:f>
      </x:c>
      <x:c r="E2021" s="0"/>
      <x:c r="F2021" t="str" s="2">
        <x:v>Facebook Messenger</x:v>
      </x:c>
      <x:c r="G2021" t="str" s="2">
        <x:v>Heritage Housing of Tulsa</x:v>
      </x:c>
      <x:c r="H2021" t="str" s="2">
        <x:v>Jenna Fransisco</x:v>
      </x:c>
      <x:c r="I2021" t="str" s="2">
        <x:v>Karol Romero</x:v>
      </x:c>
      <x:c r="J2021" t="str" s="2">
        <x:v>Jenna Fransisco</x:v>
      </x:c>
      <x:c r="K2021" t="n" s="2">
        <x:v>5</x:v>
      </x:c>
      <x:c r="L2021" t="str" s="2">
        <x:v>1.1</x:v>
      </x:c>
      <x:c r="M2021" t="str" s="2">
        <x:v>Tentative</x:v>
      </x:c>
      <x:c r="N2021" t="str" s="2">
        <x:v>Deal Created</x:v>
      </x:c>
      <x:c r="O2021" s="0"/>
      <x:c r="P2021" s="6">
        <x:v>46305</x:v>
      </x:c>
      <x:c r="Q2021" s="6">
        <x:v>46305.60659768518</x:v>
      </x:c>
      <x:c r="R2021" s="0"/>
      <x:c r="S2021" s="0"/>
      <x:c r="T2021" s="0"/>
      <x:c r="U2021" s="0"/>
      <x:c r="V2021" s="0"/>
      <x:c r="W2021" s="0"/>
      <x:c r="X2021" t="str" s="2">
        <x:v>5738428309</x:v>
      </x:c>
      <x:c r="Y2021" t="str" s="2">
        <x:v>karasandifer4@gmail.com</x:v>
      </x:c>
      <x:c r="Z2021" s="6">
        <x:v>46305.60882094908</x:v>
      </x:c>
      <x:c r="AA2021" t="str" s="2">
        <x:v>Jenna Fransisco</x:v>
      </x:c>
      <x:c r="AB2021" s="6">
        <x:v>46305.60659950232</x:v>
      </x:c>
      <x:c r="AC2021" t="n" s="2">
        <x:v>40722</x:v>
      </x:c>
      <x:c r="AD2021" s="0"/>
      <x:c r="AE2021" s="0"/>
      <x:c r="AF2021" s="0"/>
      <x:c r="AG2021" s="0"/>
      <x:c r="AH2021" s="0"/>
      <x:c r="AI2021" s="0"/>
      <x:c r="AJ2021" s="0"/>
      <x:c r="AK2021" s="0"/>
    </x:row>
    <x:row r="2022">
      <x:c r="A2022" t="str" s="2">
        <x:f>=HYPERLINK("https://rsms.futurehomex.com/lead/40723", "Talitha young")</x:f>
      </x:c>
      <x:c r="B2022" t="n" s="2">
        <x:v>3</x:v>
      </x:c>
      <x:c r="C2022" t="str" s="2">
        <x:v>1/1</x:v>
      </x:c>
      <x:c r="D2022" t="str" s="2">
        <x:f>=""</x:f>
      </x:c>
      <x:c r="E2022" s="0"/>
      <x:c r="F2022" t="str" s="2">
        <x:v>Landing_BPM</x:v>
      </x:c>
      <x:c r="G2022" t="str" s="2">
        <x:v>Heritage Housing of Oklahoma City</x:v>
      </x:c>
      <x:c r="H2022" t="str" s="2">
        <x:v>Steve Castell</x:v>
      </x:c>
      <x:c r="I2022" s="0"/>
      <x:c r="J2022" t="str" s="2">
        <x:v>Steve Castell</x:v>
      </x:c>
      <x:c r="K2022" t="n" s="2">
        <x:v>5</x:v>
      </x:c>
      <x:c r="L2022" t="str" s="2">
        <x:v>1.1</x:v>
      </x:c>
      <x:c r="M2022" t="str" s="2">
        <x:v>Tentative</x:v>
      </x:c>
      <x:c r="N2022" t="str" s="2">
        <x:v>Deal Created</x:v>
      </x:c>
      <x:c r="O2022" s="0"/>
      <x:c r="P2022" s="6">
        <x:v>46305</x:v>
      </x:c>
      <x:c r="Q2022" s="6">
        <x:v>46305.629526122684</x:v>
      </x:c>
      <x:c r="R2022" s="0"/>
      <x:c r="S2022" s="0"/>
      <x:c r="T2022" s="0"/>
      <x:c r="U2022" s="0"/>
      <x:c r="V2022" s="0"/>
      <x:c r="W2022" s="0"/>
      <x:c r="X2022" t="str" s="2">
        <x:v>4052263605</x:v>
      </x:c>
      <x:c r="Y2022" t="str" s="2">
        <x:v>talithayoung366@gmail.com</x:v>
      </x:c>
      <x:c r="Z2022" s="6">
        <x:v>46305.63410640047</x:v>
      </x:c>
      <x:c r="AA2022" t="str" s="2">
        <x:v>Steve Castell</x:v>
      </x:c>
      <x:c r="AB2022" s="6">
        <x:v>46305.628169097225</x:v>
      </x:c>
      <x:c r="AC2022" t="n" s="2">
        <x:v>40723</x:v>
      </x:c>
      <x:c r="AD2022" s="0"/>
      <x:c r="AE2022" s="0"/>
      <x:c r="AF2022" s="0"/>
      <x:c r="AG2022" s="0"/>
      <x:c r="AH2022" s="0"/>
      <x:c r="AI2022" s="0"/>
      <x:c r="AJ2022" s="0"/>
      <x:c r="AK2022" s="0"/>
    </x:row>
    <x:row r="2023">
      <x:c r="A2023" t="str" s="2">
        <x:f>=HYPERLINK("https://rsms.futurehomex.com/lead/40724", "Abby Breve")</x:f>
      </x:c>
      <x:c r="B2023" t="n" s="2">
        <x:v>3</x:v>
      </x:c>
      <x:c r="C2023" t="str" s="2">
        <x:v>1/1</x:v>
      </x:c>
      <x:c r="D2023" t="str" s="2">
        <x:f>=""</x:f>
      </x:c>
      <x:c r="E2023" s="0"/>
      <x:c r="F2023" t="str" s="2">
        <x:v>Walk-in</x:v>
      </x:c>
      <x:c r="G2023" t="str" s="2">
        <x:v>Legacy Housing Corp. DBA Americasa</x:v>
      </x:c>
      <x:c r="H2023" t="str" s="2">
        <x:v>Joey Marquez</x:v>
      </x:c>
      <x:c r="I2023" s="0"/>
      <x:c r="J2023" t="str" s="2">
        <x:v>Joey Marquez</x:v>
      </x:c>
      <x:c r="K2023" t="n" s="2">
        <x:v>5</x:v>
      </x:c>
      <x:c r="L2023" t="str" s="2">
        <x:v>1.1</x:v>
      </x:c>
      <x:c r="M2023" t="str" s="2">
        <x:v>Tentative</x:v>
      </x:c>
      <x:c r="N2023" t="str" s="2">
        <x:v>Deal Created</x:v>
      </x:c>
      <x:c r="O2023" s="0"/>
      <x:c r="P2023" s="6">
        <x:v>46305</x:v>
      </x:c>
      <x:c r="Q2023" s="6">
        <x:v>46305.636393368055</x:v>
      </x:c>
      <x:c r="R2023" s="0"/>
      <x:c r="S2023" s="0"/>
      <x:c r="T2023" s="0"/>
      <x:c r="U2023" s="0"/>
      <x:c r="V2023" s="0"/>
      <x:c r="W2023" s="0"/>
      <x:c r="X2023" t="str" s="2">
        <x:v>8322170764</x:v>
      </x:c>
      <x:c r="Y2023" t="str" s="2">
        <x:v>8322170764</x:v>
      </x:c>
      <x:c r="Z2023" s="6">
        <x:v>46305.65857395833</x:v>
      </x:c>
      <x:c r="AA2023" t="str" s="2">
        <x:v>Joey Marquez</x:v>
      </x:c>
      <x:c r="AB2023" s="6">
        <x:v>46305.63639479167</x:v>
      </x:c>
      <x:c r="AC2023" t="n" s="2">
        <x:v>40724</x:v>
      </x:c>
      <x:c r="AD2023" s="0"/>
      <x:c r="AE2023" s="0"/>
      <x:c r="AF2023" s="0"/>
      <x:c r="AG2023" s="0"/>
      <x:c r="AH2023" s="0"/>
      <x:c r="AI2023" s="0"/>
      <x:c r="AJ2023" s="0"/>
      <x:c r="AK2023" s="0"/>
    </x:row>
    <x:row r="2024">
      <x:c r="A2024" t="str" s="2">
        <x:f>=HYPERLINK("https://rsms.futurehomex.com/lead/40725", "Pat Schuchart")</x:f>
      </x:c>
      <x:c r="B2024" t="n" s="2">
        <x:v>3</x:v>
      </x:c>
      <x:c r="C2024" t="str" s="2">
        <x:v/>
      </x:c>
      <x:c r="D2024" t="str" s="2">
        <x:f>=""</x:f>
      </x:c>
      <x:c r="E2024" s="0"/>
      <x:c r="F2024" t="str" s="2">
        <x:v>Walk-in</x:v>
      </x:c>
      <x:c r="G2024" t="str" s="2">
        <x:v>Heritage Housing of Minden</x:v>
      </x:c>
      <x:c r="H2024" t="str" s="2">
        <x:v>Patrick Schuchart</x:v>
      </x:c>
      <x:c r="I2024" t="str" s="2">
        <x:v>Karol Romero</x:v>
      </x:c>
      <x:c r="J2024" t="str" s="2">
        <x:v>Patrick Schuchart</x:v>
      </x:c>
      <x:c r="K2024" t="n" s="2">
        <x:v>5</x:v>
      </x:c>
      <x:c r="L2024" t="str" s="2">
        <x:v>1.1</x:v>
      </x:c>
      <x:c r="M2024" t="str" s="2">
        <x:v>Dead</x:v>
      </x:c>
      <x:c r="N2024" t="str" s="2">
        <x:v>Deal Created</x:v>
      </x:c>
      <x:c r="O2024" s="0"/>
      <x:c r="P2024" s="6">
        <x:v>46305</x:v>
      </x:c>
      <x:c r="Q2024" s="6">
        <x:v>46305.668719444446</x:v>
      </x:c>
      <x:c r="R2024" t="str" s="2">
        <x:v>Patrick Schuchart</x:v>
      </x:c>
      <x:c r="S2024" s="0"/>
      <x:c r="T2024" s="0"/>
      <x:c r="U2024" s="0"/>
      <x:c r="V2024" s="0"/>
      <x:c r="W2024" s="0"/>
      <x:c r="X2024" t="str" s="2">
        <x:v>2145440880</x:v>
      </x:c>
      <x:c r="Y2024" t="str" s="2">
        <x:v>2145440880</x:v>
      </x:c>
      <x:c r="Z2024" s="0"/>
      <x:c r="AA2024" s="0"/>
      <x:c r="AB2024" s="6">
        <x:v>46305.66515755787</x:v>
      </x:c>
      <x:c r="AC2024" t="n" s="2">
        <x:v>40725</x:v>
      </x:c>
      <x:c r="AD2024" s="0"/>
      <x:c r="AE2024" s="0"/>
      <x:c r="AF2024" s="0"/>
      <x:c r="AG2024" s="7">
        <x:v>6500</x:v>
      </x:c>
      <x:c r="AH2024" s="0"/>
      <x:c r="AI2024" s="0"/>
      <x:c r="AJ2024" s="0"/>
      <x:c r="AK2024" s="0"/>
    </x:row>
    <x:row r="2025">
      <x:c r="A2025" t="str" s="2">
        <x:f>=HYPERLINK("https://rsms.futurehomex.com/lead/40726", "Jack Wood")</x:f>
      </x:c>
      <x:c r="B2025" t="n" s="2">
        <x:v>3</x:v>
      </x:c>
      <x:c r="C2025" t="str" s="2">
        <x:v>1/1</x:v>
      </x:c>
      <x:c r="D2025" t="str" s="2">
        <x:f>=""</x:f>
      </x:c>
      <x:c r="E2025" s="0"/>
      <x:c r="F2025" t="str" s="2">
        <x:v>Meta Marketplace</x:v>
      </x:c>
      <x:c r="G2025" t="str" s="2">
        <x:v>Heritage Housing of Oklahoma City</x:v>
      </x:c>
      <x:c r="H2025" t="str" s="2">
        <x:v>Alejandra Calderon</x:v>
      </x:c>
      <x:c r="I2025" s="0"/>
      <x:c r="J2025" s="0"/>
      <x:c r="K2025" t="n" s="2">
        <x:v>5</x:v>
      </x:c>
      <x:c r="L2025" t="str" s="2">
        <x:v>1.1</x:v>
      </x:c>
      <x:c r="M2025" t="str" s="2">
        <x:v>Tentative</x:v>
      </x:c>
      <x:c r="N2025" t="str" s="2">
        <x:v>Prospect</x:v>
      </x:c>
      <x:c r="O2025" s="0"/>
      <x:c r="P2025" s="6">
        <x:v>46305</x:v>
      </x:c>
      <x:c r="Q2025" s="6">
        <x:v>46305.68233240741</x:v>
      </x:c>
      <x:c r="R2025" s="0"/>
      <x:c r="S2025" s="0"/>
      <x:c r="T2025" s="0"/>
      <x:c r="U2025" s="0"/>
      <x:c r="V2025" s="0"/>
      <x:c r="W2025" s="0"/>
      <x:c r="X2025" t="str" s="2">
        <x:v>5722201245</x:v>
      </x:c>
      <x:c r="Y2025" t="str" s="2">
        <x:v>unlimitedpowerllc@yahoo.com</x:v>
      </x:c>
      <x:c r="Z2025" s="6">
        <x:v>46305.68970682871</x:v>
      </x:c>
      <x:c r="AA2025" t="str" s="2">
        <x:v>Alejandra Calderon</x:v>
      </x:c>
      <x:c r="AB2025" s="6">
        <x:v>46305.670168668985</x:v>
      </x:c>
      <x:c r="AC2025" t="n" s="2">
        <x:v>40726</x:v>
      </x:c>
      <x:c r="AD2025" s="0"/>
      <x:c r="AE2025" s="0"/>
      <x:c r="AF2025" s="0"/>
      <x:c r="AG2025" s="0"/>
      <x:c r="AH2025" s="0"/>
      <x:c r="AI2025" t="str" s="2">
        <x:v>527</x:v>
      </x:c>
      <x:c r="AJ2025" s="0"/>
      <x:c r="AK2025" s="0"/>
    </x:row>
    <x:row r="2026">
      <x:c r="A2026" t="str" s="2">
        <x:f>=HYPERLINK("https://rsms.futurehomex.com/lead/40727", "Sara Garcia")</x:f>
      </x:c>
      <x:c r="B2026" t="n" s="2">
        <x:v>3</x:v>
      </x:c>
      <x:c r="C2026" t="str" s="2">
        <x:v>1/1</x:v>
      </x:c>
      <x:c r="D2026" t="str" s="2">
        <x:f>=""</x:f>
      </x:c>
      <x:c r="E2026" t="str" s="2">
        <x:v>Francisco Suarez</x:v>
      </x:c>
      <x:c r="F2026" t="str" s="2">
        <x:v>Referrals</x:v>
      </x:c>
      <x:c r="G2026" t="str" s="2">
        <x:v>Legacy Housing Corp. DBA Americasa</x:v>
      </x:c>
      <x:c r="H2026" t="str" s="2">
        <x:v>Angelica Mendoza </x:v>
      </x:c>
      <x:c r="I2026" t="str" s="2">
        <x:v>Karol Romero</x:v>
      </x:c>
      <x:c r="J2026" s="0"/>
      <x:c r="K2026" t="n" s="2">
        <x:v>5</x:v>
      </x:c>
      <x:c r="L2026" t="str" s="2">
        <x:v>1.1</x:v>
      </x:c>
      <x:c r="M2026" t="str" s="2">
        <x:v>Tentative</x:v>
      </x:c>
      <x:c r="N2026" t="str" s="2">
        <x:v>Prospect</x:v>
      </x:c>
      <x:c r="O2026" s="0"/>
      <x:c r="P2026" s="6">
        <x:v>46305</x:v>
      </x:c>
      <x:c r="Q2026" s="6">
        <x:v>46305.69455130787</x:v>
      </x:c>
      <x:c r="R2026" s="0"/>
      <x:c r="S2026" s="0"/>
      <x:c r="T2026" s="0"/>
      <x:c r="U2026" s="0"/>
      <x:c r="V2026" s="0"/>
      <x:c r="W2026" s="0"/>
      <x:c r="X2026" t="str" s="2">
        <x:v>9545482955</x:v>
      </x:c>
      <x:c r="Y2026" t="str" s="2">
        <x:v>9545482955</x:v>
      </x:c>
      <x:c r="Z2026" s="6">
        <x:v>46305.697120983794</x:v>
      </x:c>
      <x:c r="AA2026" t="str" s="2">
        <x:v>Angelica Mendoza </x:v>
      </x:c>
      <x:c r="AB2026" s="6">
        <x:v>46305.694227314816</x:v>
      </x:c>
      <x:c r="AC2026" t="n" s="2">
        <x:v>40727</x:v>
      </x:c>
      <x:c r="AD2026" s="0"/>
      <x:c r="AE2026" s="0"/>
      <x:c r="AF2026" s="0"/>
      <x:c r="AG2026" s="0"/>
      <x:c r="AH2026" s="0"/>
      <x:c r="AI2026" s="0"/>
      <x:c r="AJ2026" s="0"/>
      <x:c r="AK2026" s="0"/>
    </x:row>
    <x:row r="2027">
      <x:c r="A2027" t="str" s="2">
        <x:f>=HYPERLINK("https://rsms.futurehomex.com/lead/40728", "Hector roque")</x:f>
      </x:c>
      <x:c r="B2027" t="n" s="2">
        <x:v>3</x:v>
      </x:c>
      <x:c r="C2027" t="str" s="2">
        <x:v>1/1</x:v>
      </x:c>
      <x:c r="D2027" t="str" s="2">
        <x:f>=""</x:f>
      </x:c>
      <x:c r="E2027" s="0"/>
      <x:c r="F2027" t="str" s="2">
        <x:v>Meta Ads - Forms</x:v>
      </x:c>
      <x:c r="G2027" t="str" s="2">
        <x:v>Heritage Housing of Oklahoma City</x:v>
      </x:c>
      <x:c r="H2027" t="str" s="2">
        <x:v>Trey Rixleben</x:v>
      </x:c>
      <x:c r="I2027" s="0"/>
      <x:c r="J2027" t="str" s="2">
        <x:v>Trey Rixleben</x:v>
      </x:c>
      <x:c r="K2027" t="n" s="2">
        <x:v>5</x:v>
      </x:c>
      <x:c r="L2027" t="str" s="2">
        <x:v>1.1</x:v>
      </x:c>
      <x:c r="M2027" t="str" s="2">
        <x:v>Tentative</x:v>
      </x:c>
      <x:c r="N2027" t="str" s="2">
        <x:v>Deal Created</x:v>
      </x:c>
      <x:c r="O2027" s="0"/>
      <x:c r="P2027" s="6">
        <x:v>46305</x:v>
      </x:c>
      <x:c r="Q2027" s="6">
        <x:v>46305.70599487268</x:v>
      </x:c>
      <x:c r="R2027" t="str" s="2">
        <x:v>Alejandra Calderon</x:v>
      </x:c>
      <x:c r="S2027" s="0"/>
      <x:c r="T2027" s="0"/>
      <x:c r="U2027" s="0"/>
      <x:c r="V2027" s="0"/>
      <x:c r="W2027" s="0"/>
      <x:c r="X2027" t="str" s="2">
        <x:v>4057549457</x:v>
      </x:c>
      <x:c r="Y2027" t="str" s="2">
        <x:v>roqueyahir08@gmail.com</x:v>
      </x:c>
      <x:c r="Z2027" s="6">
        <x:v>46305.707050034725</x:v>
      </x:c>
      <x:c r="AA2027" t="str" s="2">
        <x:v>Trey Rixleben</x:v>
      </x:c>
      <x:c r="AB2027" s="6">
        <x:v>46305.70574375</x:v>
      </x:c>
      <x:c r="AC2027" t="n" s="2">
        <x:v>40728</x:v>
      </x:c>
      <x:c r="AD2027" s="0"/>
      <x:c r="AE2027" s="0"/>
      <x:c r="AF2027" s="0"/>
      <x:c r="AG2027" s="0"/>
      <x:c r="AH2027" s="0"/>
      <x:c r="AI2027" s="0"/>
      <x:c r="AJ2027" s="0"/>
      <x:c r="AK2027" s="0"/>
    </x:row>
    <x:row r="2028">
      <x:c r="A2028" t="str" s="2">
        <x:f>=HYPERLINK("https://rsms.futurehomex.com/lead/40729", "Christopher Wlliams")</x:f>
      </x:c>
      <x:c r="B2028" t="n" s="2">
        <x:v>3</x:v>
      </x:c>
      <x:c r="C2028" t="str" s="2">
        <x:v/>
      </x:c>
      <x:c r="D2028" t="str" s="2">
        <x:f>=""</x:f>
      </x:c>
      <x:c r="E2028" s="0"/>
      <x:c r="F2028" t="str" s="2">
        <x:v>Facebook Messenger</x:v>
      </x:c>
      <x:c r="G2028" t="str" s="2">
        <x:v>Heritage Housing Mt Pleasant</x:v>
      </x:c>
      <x:c r="H2028" t="str" s="2">
        <x:v>Yarelis Torres</x:v>
      </x:c>
      <x:c r="I2028" s="0"/>
      <x:c r="J2028" t="str" s="2">
        <x:v>Yarelis Torres</x:v>
      </x:c>
      <x:c r="K2028" t="n" s="2">
        <x:v>5</x:v>
      </x:c>
      <x:c r="L2028" t="str" s="2">
        <x:v>1.1</x:v>
      </x:c>
      <x:c r="M2028" t="str" s="2">
        <x:v>Tentative</x:v>
      </x:c>
      <x:c r="N2028" t="str" s="2">
        <x:v>Deal Created</x:v>
      </x:c>
      <x:c r="O2028" s="0"/>
      <x:c r="P2028" s="6">
        <x:v>46305</x:v>
      </x:c>
      <x:c r="Q2028" s="6">
        <x:v>46305.94216369213</x:v>
      </x:c>
      <x:c r="R2028" s="0"/>
      <x:c r="S2028" s="0"/>
      <x:c r="T2028" s="0"/>
      <x:c r="U2028" s="0"/>
      <x:c r="V2028" s="0"/>
      <x:c r="W2028" s="0"/>
      <x:c r="X2028" t="str" s="2">
        <x:v>8064333667</x:v>
      </x:c>
      <x:c r="Y2028" t="str" s="2">
        <x:v>cowboysexpresstrucking@gmail.com</x:v>
      </x:c>
      <x:c r="Z2028" s="6">
        <x:v>46305.91443846065</x:v>
      </x:c>
      <x:c r="AA2028" t="str" s="2">
        <x:v>Yarelis Torres</x:v>
      </x:c>
      <x:c r="AB2028" s="6">
        <x:v>46305.70913877315</x:v>
      </x:c>
      <x:c r="AC2028" t="n" s="2">
        <x:v>40729</x:v>
      </x:c>
      <x:c r="AD2028" s="0"/>
      <x:c r="AE2028" s="0"/>
      <x:c r="AF2028" s="0"/>
      <x:c r="AG2028" s="0"/>
      <x:c r="AH2028" s="0"/>
      <x:c r="AI2028" s="0"/>
      <x:c r="AJ2028" s="0"/>
      <x:c r="AK2028" s="0"/>
    </x:row>
    <x:row r="2029">
      <x:c r="A2029" t="str" s="2">
        <x:f>=HYPERLINK("https://rsms.futurehomex.com/lead/40730", "Sara Cervantes")</x:f>
      </x:c>
      <x:c r="B2029" t="n" s="2">
        <x:v>3</x:v>
      </x:c>
      <x:c r="C2029" t="str" s="2">
        <x:v>1/1</x:v>
      </x:c>
      <x:c r="D2029" t="str" s="2">
        <x:f>=""</x:f>
      </x:c>
      <x:c r="E2029" s="0"/>
      <x:c r="F2029" t="str" s="2">
        <x:v>Landing_BPM</x:v>
      </x:c>
      <x:c r="G2029" t="str" s="2">
        <x:v>Heritage Housing of Oklahoma City</x:v>
      </x:c>
      <x:c r="H2029" t="str" s="2">
        <x:v>Trey Rixleben</x:v>
      </x:c>
      <x:c r="I2029" s="0"/>
      <x:c r="J2029" t="str" s="2">
        <x:v>Trey Rixleben</x:v>
      </x:c>
      <x:c r="K2029" t="n" s="2">
        <x:v>5</x:v>
      </x:c>
      <x:c r="L2029" t="str" s="2">
        <x:v>1.1</x:v>
      </x:c>
      <x:c r="M2029" t="str" s="2">
        <x:v>Tentative</x:v>
      </x:c>
      <x:c r="N2029" t="str" s="2">
        <x:v>Deal Created</x:v>
      </x:c>
      <x:c r="O2029" s="0"/>
      <x:c r="P2029" s="6">
        <x:v>46305</x:v>
      </x:c>
      <x:c r="Q2029" s="6">
        <x:v>46305.70993452546</x:v>
      </x:c>
      <x:c r="R2029" t="str" s="2">
        <x:v>Steve Castell</x:v>
      </x:c>
      <x:c r="S2029" s="0"/>
      <x:c r="T2029" s="0"/>
      <x:c r="U2029" s="0"/>
      <x:c r="V2029" s="0"/>
      <x:c r="W2029" s="0"/>
      <x:c r="X2029" t="str" s="2">
        <x:v>4055197263</x:v>
      </x:c>
      <x:c r="Y2029" t="str" s="2">
        <x:v>sarakayehill33@gmail.com</x:v>
      </x:c>
      <x:c r="Z2029" s="6">
        <x:v>46308.64313440972</x:v>
      </x:c>
      <x:c r="AA2029" t="str" s="2">
        <x:v>Trey Rixleben</x:v>
      </x:c>
      <x:c r="AB2029" s="6">
        <x:v>46305.7097153125</x:v>
      </x:c>
      <x:c r="AC2029" t="n" s="2">
        <x:v>40730</x:v>
      </x:c>
      <x:c r="AD2029" s="0"/>
      <x:c r="AE2029" s="0"/>
      <x:c r="AF2029" s="0"/>
      <x:c r="AG2029" s="0"/>
      <x:c r="AH2029" s="0"/>
      <x:c r="AI2029" s="0"/>
      <x:c r="AJ2029" s="0"/>
      <x:c r="AK2029" s="0"/>
    </x:row>
    <x:row r="2030">
      <x:c r="A2030" t="str" s="2">
        <x:f>=HYPERLINK("https://rsms.futurehomex.com/lead/40731", "Sonya Lejeune")</x:f>
      </x:c>
      <x:c r="B2030" t="n" s="2">
        <x:v>3</x:v>
      </x:c>
      <x:c r="C2030" t="str" s="2">
        <x:v>1/2</x:v>
      </x:c>
      <x:c r="D2030" t="str" s="2">
        <x:f>=""</x:f>
      </x:c>
      <x:c r="E2030" s="0"/>
      <x:c r="F2030" t="str" s="2">
        <x:v>Walk-in</x:v>
      </x:c>
      <x:c r="G2030" t="str" s="2">
        <x:v>Heritage Housing of Jennings</x:v>
      </x:c>
      <x:c r="H2030" t="str" s="2">
        <x:v>Mervin Leslie Smith</x:v>
      </x:c>
      <x:c r="I2030" s="0"/>
      <x:c r="J2030" s="0"/>
      <x:c r="K2030" t="n" s="2">
        <x:v>5</x:v>
      </x:c>
      <x:c r="L2030" t="str" s="2">
        <x:v>1.1</x:v>
      </x:c>
      <x:c r="M2030" t="str" s="2">
        <x:v>Tentative</x:v>
      </x:c>
      <x:c r="N2030" t="str" s="2">
        <x:v>Prospect</x:v>
      </x:c>
      <x:c r="O2030" s="0"/>
      <x:c r="P2030" s="6">
        <x:v>46305</x:v>
      </x:c>
      <x:c r="Q2030" s="6">
        <x:v>46305.71579371528</x:v>
      </x:c>
      <x:c r="R2030" s="0"/>
      <x:c r="S2030" s="0"/>
      <x:c r="T2030" s="0"/>
      <x:c r="U2030" s="0"/>
      <x:c r="V2030" s="0"/>
      <x:c r="W2030" s="0"/>
      <x:c r="X2030" t="str" s="2">
        <x:v>3373441225</x:v>
      </x:c>
      <x:c r="Y2030" t="str" s="2">
        <x:v>sunshineandstorms33@yahoo.com</x:v>
      </x:c>
      <x:c r="Z2030" s="6">
        <x:v>46308.706270636576</x:v>
      </x:c>
      <x:c r="AA2030" t="str" s="2">
        <x:v>Mervin Leslie Smith</x:v>
      </x:c>
      <x:c r="AB2030" s="6">
        <x:v>46305.71579429398</x:v>
      </x:c>
      <x:c r="AC2030" t="n" s="2">
        <x:v>40731</x:v>
      </x:c>
      <x:c r="AD2030" s="0"/>
      <x:c r="AE2030" s="0"/>
      <x:c r="AF2030" s="0"/>
      <x:c r="AG2030" s="0"/>
      <x:c r="AH2030" s="0"/>
      <x:c r="AI2030" s="0"/>
      <x:c r="AJ2030" s="0"/>
      <x:c r="AK2030" s="0"/>
    </x:row>
    <x:row r="2031">
      <x:c r="A2031" t="str" s="2">
        <x:f>=HYPERLINK("https://rsms.futurehomex.com/lead/40732", "Charllote Carey")</x:f>
      </x:c>
      <x:c r="B2031" t="n" s="2">
        <x:v>3</x:v>
      </x:c>
      <x:c r="C2031" t="str" s="2">
        <x:v>1/1</x:v>
      </x:c>
      <x:c r="D2031" t="str" s="2">
        <x:f>=""</x:f>
      </x:c>
      <x:c r="E2031" s="0"/>
      <x:c r="F2031" t="str" s="2">
        <x:v>Walk-in</x:v>
      </x:c>
      <x:c r="G2031" t="str" s="2">
        <x:v>Heritage Housing of Minden</x:v>
      </x:c>
      <x:c r="H2031" t="str" s="2">
        <x:v>Patrick Schuchart</x:v>
      </x:c>
      <x:c r="I2031" s="0"/>
      <x:c r="J2031" s="0"/>
      <x:c r="K2031" t="n" s="2">
        <x:v>5</x:v>
      </x:c>
      <x:c r="L2031" t="str" s="2">
        <x:v>1.1</x:v>
      </x:c>
      <x:c r="M2031" t="str" s="2">
        <x:v>Tentative</x:v>
      </x:c>
      <x:c r="N2031" t="str" s="2">
        <x:v>Prospect</x:v>
      </x:c>
      <x:c r="O2031" s="0"/>
      <x:c r="P2031" s="6">
        <x:v>46305</x:v>
      </x:c>
      <x:c r="Q2031" s="6">
        <x:v>46305.74706223379</x:v>
      </x:c>
      <x:c r="R2031" s="0"/>
      <x:c r="S2031" s="0"/>
      <x:c r="T2031" s="0"/>
      <x:c r="U2031" s="0"/>
      <x:c r="V2031" s="0"/>
      <x:c r="W2031" s="0"/>
      <x:c r="X2031" t="str" s="2">
        <x:v>3182005604</x:v>
      </x:c>
      <x:c r="Y2031" t="str" s="2">
        <x:v>talktell@yahoo.com</x:v>
      </x:c>
      <x:c r="Z2031" s="6">
        <x:v>46305.75057133102</x:v>
      </x:c>
      <x:c r="AA2031" t="str" s="2">
        <x:v>Patrick Schuchart</x:v>
      </x:c>
      <x:c r="AB2031" s="6">
        <x:v>46305.74706296296</x:v>
      </x:c>
      <x:c r="AC2031" t="n" s="2">
        <x:v>40732</x:v>
      </x:c>
      <x:c r="AD2031" s="0"/>
      <x:c r="AE2031" s="0"/>
      <x:c r="AF2031" s="0"/>
      <x:c r="AG2031" s="0"/>
      <x:c r="AH2031" s="0"/>
      <x:c r="AI2031" s="0"/>
      <x:c r="AJ2031" s="0"/>
      <x:c r="AK2031" s="0"/>
    </x:row>
    <x:row r="2032">
      <x:c r="A2032" t="str" s="2">
        <x:f>=HYPERLINK("https://rsms.futurehomex.com/lead/40733", "Wymilet Pena")</x:f>
      </x:c>
      <x:c r="B2032" t="n" s="2">
        <x:v>3</x:v>
      </x:c>
      <x:c r="C2032" t="str" s="2">
        <x:v/>
      </x:c>
      <x:c r="D2032" t="str" s="2">
        <x:f>=""</x:f>
      </x:c>
      <x:c r="E2032" s="0"/>
      <x:c r="F2032" t="str" s="2">
        <x:v>Other</x:v>
      </x:c>
      <x:c r="G2032" t="str" s="2">
        <x:v>Heritage Housing of Oklahoma City</x:v>
      </x:c>
      <x:c r="H2032" t="str" s="2">
        <x:v>Devon McCoy</x:v>
      </x:c>
      <x:c r="I2032" t="str" s="2">
        <x:v>Karol Romero</x:v>
      </x:c>
      <x:c r="J2032" t="str" s="2">
        <x:v>Devon McCoy</x:v>
      </x:c>
      <x:c r="K2032" t="n" s="2">
        <x:v>5</x:v>
      </x:c>
      <x:c r="L2032" t="str" s="2">
        <x:v>1.1</x:v>
      </x:c>
      <x:c r="M2032" t="str" s="2">
        <x:v>Tentative</x:v>
      </x:c>
      <x:c r="N2032" t="str" s="2">
        <x:v>Deal Created</x:v>
      </x:c>
      <x:c r="O2032" s="0"/>
      <x:c r="P2032" s="6">
        <x:v>46305</x:v>
      </x:c>
      <x:c r="Q2032" s="6">
        <x:v>46305.76708376157</x:v>
      </x:c>
      <x:c r="R2032" s="0"/>
      <x:c r="S2032" s="0"/>
      <x:c r="T2032" s="0"/>
      <x:c r="U2032" s="0"/>
      <x:c r="V2032" s="0"/>
      <x:c r="W2032" s="0"/>
      <x:c r="X2032" t="str" s="2">
        <x:v>4054135496</x:v>
      </x:c>
      <x:c r="Y2032" t="str" s="2">
        <x:v>silbayamailt3@yahoo.com</x:v>
      </x:c>
      <x:c r="Z2032" s="6">
        <x:v>46305.7673946412</x:v>
      </x:c>
      <x:c r="AA2032" t="str" s="2">
        <x:v>Devon McCoy</x:v>
      </x:c>
      <x:c r="AB2032" s="6">
        <x:v>46305.76708521991</x:v>
      </x:c>
      <x:c r="AC2032" t="n" s="2">
        <x:v>40733</x:v>
      </x:c>
      <x:c r="AD2032" s="0"/>
      <x:c r="AE2032" s="0"/>
      <x:c r="AF2032" s="0"/>
      <x:c r="AG2032" s="0"/>
      <x:c r="AH2032" s="0"/>
      <x:c r="AI2032" s="0"/>
      <x:c r="AJ2032" s="0"/>
      <x:c r="AK2032" s="0"/>
    </x:row>
    <x:row r="2033">
      <x:c r="A2033" t="str" s="2">
        <x:f>=HYPERLINK("https://rsms.futurehomex.com/lead/40734", "Jesse Wallace")</x:f>
      </x:c>
      <x:c r="B2033" t="n" s="2">
        <x:v>3</x:v>
      </x:c>
      <x:c r="C2033" t="str" s="2">
        <x:v>1/3</x:v>
      </x:c>
      <x:c r="D2033" t="str" s="2">
        <x:f>=""</x:f>
      </x:c>
      <x:c r="E2033" s="0"/>
      <x:c r="F2033" t="str" s="2">
        <x:v>Walk-in</x:v>
      </x:c>
      <x:c r="G2033" t="str" s="2">
        <x:v>Heritage Housing of Oklahoma City</x:v>
      </x:c>
      <x:c r="H2033" t="str" s="2">
        <x:v>Steve Castell</x:v>
      </x:c>
      <x:c r="I2033" s="0"/>
      <x:c r="J2033" t="str" s="2">
        <x:v>Steve Castell</x:v>
      </x:c>
      <x:c r="K2033" t="n" s="2">
        <x:v>38</x:v>
      </x:c>
      <x:c r="L2033" t="str" s="2">
        <x:v>3.2</x:v>
      </x:c>
      <x:c r="M2033" t="str" s="2">
        <x:v>Active</x:v>
      </x:c>
      <x:c r="N2033" t="str" s="2">
        <x:v>Application</x:v>
      </x:c>
      <x:c r="O2033" s="0"/>
      <x:c r="P2033" s="6">
        <x:v>46305</x:v>
      </x:c>
      <x:c r="Q2033" s="6">
        <x:v>46308.67799413195</x:v>
      </x:c>
      <x:c r="R2033" s="0"/>
      <x:c r="S2033" s="6">
        <x:v>46305</x:v>
      </x:c>
      <x:c r="T2033" s="0"/>
      <x:c r="U2033" s="0"/>
      <x:c r="V2033" s="0"/>
      <x:c r="W2033" s="0"/>
      <x:c r="X2033" t="str" s="2">
        <x:v>4052100881</x:v>
      </x:c>
      <x:c r="Y2033" t="str" s="2">
        <x:v>twistedtabor@yahoo.com</x:v>
      </x:c>
      <x:c r="Z2033" s="6">
        <x:v>46308.69156681713</x:v>
      </x:c>
      <x:c r="AA2033" t="str" s="2">
        <x:v>Sarahi Vazquez</x:v>
      </x:c>
      <x:c r="AB2033" s="6">
        <x:v>46305.78167800926</x:v>
      </x:c>
      <x:c r="AC2033" t="n" s="2">
        <x:v>40734</x:v>
      </x:c>
      <x:c r="AD2033" t="str" s="2">
        <x:v>Doublewide</x:v>
      </x:c>
      <x:c r="AE2033" t="str" s="2">
        <x:v>Legacy Housing Corporation</x:v>
      </x:c>
      <x:c r="AF2033" s="7">
        <x:v>12700</x:v>
      </x:c>
      <x:c r="AG2033" s="7">
        <x:v>12700</x:v>
      </x:c>
      <x:c r="AH2033" s="0"/>
      <x:c r="AI2033" t="str" s="2">
        <x:v>748</x:v>
      </x:c>
      <x:c r="AJ2033" s="0"/>
      <x:c r="AK2033" s="0"/>
    </x:row>
    <x:row r="2034">
      <x:c r="A2034" t="str" s="2">
        <x:f>=HYPERLINK("https://rsms.futurehomex.com/lead/40735", "Danille Micheau")</x:f>
      </x:c>
      <x:c r="B2034" t="n" s="2">
        <x:v>3</x:v>
      </x:c>
      <x:c r="C2034" t="str" s="2">
        <x:v/>
      </x:c>
      <x:c r="D2034" t="str" s="2">
        <x:f>=""</x:f>
      </x:c>
      <x:c r="E2034" s="0"/>
      <x:c r="F2034" t="str" s="2">
        <x:v>Walk-in</x:v>
      </x:c>
      <x:c r="G2034" t="str" s="2">
        <x:v>Heritage Housing of Athens</x:v>
      </x:c>
      <x:c r="H2034" t="str" s="2">
        <x:v>Ethan Fossett</x:v>
      </x:c>
      <x:c r="I2034" s="0"/>
      <x:c r="J2034" s="0"/>
      <x:c r="K2034" t="n" s="2">
        <x:v>5</x:v>
      </x:c>
      <x:c r="L2034" t="str" s="2">
        <x:v>1.1</x:v>
      </x:c>
      <x:c r="M2034" t="str" s="2">
        <x:v>Tentative</x:v>
      </x:c>
      <x:c r="N2034" t="str" s="2">
        <x:v>Prospect</x:v>
      </x:c>
      <x:c r="O2034" s="0"/>
      <x:c r="P2034" s="6">
        <x:v>46305</x:v>
      </x:c>
      <x:c r="Q2034" s="6">
        <x:v>46305.82753414352</x:v>
      </x:c>
      <x:c r="R2034" s="0"/>
      <x:c r="S2034" s="0"/>
      <x:c r="T2034" s="0"/>
      <x:c r="U2034" s="0"/>
      <x:c r="V2034" s="0"/>
      <x:c r="W2034" s="0"/>
      <x:c r="X2034" t="str" s="2">
        <x:v>8659731815</x:v>
      </x:c>
      <x:c r="Y2034" t="str" s="2">
        <x:v>danillemicheau@yahoo.com</x:v>
      </x:c>
      <x:c r="Z2034" s="0"/>
      <x:c r="AA2034" s="0"/>
      <x:c r="AB2034" s="6">
        <x:v>46305.827534641205</x:v>
      </x:c>
      <x:c r="AC2034" t="n" s="2">
        <x:v>40735</x:v>
      </x:c>
      <x:c r="AD2034" s="0"/>
      <x:c r="AE2034" s="0"/>
      <x:c r="AF2034" s="0"/>
      <x:c r="AG2034" s="0"/>
      <x:c r="AH2034" s="0"/>
      <x:c r="AI2034" s="0"/>
      <x:c r="AJ2034" s="0"/>
      <x:c r="AK2034" s="0"/>
    </x:row>
    <x:row r="2035">
      <x:c r="A2035" t="str" s="2">
        <x:f>=HYPERLINK("https://rsms.futurehomex.com/lead/40736", "Stephen Davis")</x:f>
      </x:c>
      <x:c r="B2035" t="n" s="2">
        <x:v>3</x:v>
      </x:c>
      <x:c r="C2035" t="str" s="2">
        <x:v/>
      </x:c>
      <x:c r="D2035" t="str" s="2">
        <x:f>=""</x:f>
      </x:c>
      <x:c r="E2035" s="0"/>
      <x:c r="F2035" t="str" s="2">
        <x:v>Walk-in</x:v>
      </x:c>
      <x:c r="G2035" t="str" s="2">
        <x:v>Heritage Housing of Oklahoma City</x:v>
      </x:c>
      <x:c r="H2035" t="str" s="2">
        <x:v>Devon McCoy</x:v>
      </x:c>
      <x:c r="I2035" t="str" s="2">
        <x:v>Karol Romero</x:v>
      </x:c>
      <x:c r="J2035" t="str" s="2">
        <x:v>Devon McCoy</x:v>
      </x:c>
      <x:c r="K2035" t="n" s="2">
        <x:v>5</x:v>
      </x:c>
      <x:c r="L2035" t="str" s="2">
        <x:v>1.1</x:v>
      </x:c>
      <x:c r="M2035" t="str" s="2">
        <x:v>Tentative</x:v>
      </x:c>
      <x:c r="N2035" t="str" s="2">
        <x:v>Deal Created</x:v>
      </x:c>
      <x:c r="O2035" s="0"/>
      <x:c r="P2035" s="6">
        <x:v>46305</x:v>
      </x:c>
      <x:c r="Q2035" s="6">
        <x:v>46305.850773067126</x:v>
      </x:c>
      <x:c r="R2035" s="0"/>
      <x:c r="S2035" s="0"/>
      <x:c r="T2035" s="0"/>
      <x:c r="U2035" s="0"/>
      <x:c r="V2035" s="0"/>
      <x:c r="W2035" s="0"/>
      <x:c r="X2035" t="str" s="2">
        <x:v>4058187977</x:v>
      </x:c>
      <x:c r="Y2035" t="str" s="2">
        <x:v>4058187977</x:v>
      </x:c>
      <x:c r="Z2035" s="6">
        <x:v>46305.85182873843</x:v>
      </x:c>
      <x:c r="AA2035" t="str" s="2">
        <x:v>Devon McCoy</x:v>
      </x:c>
      <x:c r="AB2035" s="6">
        <x:v>46305.85077503472</x:v>
      </x:c>
      <x:c r="AC2035" t="n" s="2">
        <x:v>40736</x:v>
      </x:c>
      <x:c r="AD2035" s="0"/>
      <x:c r="AE2035" s="0"/>
      <x:c r="AF2035" s="0"/>
      <x:c r="AG2035" s="0"/>
      <x:c r="AH2035" s="0"/>
      <x:c r="AI2035" s="0"/>
      <x:c r="AJ2035" s="0"/>
      <x:c r="AK2035" s="0"/>
    </x:row>
    <x:row r="2036">
      <x:c r="A2036" t="str" s="2">
        <x:f>=HYPERLINK("https://rsms.futurehomex.com/lead/40737", "Chip Kelly")</x:f>
      </x:c>
      <x:c r="B2036" t="n" s="2">
        <x:v>3</x:v>
      </x:c>
      <x:c r="C2036" t="str" s="2">
        <x:v>1/1</x:v>
      </x:c>
      <x:c r="D2036" t="str" s="2">
        <x:f>=""</x:f>
      </x:c>
      <x:c r="E2036" s="0"/>
      <x:c r="F2036" t="str" s="2">
        <x:v>Walk-in</x:v>
      </x:c>
      <x:c r="G2036" t="str" s="2">
        <x:v>Heritage Housing of Oklahoma City</x:v>
      </x:c>
      <x:c r="H2036" t="str" s="2">
        <x:v>Devon McCoy</x:v>
      </x:c>
      <x:c r="I2036" t="str" s="2">
        <x:v>Karol Romero</x:v>
      </x:c>
      <x:c r="J2036" t="str" s="2">
        <x:v>Devon McCoy</x:v>
      </x:c>
      <x:c r="K2036" t="n" s="2">
        <x:v>5</x:v>
      </x:c>
      <x:c r="L2036" t="str" s="2">
        <x:v>1.1</x:v>
      </x:c>
      <x:c r="M2036" t="str" s="2">
        <x:v>Tentative</x:v>
      </x:c>
      <x:c r="N2036" t="str" s="2">
        <x:v>Deal Created</x:v>
      </x:c>
      <x:c r="O2036" s="0"/>
      <x:c r="P2036" s="6">
        <x:v>46305</x:v>
      </x:c>
      <x:c r="Q2036" s="6">
        <x:v>46305.890574074074</x:v>
      </x:c>
      <x:c r="R2036" s="0"/>
      <x:c r="S2036" s="0"/>
      <x:c r="T2036" s="0"/>
      <x:c r="U2036" s="0"/>
      <x:c r="V2036" s="0"/>
      <x:c r="W2036" s="0"/>
      <x:c r="X2036" t="str" s="2">
        <x:v>4058822293</x:v>
      </x:c>
      <x:c r="Y2036" t="str" s="2">
        <x:v>4058822293</x:v>
      </x:c>
      <x:c r="Z2036" s="6">
        <x:v>46305.8916002662</x:v>
      </x:c>
      <x:c r="AA2036" t="str" s="2">
        <x:v>Devon McCoy</x:v>
      </x:c>
      <x:c r="AB2036" s="6">
        <x:v>46305.89057916667</x:v>
      </x:c>
      <x:c r="AC2036" t="n" s="2">
        <x:v>40737</x:v>
      </x:c>
      <x:c r="AD2036" s="0"/>
      <x:c r="AE2036" s="0"/>
      <x:c r="AF2036" s="0"/>
      <x:c r="AG2036" s="0"/>
      <x:c r="AH2036" s="0"/>
      <x:c r="AI2036" s="0"/>
      <x:c r="AJ2036" s="0"/>
      <x:c r="AK2036" s="0"/>
    </x:row>
    <x:row r="2037">
      <x:c r="A2037" t="str" s="2">
        <x:f>=HYPERLINK("https://rsms.futurehomex.com/lead/40738", "Joe Smith")</x:f>
      </x:c>
      <x:c r="B2037" t="n" s="2">
        <x:v>3</x:v>
      </x:c>
      <x:c r="C2037" t="str" s="2">
        <x:v/>
      </x:c>
      <x:c r="D2037" t="str" s="2">
        <x:f>=""</x:f>
      </x:c>
      <x:c r="E2037" s="0"/>
      <x:c r="F2037" t="str" s="2">
        <x:v>Meta Marketplace</x:v>
      </x:c>
      <x:c r="G2037" t="str" s="2">
        <x:v>Heritage Housing of Oklahoma City</x:v>
      </x:c>
      <x:c r="H2037" t="str" s="2">
        <x:v>Alejandra Calderon</x:v>
      </x:c>
      <x:c r="I2037" s="0"/>
      <x:c r="J2037" t="str" s="2">
        <x:v>Alejandra Calderon</x:v>
      </x:c>
      <x:c r="K2037" t="n" s="2">
        <x:v>5</x:v>
      </x:c>
      <x:c r="L2037" t="str" s="2">
        <x:v>1.1</x:v>
      </x:c>
      <x:c r="M2037" t="str" s="2">
        <x:v>Dead</x:v>
      </x:c>
      <x:c r="N2037" t="str" s="2">
        <x:v>Deal Created</x:v>
      </x:c>
      <x:c r="O2037" s="0"/>
      <x:c r="P2037" s="6">
        <x:v>46305</x:v>
      </x:c>
      <x:c r="Q2037" s="6">
        <x:v>46305.91756412037</x:v>
      </x:c>
      <x:c r="R2037" s="0"/>
      <x:c r="S2037" s="0"/>
      <x:c r="T2037" s="0"/>
      <x:c r="U2037" s="0"/>
      <x:c r="V2037" s="0"/>
      <x:c r="W2037" s="0"/>
      <x:c r="X2037" t="str" s="2">
        <x:v>1212121212</x:v>
      </x:c>
      <x:c r="Y2037" t="str" s="2">
        <x:v>1212121212</x:v>
      </x:c>
      <x:c r="Z2037" s="0"/>
      <x:c r="AA2037" s="0"/>
      <x:c r="AB2037" s="6">
        <x:v>46305.91756489583</x:v>
      </x:c>
      <x:c r="AC2037" t="n" s="2">
        <x:v>40738</x:v>
      </x:c>
      <x:c r="AD2037" s="0"/>
      <x:c r="AE2037" s="0"/>
      <x:c r="AF2037" s="0"/>
      <x:c r="AG2037" s="0"/>
      <x:c r="AH2037" s="0"/>
      <x:c r="AI2037" s="0"/>
      <x:c r="AJ2037" s="0"/>
      <x:c r="AK2037" s="0"/>
    </x:row>
    <x:row r="2038">
      <x:c r="A2038" t="str" s="2">
        <x:f>=HYPERLINK("https://rsms.futurehomex.com/lead/40741", "Sarah Fry")</x:f>
      </x:c>
      <x:c r="B2038" t="n" s="2">
        <x:v>2</x:v>
      </x:c>
      <x:c r="C2038" t="str" s="2">
        <x:v/>
      </x:c>
      <x:c r="D2038" t="str" s="2">
        <x:f>=""</x:f>
      </x:c>
      <x:c r="E2038" s="0"/>
      <x:c r="F2038" t="str" s="2">
        <x:v>Other</x:v>
      </x:c>
      <x:c r="G2038" t="str" s="2">
        <x:v>Heritage Housing Mt Pleasant</x:v>
      </x:c>
      <x:c r="H2038" t="str" s="2">
        <x:v>Sandra Saldana</x:v>
      </x:c>
      <x:c r="I2038" s="0"/>
      <x:c r="J2038" t="str" s="2">
        <x:v>Sandra Saldana</x:v>
      </x:c>
      <x:c r="K2038" t="n" s="2">
        <x:v>5</x:v>
      </x:c>
      <x:c r="L2038" t="str" s="2">
        <x:v>1.1</x:v>
      </x:c>
      <x:c r="M2038" t="str" s="2">
        <x:v>Tentative</x:v>
      </x:c>
      <x:c r="N2038" t="str" s="2">
        <x:v>Deal Created</x:v>
      </x:c>
      <x:c r="O2038" s="0"/>
      <x:c r="P2038" s="6">
        <x:v>46306</x:v>
      </x:c>
      <x:c r="Q2038" s="6">
        <x:v>46306.71569953704</x:v>
      </x:c>
      <x:c r="R2038" s="0"/>
      <x:c r="S2038" s="0"/>
      <x:c r="T2038" s="0"/>
      <x:c r="U2038" s="0"/>
      <x:c r="V2038" s="0"/>
      <x:c r="W2038" s="0"/>
      <x:c r="X2038" t="str" s="2">
        <x:v>9038559421</x:v>
      </x:c>
      <x:c r="Y2038" t="str" s="2">
        <x:v>sfry@mpisd.net</x:v>
      </x:c>
      <x:c r="Z2038" s="6">
        <x:v>46306.73090243056</x:v>
      </x:c>
      <x:c r="AA2038" t="str" s="2">
        <x:v>Sandra Saldana</x:v>
      </x:c>
      <x:c r="AB2038" s="6">
        <x:v>46306.71570552083</x:v>
      </x:c>
      <x:c r="AC2038" t="n" s="2">
        <x:v>40741</x:v>
      </x:c>
      <x:c r="AD2038" s="0"/>
      <x:c r="AE2038" s="0"/>
      <x:c r="AF2038" s="0"/>
      <x:c r="AG2038" s="0"/>
      <x:c r="AH2038" s="0"/>
      <x:c r="AI2038" s="0"/>
      <x:c r="AJ2038" s="0"/>
      <x:c r="AK2038" s="0"/>
    </x:row>
    <x:row r="2039">
      <x:c r="A2039" t="str" s="2">
        <x:f>=HYPERLINK("https://rsms.futurehomex.com/lead/40743", "Deon Belle")</x:f>
      </x:c>
      <x:c r="B2039" t="n" s="2">
        <x:v>2</x:v>
      </x:c>
      <x:c r="C2039" t="str" s="2">
        <x:v/>
      </x:c>
      <x:c r="D2039" t="str" s="2">
        <x:f>=""</x:f>
      </x:c>
      <x:c r="E2039" s="0"/>
      <x:c r="F2039" t="str" s="2">
        <x:v>Landing_BPM</x:v>
      </x:c>
      <x:c r="G2039" t="str" s="2">
        <x:v>Heritage Housing of Albany</x:v>
      </x:c>
      <x:c r="H2039" t="str" s="2">
        <x:v>Yanet Alvarez</x:v>
      </x:c>
      <x:c r="I2039" s="0"/>
      <x:c r="J2039" t="str" s="2">
        <x:v>Yanet Alvarez</x:v>
      </x:c>
      <x:c r="K2039" t="n" s="2">
        <x:v>5</x:v>
      </x:c>
      <x:c r="L2039" t="str" s="2">
        <x:v>1.1</x:v>
      </x:c>
      <x:c r="M2039" t="str" s="2">
        <x:v>Tentative</x:v>
      </x:c>
      <x:c r="N2039" t="str" s="2">
        <x:v>Deal Created</x:v>
      </x:c>
      <x:c r="O2039" s="0"/>
      <x:c r="P2039" s="6">
        <x:v>46306</x:v>
      </x:c>
      <x:c r="Q2039" s="6">
        <x:v>46306.747389502314</x:v>
      </x:c>
      <x:c r="R2039" s="0"/>
      <x:c r="S2039" s="0"/>
      <x:c r="T2039" s="0"/>
      <x:c r="U2039" s="0"/>
      <x:c r="V2039" s="0"/>
      <x:c r="W2039" s="0"/>
      <x:c r="X2039" t="str" s="2">
        <x:v>2293642968</x:v>
      </x:c>
      <x:c r="Y2039" t="str" s="2">
        <x:v>deonbelle28@yahoo.com</x:v>
      </x:c>
      <x:c r="Z2039" s="0"/>
      <x:c r="AA2039" s="0"/>
      <x:c r="AB2039" s="6">
        <x:v>46306.747390474535</x:v>
      </x:c>
      <x:c r="AC2039" t="n" s="2">
        <x:v>40743</x:v>
      </x:c>
      <x:c r="AD2039" s="0"/>
      <x:c r="AE2039" s="0"/>
      <x:c r="AF2039" s="0"/>
      <x:c r="AG2039" s="0"/>
      <x:c r="AH2039" s="0"/>
      <x:c r="AI2039" s="0"/>
      <x:c r="AJ2039" s="0"/>
      <x:c r="AK2039" s="0"/>
    </x:row>
    <x:row r="2040">
      <x:c r="A2040" t="str" s="2">
        <x:f>=HYPERLINK("https://rsms.futurehomex.com/lead/40746", "Debra Rose")</x:f>
      </x:c>
      <x:c r="B2040" t="n" s="2">
        <x:v>1</x:v>
      </x:c>
      <x:c r="C2040" t="str" s="2">
        <x:v>1/1</x:v>
      </x:c>
      <x:c r="D2040" t="str" s="2">
        <x:f>=""</x:f>
      </x:c>
      <x:c r="E2040" s="0"/>
      <x:c r="F2040" t="str" s="2">
        <x:v>Financing Form</x:v>
      </x:c>
      <x:c r="G2040" t="str" s="2">
        <x:v>Heritage Housing of Oklahoma City</x:v>
      </x:c>
      <x:c r="H2040" t="str" s="2">
        <x:v>Steve Castell</x:v>
      </x:c>
      <x:c r="I2040" s="0"/>
      <x:c r="J2040" t="str" s="2">
        <x:v>Steve Castell</x:v>
      </x:c>
      <x:c r="K2040" t="n" s="2">
        <x:v>5</x:v>
      </x:c>
      <x:c r="L2040" t="str" s="2">
        <x:v>1.1</x:v>
      </x:c>
      <x:c r="M2040" t="str" s="2">
        <x:v>Tentative</x:v>
      </x:c>
      <x:c r="N2040" t="str" s="2">
        <x:v>Deal Created</x:v>
      </x:c>
      <x:c r="O2040" s="0"/>
      <x:c r="P2040" s="6">
        <x:v>46307</x:v>
      </x:c>
      <x:c r="Q2040" s="6">
        <x:v>46307.05804938657</x:v>
      </x:c>
      <x:c r="R2040" s="0"/>
      <x:c r="S2040" s="0"/>
      <x:c r="T2040" s="0"/>
      <x:c r="U2040" s="0"/>
      <x:c r="V2040" s="0"/>
      <x:c r="W2040" s="0"/>
      <x:c r="X2040" t="str" s="2">
        <x:v>5808267764</x:v>
      </x:c>
      <x:c r="Y2040" t="str" s="2">
        <x:v>debiwest88@gmail.com</x:v>
      </x:c>
      <x:c r="Z2040" s="6">
        <x:v>46307.05828896991</x:v>
      </x:c>
      <x:c r="AA2040" t="str" s="2">
        <x:v>Steve Castell</x:v>
      </x:c>
      <x:c r="AB2040" s="6">
        <x:v>46307.057240821756</x:v>
      </x:c>
      <x:c r="AC2040" t="n" s="2">
        <x:v>40746</x:v>
      </x:c>
      <x:c r="AD2040" s="0"/>
      <x:c r="AE2040" s="0"/>
      <x:c r="AF2040" s="0"/>
      <x:c r="AG2040" s="0"/>
      <x:c r="AH2040" s="0"/>
      <x:c r="AI2040" s="0"/>
      <x:c r="AJ2040" s="0"/>
      <x:c r="AK2040" s="0"/>
    </x:row>
    <x:row r="2041">
      <x:c r="A2041" t="str" s="2">
        <x:f>=HYPERLINK("https://rsms.futurehomex.com/lead/40747", "alivia hazen")</x:f>
      </x:c>
      <x:c r="B2041" t="n" s="2">
        <x:v>1</x:v>
      </x:c>
      <x:c r="C2041" t="str" s="2">
        <x:v>1/1</x:v>
      </x:c>
      <x:c r="D2041" t="str" s="2">
        <x:f>=""</x:f>
      </x:c>
      <x:c r="E2041" s="0"/>
      <x:c r="F2041" t="str" s="2">
        <x:v>Financing Form</x:v>
      </x:c>
      <x:c r="G2041" t="str" s="2">
        <x:v>Heritage Housing of Oklahoma City</x:v>
      </x:c>
      <x:c r="H2041" t="str" s="2">
        <x:v>Steve Castell</x:v>
      </x:c>
      <x:c r="I2041" s="0"/>
      <x:c r="J2041" t="str" s="2">
        <x:v>Steve Castell</x:v>
      </x:c>
      <x:c r="K2041" t="n" s="2">
        <x:v>5</x:v>
      </x:c>
      <x:c r="L2041" t="str" s="2">
        <x:v>1.1</x:v>
      </x:c>
      <x:c r="M2041" t="str" s="2">
        <x:v>Tentative</x:v>
      </x:c>
      <x:c r="N2041" t="str" s="2">
        <x:v>Deal Created</x:v>
      </x:c>
      <x:c r="O2041" s="0"/>
      <x:c r="P2041" s="6">
        <x:v>46307</x:v>
      </x:c>
      <x:c r="Q2041" s="6">
        <x:v>46307.59509575232</x:v>
      </x:c>
      <x:c r="R2041" s="0"/>
      <x:c r="S2041" s="0"/>
      <x:c r="T2041" s="0"/>
      <x:c r="U2041" s="0"/>
      <x:c r="V2041" s="0"/>
      <x:c r="W2041" s="0"/>
      <x:c r="X2041" t="str" s="2">
        <x:v>5802297751</x:v>
      </x:c>
      <x:c r="Y2041" t="str" s="2">
        <x:v>aliviahazen130@gmail.com</x:v>
      </x:c>
      <x:c r="Z2041" s="6">
        <x:v>46307.59749479167</x:v>
      </x:c>
      <x:c r="AA2041" t="str" s="2">
        <x:v>Steve Castell</x:v>
      </x:c>
      <x:c r="AB2041" s="6">
        <x:v>46307.59477546296</x:v>
      </x:c>
      <x:c r="AC2041" t="n" s="2">
        <x:v>40747</x:v>
      </x:c>
      <x:c r="AD2041" s="0"/>
      <x:c r="AE2041" s="0"/>
      <x:c r="AF2041" s="0"/>
      <x:c r="AG2041" s="0"/>
      <x:c r="AH2041" s="0"/>
      <x:c r="AI2041" s="0"/>
      <x:c r="AJ2041" s="0"/>
      <x:c r="AK2041" s="0"/>
    </x:row>
    <x:row r="2042">
      <x:c r="A2042" t="str" s="2">
        <x:f>=HYPERLINK("https://rsms.futurehomex.com/lead/40748", "Alba Carbajal Carbajal")</x:f>
      </x:c>
      <x:c r="B2042" t="n" s="2">
        <x:v>1</x:v>
      </x:c>
      <x:c r="C2042" t="str" s="2">
        <x:v>1/2</x:v>
      </x:c>
      <x:c r="D2042" t="str" s="2">
        <x:f>=""</x:f>
      </x:c>
      <x:c r="E2042" s="0"/>
      <x:c r="F2042" t="str" s="2">
        <x:v>Landing_BPM</x:v>
      </x:c>
      <x:c r="G2042" t="str" s="2">
        <x:v>Heritage Housing of Oklahoma City</x:v>
      </x:c>
      <x:c r="H2042" t="str" s="2">
        <x:v>Steve Castell</x:v>
      </x:c>
      <x:c r="I2042" s="0"/>
      <x:c r="J2042" t="str" s="2">
        <x:v>Steve Castell</x:v>
      </x:c>
      <x:c r="K2042" t="n" s="2">
        <x:v>5</x:v>
      </x:c>
      <x:c r="L2042" t="str" s="2">
        <x:v>1.1</x:v>
      </x:c>
      <x:c r="M2042" t="str" s="2">
        <x:v>Tentative</x:v>
      </x:c>
      <x:c r="N2042" t="str" s="2">
        <x:v>Deal Created</x:v>
      </x:c>
      <x:c r="O2042" s="0"/>
      <x:c r="P2042" s="6">
        <x:v>46307</x:v>
      </x:c>
      <x:c r="Q2042" s="6">
        <x:v>46307.599087002316</x:v>
      </x:c>
      <x:c r="R2042" s="0"/>
      <x:c r="S2042" s="0"/>
      <x:c r="T2042" s="0"/>
      <x:c r="U2042" s="0"/>
      <x:c r="V2042" s="0"/>
      <x:c r="W2042" s="0"/>
      <x:c r="X2042" t="str" s="2">
        <x:v>4704166432</x:v>
      </x:c>
      <x:c r="Y2042" t="str" s="2">
        <x:v>albaeduardo1201@gmail.com</x:v>
      </x:c>
      <x:c r="Z2042" s="6">
        <x:v>46308.64787271991</x:v>
      </x:c>
      <x:c r="AA2042" t="str" s="2">
        <x:v>Steve Castell</x:v>
      </x:c>
      <x:c r="AB2042" s="6">
        <x:v>46307.5980565625</x:v>
      </x:c>
      <x:c r="AC2042" t="n" s="2">
        <x:v>40748</x:v>
      </x:c>
      <x:c r="AD2042" s="0"/>
      <x:c r="AE2042" s="0"/>
      <x:c r="AF2042" s="0"/>
      <x:c r="AG2042" s="0"/>
      <x:c r="AH2042" s="0"/>
      <x:c r="AI2042" s="0"/>
      <x:c r="AJ2042" s="0"/>
      <x:c r="AK2042" s="0"/>
    </x:row>
    <x:row r="2043">
      <x:c r="A2043" t="str" s="2">
        <x:f>=HYPERLINK("https://rsms.futurehomex.com/lead/40749", "Daryl Furn")</x:f>
      </x:c>
      <x:c r="B2043" t="n" s="2">
        <x:v>1</x:v>
      </x:c>
      <x:c r="C2043" t="str" s="2">
        <x:v>1/2</x:v>
      </x:c>
      <x:c r="D2043" t="str" s="2">
        <x:f>=""</x:f>
      </x:c>
      <x:c r="E2043" s="0"/>
      <x:c r="F2043" t="str" s="2">
        <x:v>Facebook Messenger</x:v>
      </x:c>
      <x:c r="G2043" t="str" s="2">
        <x:v>Heritage Housing of Oklahoma City</x:v>
      </x:c>
      <x:c r="H2043" t="str" s="2">
        <x:v>Devon McCoy</x:v>
      </x:c>
      <x:c r="I2043" t="str" s="2">
        <x:v>Karol Romero</x:v>
      </x:c>
      <x:c r="J2043" t="str" s="2">
        <x:v>Devon McCoy</x:v>
      </x:c>
      <x:c r="K2043" t="n" s="2">
        <x:v>5</x:v>
      </x:c>
      <x:c r="L2043" t="str" s="2">
        <x:v>1.1</x:v>
      </x:c>
      <x:c r="M2043" t="str" s="2">
        <x:v>Tentative</x:v>
      </x:c>
      <x:c r="N2043" t="str" s="2">
        <x:v>Deal Created</x:v>
      </x:c>
      <x:c r="O2043" s="0"/>
      <x:c r="P2043" s="6">
        <x:v>46307</x:v>
      </x:c>
      <x:c r="Q2043" s="6">
        <x:v>46307.600266469904</x:v>
      </x:c>
      <x:c r="R2043" s="0"/>
      <x:c r="S2043" s="6">
        <x:v>46307</x:v>
      </x:c>
      <x:c r="T2043" s="0"/>
      <x:c r="U2043" s="0"/>
      <x:c r="V2043" s="0"/>
      <x:c r="W2043" s="0"/>
      <x:c r="X2043" t="str" s="2">
        <x:v>4056328954</x:v>
      </x:c>
      <x:c r="Y2043" t="str" s="2">
        <x:v>darylsfurniture@gmail.com</x:v>
      </x:c>
      <x:c r="Z2043" s="6">
        <x:v>46307.88214649306</x:v>
      </x:c>
      <x:c r="AA2043" t="str" s="2">
        <x:v>Devon McCoy</x:v>
      </x:c>
      <x:c r="AB2043" s="6">
        <x:v>46307.600268518516</x:v>
      </x:c>
      <x:c r="AC2043" t="n" s="2">
        <x:v>40749</x:v>
      </x:c>
      <x:c r="AD2043" s="0"/>
      <x:c r="AE2043" s="0"/>
      <x:c r="AF2043" s="0"/>
      <x:c r="AG2043" s="0"/>
      <x:c r="AH2043" s="0"/>
      <x:c r="AI2043" s="0"/>
      <x:c r="AJ2043" s="0"/>
      <x:c r="AK2043" s="0"/>
    </x:row>
    <x:row r="2044">
      <x:c r="A2044" t="str" s="2">
        <x:f>=HYPERLINK("https://rsms.futurehomex.com/lead/40750", "Joe Villalpando")</x:f>
      </x:c>
      <x:c r="B2044" t="n" s="2">
        <x:v>1</x:v>
      </x:c>
      <x:c r="C2044" t="str" s="2">
        <x:v/>
      </x:c>
      <x:c r="D2044" t="str" s="2">
        <x:f>=""</x:f>
      </x:c>
      <x:c r="E2044" s="0"/>
      <x:c r="F2044" t="str" s="2">
        <x:v>Walk-in</x:v>
      </x:c>
      <x:c r="G2044" t="str" s="2">
        <x:v>Heritage Housing of Athens</x:v>
      </x:c>
      <x:c r="H2044" t="str" s="2">
        <x:v>Ethan Fossett</x:v>
      </x:c>
      <x:c r="I2044" s="0"/>
      <x:c r="J2044" s="0"/>
      <x:c r="K2044" t="n" s="2">
        <x:v>5</x:v>
      </x:c>
      <x:c r="L2044" t="str" s="2">
        <x:v>1.1</x:v>
      </x:c>
      <x:c r="M2044" t="str" s="2">
        <x:v>Tentative</x:v>
      </x:c>
      <x:c r="N2044" t="str" s="2">
        <x:v>Prospect</x:v>
      </x:c>
      <x:c r="O2044" s="0"/>
      <x:c r="P2044" s="6">
        <x:v>46307</x:v>
      </x:c>
      <x:c r="Q2044" s="6">
        <x:v>46307.60525123843</x:v>
      </x:c>
      <x:c r="R2044" s="0"/>
      <x:c r="S2044" s="0"/>
      <x:c r="T2044" s="0"/>
      <x:c r="U2044" s="0"/>
      <x:c r="V2044" s="0"/>
      <x:c r="W2044" s="0"/>
      <x:c r="X2044" t="str" s="2">
        <x:v>8645296897</x:v>
      </x:c>
      <x:c r="Y2044" t="str" s="2">
        <x:v>wua6178@gmail.com</x:v>
      </x:c>
      <x:c r="Z2044" s="0"/>
      <x:c r="AA2044" s="0"/>
      <x:c r="AB2044" s="6">
        <x:v>46307.60525204861</x:v>
      </x:c>
      <x:c r="AC2044" t="n" s="2">
        <x:v>40750</x:v>
      </x:c>
      <x:c r="AD2044" s="0"/>
      <x:c r="AE2044" s="0"/>
      <x:c r="AF2044" s="0"/>
      <x:c r="AG2044" s="0"/>
      <x:c r="AH2044" s="0"/>
      <x:c r="AI2044" s="0"/>
      <x:c r="AJ2044" s="0"/>
      <x:c r="AK2044" s="0"/>
    </x:row>
    <x:row r="2045">
      <x:c r="A2045" t="str" s="2">
        <x:f>=HYPERLINK("https://rsms.futurehomex.com/lead/40751", "Stan Roberts")</x:f>
      </x:c>
      <x:c r="B2045" t="n" s="2">
        <x:v>1</x:v>
      </x:c>
      <x:c r="C2045" t="str" s="2">
        <x:v>1/1</x:v>
      </x:c>
      <x:c r="D2045" t="str" s="2">
        <x:f>=""</x:f>
      </x:c>
      <x:c r="E2045" s="0"/>
      <x:c r="F2045" t="str" s="2">
        <x:v>Walk-in</x:v>
      </x:c>
      <x:c r="G2045" t="str" s="2">
        <x:v>Heritage Housing of Minden</x:v>
      </x:c>
      <x:c r="H2045" t="str" s="2">
        <x:v>Patrick Schuchart</x:v>
      </x:c>
      <x:c r="I2045" s="0"/>
      <x:c r="J2045" t="str" s="2">
        <x:v>Patrick Schuchart</x:v>
      </x:c>
      <x:c r="K2045" t="n" s="2">
        <x:v>5</x:v>
      </x:c>
      <x:c r="L2045" t="str" s="2">
        <x:v>1.1</x:v>
      </x:c>
      <x:c r="M2045" t="str" s="2">
        <x:v>Dead</x:v>
      </x:c>
      <x:c r="N2045" t="str" s="2">
        <x:v>Prospect</x:v>
      </x:c>
      <x:c r="O2045" s="0"/>
      <x:c r="P2045" s="6">
        <x:v>46307</x:v>
      </x:c>
      <x:c r="Q2045" s="6">
        <x:v>46307.60529641204</x:v>
      </x:c>
      <x:c r="R2045" t="str" s="2">
        <x:v>Patrick Schuchart</x:v>
      </x:c>
      <x:c r="S2045" s="0"/>
      <x:c r="T2045" s="0"/>
      <x:c r="U2045" s="0"/>
      <x:c r="V2045" s="0"/>
      <x:c r="W2045" s="0"/>
      <x:c r="X2045" t="str" s="2">
        <x:v>3185236897</x:v>
      </x:c>
      <x:c r="Y2045" t="str" s="2">
        <x:v>jiuol@gmail.com</x:v>
      </x:c>
      <x:c r="Z2045" s="6">
        <x:v>46307.60828128472</x:v>
      </x:c>
      <x:c r="AA2045" t="str" s="2">
        <x:v>Patrick Schuchart</x:v>
      </x:c>
      <x:c r="AB2045" s="6">
        <x:v>46307.60529695602</x:v>
      </x:c>
      <x:c r="AC2045" t="n" s="2">
        <x:v>40751</x:v>
      </x:c>
      <x:c r="AD2045" s="0"/>
      <x:c r="AE2045" s="0"/>
      <x:c r="AF2045" s="0"/>
      <x:c r="AG2045" s="0"/>
      <x:c r="AH2045" s="0"/>
      <x:c r="AI2045" s="0"/>
      <x:c r="AJ2045" s="0"/>
      <x:c r="AK2045" s="0"/>
    </x:row>
    <x:row r="2046">
      <x:c r="A2046" t="str" s="2">
        <x:f>=HYPERLINK("https://rsms.futurehomex.com/lead/40752", "Garrick Daniel")</x:f>
      </x:c>
      <x:c r="B2046" t="n" s="2">
        <x:v>1</x:v>
      </x:c>
      <x:c r="C2046" t="str" s="2">
        <x:v/>
      </x:c>
      <x:c r="D2046" t="str" s="2">
        <x:f>=""</x:f>
      </x:c>
      <x:c r="E2046" s="0"/>
      <x:c r="F2046" t="str" s="2">
        <x:v>Walk-in</x:v>
      </x:c>
      <x:c r="G2046" t="str" s="2">
        <x:v>Heritage Housing of Athens</x:v>
      </x:c>
      <x:c r="H2046" t="str" s="2">
        <x:v>Ethan Fossett</x:v>
      </x:c>
      <x:c r="I2046" s="0"/>
      <x:c r="J2046" s="0"/>
      <x:c r="K2046" t="n" s="2">
        <x:v>5</x:v>
      </x:c>
      <x:c r="L2046" t="str" s="2">
        <x:v>1.1</x:v>
      </x:c>
      <x:c r="M2046" t="str" s="2">
        <x:v>Tentative</x:v>
      </x:c>
      <x:c r="N2046" t="str" s="2">
        <x:v>Prospect</x:v>
      </x:c>
      <x:c r="O2046" s="0"/>
      <x:c r="P2046" s="6">
        <x:v>46307</x:v>
      </x:c>
      <x:c r="Q2046" s="6">
        <x:v>46307.60594120371</x:v>
      </x:c>
      <x:c r="R2046" s="0"/>
      <x:c r="S2046" s="0"/>
      <x:c r="T2046" s="0"/>
      <x:c r="U2046" s="0"/>
      <x:c r="V2046" s="0"/>
      <x:c r="W2046" s="0"/>
      <x:c r="X2046" t="str" s="2">
        <x:v>7067151952</x:v>
      </x:c>
      <x:c r="Y2046" t="str" s="2">
        <x:v>geedaniel257@yahoo.com</x:v>
      </x:c>
      <x:c r="Z2046" s="0"/>
      <x:c r="AA2046" s="0"/>
      <x:c r="AB2046" s="6">
        <x:v>46307.60594181713</x:v>
      </x:c>
      <x:c r="AC2046" t="n" s="2">
        <x:v>40752</x:v>
      </x:c>
      <x:c r="AD2046" s="0"/>
      <x:c r="AE2046" s="0"/>
      <x:c r="AF2046" s="0"/>
      <x:c r="AG2046" s="0"/>
      <x:c r="AH2046" s="0"/>
      <x:c r="AI2046" s="0"/>
      <x:c r="AJ2046" s="0"/>
      <x:c r="AK2046" s="0"/>
    </x:row>
    <x:row r="2047">
      <x:c r="A2047" t="str" s="2">
        <x:f>=HYPERLINK("https://rsms.futurehomex.com/lead/40753", "Destiny Walters")</x:f>
      </x:c>
      <x:c r="B2047" t="n" s="2">
        <x:v>1</x:v>
      </x:c>
      <x:c r="C2047" t="str" s="2">
        <x:v/>
      </x:c>
      <x:c r="D2047" t="str" s="2">
        <x:f>=""</x:f>
      </x:c>
      <x:c r="E2047" s="0"/>
      <x:c r="F2047" t="str" s="2">
        <x:v>Facebook Messenger</x:v>
      </x:c>
      <x:c r="G2047" t="str" s="2">
        <x:v>Heritage Housing of Oklahoma City</x:v>
      </x:c>
      <x:c r="H2047" t="str" s="2">
        <x:v>Steve Castell</x:v>
      </x:c>
      <x:c r="I2047" s="0"/>
      <x:c r="J2047" s="0"/>
      <x:c r="K2047" t="n" s="2">
        <x:v>5</x:v>
      </x:c>
      <x:c r="L2047" t="str" s="2">
        <x:v>1.1</x:v>
      </x:c>
      <x:c r="M2047" t="str" s="2">
        <x:v>Tentative</x:v>
      </x:c>
      <x:c r="N2047" t="str" s="2">
        <x:v>Prospect</x:v>
      </x:c>
      <x:c r="O2047" s="0"/>
      <x:c r="P2047" s="6">
        <x:v>46307</x:v>
      </x:c>
      <x:c r="Q2047" s="6">
        <x:v>46307.615696678244</x:v>
      </x:c>
      <x:c r="R2047" s="0"/>
      <x:c r="S2047" s="0"/>
      <x:c r="T2047" s="0"/>
      <x:c r="U2047" s="0"/>
      <x:c r="V2047" s="0"/>
      <x:c r="W2047" s="0"/>
      <x:c r="X2047" t="str" s="2">
        <x:v>4054003767</x:v>
      </x:c>
      <x:c r="Y2047" t="str" s="2">
        <x:v>4054003767</x:v>
      </x:c>
      <x:c r="Z2047" s="0"/>
      <x:c r="AA2047" s="0"/>
      <x:c r="AB2047" s="6">
        <x:v>46307.61569791667</x:v>
      </x:c>
      <x:c r="AC2047" t="n" s="2">
        <x:v>40753</x:v>
      </x:c>
      <x:c r="AD2047" s="0"/>
      <x:c r="AE2047" s="0"/>
      <x:c r="AF2047" s="0"/>
      <x:c r="AG2047" s="0"/>
      <x:c r="AH2047" s="0"/>
      <x:c r="AI2047" s="0"/>
      <x:c r="AJ2047" s="0"/>
      <x:c r="AK2047" s="0"/>
    </x:row>
    <x:row r="2048">
      <x:c r="A2048" t="str" s="2">
        <x:f>=HYPERLINK("https://rsms.futurehomex.com/lead/40754", "Clifton Richards")</x:f>
      </x:c>
      <x:c r="B2048" t="n" s="2">
        <x:v>1</x:v>
      </x:c>
      <x:c r="C2048" t="str" s="2">
        <x:v/>
      </x:c>
      <x:c r="D2048" t="str" s="2">
        <x:f>=""</x:f>
      </x:c>
      <x:c r="E2048" s="0"/>
      <x:c r="F2048" t="str" s="2">
        <x:v>Financing Form</x:v>
      </x:c>
      <x:c r="G2048" t="str" s="2">
        <x:v>Heritage Housing of Albany</x:v>
      </x:c>
      <x:c r="H2048" t="str" s="2">
        <x:v>Yanet Alvarez</x:v>
      </x:c>
      <x:c r="I2048" s="0"/>
      <x:c r="J2048" t="str" s="2">
        <x:v>Yanet Alvarez</x:v>
      </x:c>
      <x:c r="K2048" t="n" s="2">
        <x:v>5</x:v>
      </x:c>
      <x:c r="L2048" t="str" s="2">
        <x:v>1.1</x:v>
      </x:c>
      <x:c r="M2048" t="str" s="2">
        <x:v>Tentative</x:v>
      </x:c>
      <x:c r="N2048" t="str" s="2">
        <x:v>Deal Created</x:v>
      </x:c>
      <x:c r="O2048" s="0"/>
      <x:c r="P2048" s="6">
        <x:v>46307</x:v>
      </x:c>
      <x:c r="Q2048" s="6">
        <x:v>46307.619695023146</x:v>
      </x:c>
      <x:c r="R2048" s="0"/>
      <x:c r="S2048" s="0"/>
      <x:c r="T2048" s="0"/>
      <x:c r="U2048" s="0"/>
      <x:c r="V2048" s="0"/>
      <x:c r="W2048" s="0"/>
      <x:c r="X2048" t="str" s="2">
        <x:v>2299386590</x:v>
      </x:c>
      <x:c r="Y2048" t="str" s="2">
        <x:v>taighlor1992@gmail.com</x:v>
      </x:c>
      <x:c r="Z2048" s="0"/>
      <x:c r="AA2048" s="0"/>
      <x:c r="AB2048" s="6">
        <x:v>46307.619695636575</x:v>
      </x:c>
      <x:c r="AC2048" t="n" s="2">
        <x:v>40754</x:v>
      </x:c>
      <x:c r="AD2048" s="0"/>
      <x:c r="AE2048" s="0"/>
      <x:c r="AF2048" s="0"/>
      <x:c r="AG2048" s="0"/>
      <x:c r="AH2048" s="0"/>
      <x:c r="AI2048" s="0"/>
      <x:c r="AJ2048" s="0"/>
      <x:c r="AK2048" s="0"/>
    </x:row>
    <x:row r="2049">
      <x:c r="A2049" t="str" s="2">
        <x:f>=HYPERLINK("https://rsms.futurehomex.com/lead/40755", "Peggy Yates")</x:f>
      </x:c>
      <x:c r="B2049" t="n" s="2">
        <x:v>1</x:v>
      </x:c>
      <x:c r="C2049" t="str" s="2">
        <x:v/>
      </x:c>
      <x:c r="D2049" t="str" s="2">
        <x:f>=""</x:f>
      </x:c>
      <x:c r="E2049" s="0"/>
      <x:c r="F2049" t="str" s="2">
        <x:v>Walk-in</x:v>
      </x:c>
      <x:c r="G2049" t="str" s="2">
        <x:v>Heritage Housing of Asheboro</x:v>
      </x:c>
      <x:c r="H2049" t="str" s="2">
        <x:v>Maria Lopez</x:v>
      </x:c>
      <x:c r="I2049" s="0"/>
      <x:c r="J2049" s="0"/>
      <x:c r="K2049" t="n" s="2">
        <x:v>21</x:v>
      </x:c>
      <x:c r="L2049" t="str" s="2">
        <x:v>2.1</x:v>
      </x:c>
      <x:c r="M2049" t="str" s="2">
        <x:v>Tentative</x:v>
      </x:c>
      <x:c r="N2049" t="str" s="2">
        <x:v>Qualified</x:v>
      </x:c>
      <x:c r="O2049" s="0"/>
      <x:c r="P2049" s="6">
        <x:v>46307</x:v>
      </x:c>
      <x:c r="Q2049" s="6">
        <x:v>46308.608809722224</x:v>
      </x:c>
      <x:c r="R2049" s="0"/>
      <x:c r="S2049" s="0"/>
      <x:c r="T2049" s="0"/>
      <x:c r="U2049" s="0"/>
      <x:c r="V2049" s="0"/>
      <x:c r="W2049" s="0"/>
      <x:c r="X2049" t="str" s="2">
        <x:v>3369535529</x:v>
      </x:c>
      <x:c r="Y2049" t="str" s="2">
        <x:v>nurse43555@gmail.com</x:v>
      </x:c>
      <x:c r="Z2049" s="6">
        <x:v>46308.60879278935</x:v>
      </x:c>
      <x:c r="AA2049" t="str" s="2">
        <x:v>Jeremy Jacques</x:v>
      </x:c>
      <x:c r="AB2049" s="6">
        <x:v>46307.62177503472</x:v>
      </x:c>
      <x:c r="AC2049" t="n" s="2">
        <x:v>40755</x:v>
      </x:c>
      <x:c r="AD2049" s="0"/>
      <x:c r="AE2049" s="0"/>
      <x:c r="AF2049" s="0"/>
      <x:c r="AG2049" s="0"/>
      <x:c r="AH2049" s="0"/>
      <x:c r="AI2049" s="0"/>
      <x:c r="AJ2049" s="0"/>
      <x:c r="AK2049" s="0"/>
    </x:row>
    <x:row r="2050">
      <x:c r="A2050" t="str" s="2">
        <x:f>=HYPERLINK("https://rsms.futurehomex.com/lead/40756", "Michael Miyabara")</x:f>
      </x:c>
      <x:c r="B2050" t="n" s="2">
        <x:v>1</x:v>
      </x:c>
      <x:c r="C2050" t="str" s="2">
        <x:v/>
      </x:c>
      <x:c r="D2050" t="str" s="2">
        <x:f>=""</x:f>
      </x:c>
      <x:c r="E2050" s="0"/>
      <x:c r="F2050" t="str" s="2">
        <x:v>Facebook Messenger</x:v>
      </x:c>
      <x:c r="G2050" t="str" s="2">
        <x:v>Heritage Housing of Oklahoma City</x:v>
      </x:c>
      <x:c r="H2050" t="str" s="2">
        <x:v>Devon McCoy</x:v>
      </x:c>
      <x:c r="I2050" t="str" s="2">
        <x:v>Karol Romero</x:v>
      </x:c>
      <x:c r="J2050" t="str" s="2">
        <x:v>Devon McCoy</x:v>
      </x:c>
      <x:c r="K2050" t="n" s="2">
        <x:v>5</x:v>
      </x:c>
      <x:c r="L2050" t="str" s="2">
        <x:v>1.1</x:v>
      </x:c>
      <x:c r="M2050" t="str" s="2">
        <x:v>Active</x:v>
      </x:c>
      <x:c r="N2050" t="str" s="2">
        <x:v>Deal Created</x:v>
      </x:c>
      <x:c r="O2050" s="0"/>
      <x:c r="P2050" s="6">
        <x:v>46307</x:v>
      </x:c>
      <x:c r="Q2050" s="6">
        <x:v>46307.91158908565</x:v>
      </x:c>
      <x:c r="R2050" s="0"/>
      <x:c r="S2050" s="6">
        <x:v>46307</x:v>
      </x:c>
      <x:c r="T2050" s="6">
        <x:v>46308</x:v>
      </x:c>
      <x:c r="U2050" s="0"/>
      <x:c r="V2050" s="0"/>
      <x:c r="W2050" s="0"/>
      <x:c r="X2050" t="str" s="2">
        <x:v>4794059504</x:v>
      </x:c>
      <x:c r="Y2050" t="str" s="2">
        <x:v>m3@miyabara.com</x:v>
      </x:c>
      <x:c r="Z2050" s="6">
        <x:v>46307.909570752316</x:v>
      </x:c>
      <x:c r="AA2050" t="str" s="2">
        <x:v>Devon McCoy</x:v>
      </x:c>
      <x:c r="AB2050" s="6">
        <x:v>46307.63523329861</x:v>
      </x:c>
      <x:c r="AC2050" t="n" s="2">
        <x:v>40756</x:v>
      </x:c>
      <x:c r="AD2050" s="0"/>
      <x:c r="AE2050" s="0"/>
      <x:c r="AF2050" s="0"/>
      <x:c r="AG2050" s="7">
        <x:v>25000</x:v>
      </x:c>
      <x:c r="AH2050" s="0"/>
      <x:c r="AI2050" t="str" s="2">
        <x:v>757</x:v>
      </x:c>
      <x:c r="AJ2050" s="0"/>
      <x:c r="AK2050" s="0"/>
    </x:row>
    <x:row r="2051">
      <x:c r="A2051" t="str" s="2">
        <x:f>=HYPERLINK("https://rsms.futurehomex.com/lead/40757", "Annie Mills")</x:f>
      </x:c>
      <x:c r="B2051" t="n" s="2">
        <x:v>1</x:v>
      </x:c>
      <x:c r="C2051" t="str" s="2">
        <x:v/>
      </x:c>
      <x:c r="D2051" t="str" s="2">
        <x:f>=""</x:f>
      </x:c>
      <x:c r="E2051" s="0"/>
      <x:c r="F2051" t="str" s="2">
        <x:v>Landing_BPM</x:v>
      </x:c>
      <x:c r="G2051" t="str" s="2">
        <x:v>Heritage Housing of Albany</x:v>
      </x:c>
      <x:c r="H2051" t="str" s="2">
        <x:v>Yanet Alvarez</x:v>
      </x:c>
      <x:c r="I2051" s="0"/>
      <x:c r="J2051" t="str" s="2">
        <x:v>Yanet Alvarez</x:v>
      </x:c>
      <x:c r="K2051" t="n" s="2">
        <x:v>5</x:v>
      </x:c>
      <x:c r="L2051" t="str" s="2">
        <x:v>1.1</x:v>
      </x:c>
      <x:c r="M2051" t="str" s="2">
        <x:v>Tentative</x:v>
      </x:c>
      <x:c r="N2051" t="str" s="2">
        <x:v>Deal Created</x:v>
      </x:c>
      <x:c r="O2051" s="0"/>
      <x:c r="P2051" s="6">
        <x:v>46307</x:v>
      </x:c>
      <x:c r="Q2051" s="6">
        <x:v>46307.64218692129</x:v>
      </x:c>
      <x:c r="R2051" s="0"/>
      <x:c r="S2051" s="0"/>
      <x:c r="T2051" s="0"/>
      <x:c r="U2051" s="0"/>
      <x:c r="V2051" s="0"/>
      <x:c r="W2051" s="0"/>
      <x:c r="X2051" t="str" s="2">
        <x:v>2294050699</x:v>
      </x:c>
      <x:c r="Y2051" t="str" s="2">
        <x:v>anniemills2026@gmail.com</x:v>
      </x:c>
      <x:c r="Z2051" s="0"/>
      <x:c r="AA2051" s="0"/>
      <x:c r="AB2051" s="6">
        <x:v>46307.64218761574</x:v>
      </x:c>
      <x:c r="AC2051" t="n" s="2">
        <x:v>40757</x:v>
      </x:c>
      <x:c r="AD2051" s="0"/>
      <x:c r="AE2051" s="0"/>
      <x:c r="AF2051" s="0"/>
      <x:c r="AG2051" s="0"/>
      <x:c r="AH2051" s="0"/>
      <x:c r="AI2051" s="0"/>
      <x:c r="AJ2051" s="0"/>
      <x:c r="AK2051" s="0"/>
    </x:row>
    <x:row r="2052">
      <x:c r="A2052" t="str" s="2">
        <x:f>=HYPERLINK("https://rsms.futurehomex.com/lead/40758", "Marcus Smith")</x:f>
      </x:c>
      <x:c r="B2052" t="n" s="2">
        <x:v>1</x:v>
      </x:c>
      <x:c r="C2052" t="str" s="2">
        <x:v/>
      </x:c>
      <x:c r="D2052" t="str" s="2">
        <x:f>=""</x:f>
      </x:c>
      <x:c r="E2052" s="0"/>
      <x:c r="F2052" t="str" s="2">
        <x:v>Walk-in</x:v>
      </x:c>
      <x:c r="G2052" t="str" s="2">
        <x:v>Heritage Housing of Tulsa</x:v>
      </x:c>
      <x:c r="H2052" t="str" s="2">
        <x:v>Jenna Fransisco</x:v>
      </x:c>
      <x:c r="I2052" t="str" s="2">
        <x:v>Karol Romero</x:v>
      </x:c>
      <x:c r="J2052" t="str" s="2">
        <x:v>Jenna Fransisco</x:v>
      </x:c>
      <x:c r="K2052" t="n" s="2">
        <x:v>5</x:v>
      </x:c>
      <x:c r="L2052" t="str" s="2">
        <x:v>1.1</x:v>
      </x:c>
      <x:c r="M2052" t="str" s="2">
        <x:v>Tentative</x:v>
      </x:c>
      <x:c r="N2052" t="str" s="2">
        <x:v>Deal Created</x:v>
      </x:c>
      <x:c r="O2052" s="0"/>
      <x:c r="P2052" s="6">
        <x:v>46307</x:v>
      </x:c>
      <x:c r="Q2052" s="6">
        <x:v>46307.65075540509</x:v>
      </x:c>
      <x:c r="R2052" s="0"/>
      <x:c r="S2052" s="0"/>
      <x:c r="T2052" s="0"/>
      <x:c r="U2052" s="0"/>
      <x:c r="V2052" s="0"/>
      <x:c r="W2052" s="0"/>
      <x:c r="X2052" t="str" s="2">
        <x:v>9185008785</x:v>
      </x:c>
      <x:c r="Y2052" t="str" s="2">
        <x:v>dragonn701@gmail.com</x:v>
      </x:c>
      <x:c r="Z2052" s="0"/>
      <x:c r="AA2052" s="0"/>
      <x:c r="AB2052" s="6">
        <x:v>46307.650756979165</x:v>
      </x:c>
      <x:c r="AC2052" t="n" s="2">
        <x:v>40758</x:v>
      </x:c>
      <x:c r="AD2052" s="0"/>
      <x:c r="AE2052" s="0"/>
      <x:c r="AF2052" s="0"/>
      <x:c r="AG2052" s="0"/>
      <x:c r="AH2052" s="0"/>
      <x:c r="AI2052" s="0"/>
      <x:c r="AJ2052" s="0"/>
      <x:c r="AK2052" s="0"/>
    </x:row>
    <x:row r="2053">
      <x:c r="A2053" t="str" s="2">
        <x:f>=HYPERLINK("https://rsms.futurehomex.com/lead/40759", "Richard Reeves")</x:f>
      </x:c>
      <x:c r="B2053" t="n" s="2">
        <x:v>1</x:v>
      </x:c>
      <x:c r="C2053" t="str" s="2">
        <x:v>1/1</x:v>
      </x:c>
      <x:c r="D2053" t="str" s="2">
        <x:f>=""</x:f>
      </x:c>
      <x:c r="E2053" s="0"/>
      <x:c r="F2053" t="str" s="2">
        <x:v>Facebook Messenger</x:v>
      </x:c>
      <x:c r="G2053" t="str" s="2">
        <x:v>Heritage Housing of Oklahoma City</x:v>
      </x:c>
      <x:c r="H2053" t="str" s="2">
        <x:v>Steve Castell</x:v>
      </x:c>
      <x:c r="I2053" s="0"/>
      <x:c r="J2053" t="str" s="2">
        <x:v>Steve Castell</x:v>
      </x:c>
      <x:c r="K2053" t="n" s="2">
        <x:v>5</x:v>
      </x:c>
      <x:c r="L2053" t="str" s="2">
        <x:v>1.1</x:v>
      </x:c>
      <x:c r="M2053" t="str" s="2">
        <x:v>Tentative</x:v>
      </x:c>
      <x:c r="N2053" t="str" s="2">
        <x:v>Deal Created</x:v>
      </x:c>
      <x:c r="O2053" s="0"/>
      <x:c r="P2053" s="6">
        <x:v>46307</x:v>
      </x:c>
      <x:c r="Q2053" s="6">
        <x:v>46307.69732688658</x:v>
      </x:c>
      <x:c r="R2053" s="0"/>
      <x:c r="S2053" s="0"/>
      <x:c r="T2053" s="0"/>
      <x:c r="U2053" s="0"/>
      <x:c r="V2053" s="0"/>
      <x:c r="W2053" s="0"/>
      <x:c r="X2053" t="str" s="2">
        <x:v>4058801212</x:v>
      </x:c>
      <x:c r="Y2053" t="str" s="2">
        <x:v>4058801212</x:v>
      </x:c>
      <x:c r="Z2053" s="6">
        <x:v>46307.92055667824</x:v>
      </x:c>
      <x:c r="AA2053" t="str" s="2">
        <x:v>Steve Castell</x:v>
      </x:c>
      <x:c r="AB2053" s="6">
        <x:v>46307.69732885416</x:v>
      </x:c>
      <x:c r="AC2053" t="n" s="2">
        <x:v>40759</x:v>
      </x:c>
      <x:c r="AD2053" s="0"/>
      <x:c r="AE2053" s="0"/>
      <x:c r="AF2053" s="0"/>
      <x:c r="AG2053" s="0"/>
      <x:c r="AH2053" s="0"/>
      <x:c r="AI2053" s="0"/>
      <x:c r="AJ2053" s="0"/>
      <x:c r="AK2053" s="0"/>
    </x:row>
    <x:row r="2054">
      <x:c r="A2054" t="str" s="2">
        <x:f>=HYPERLINK("https://rsms.futurehomex.com/lead/40760", "Pauline Cavil")</x:f>
      </x:c>
      <x:c r="B2054" t="n" s="2">
        <x:v>1</x:v>
      </x:c>
      <x:c r="C2054" t="str" s="2">
        <x:v/>
      </x:c>
      <x:c r="D2054" t="str" s="2">
        <x:f>=""</x:f>
      </x:c>
      <x:c r="E2054" s="0"/>
      <x:c r="F2054" t="str" s="2">
        <x:v>Financing Form</x:v>
      </x:c>
      <x:c r="G2054" t="str" s="2">
        <x:v>Legacy Housing Corp. DBA Americasa</x:v>
      </x:c>
      <x:c r="H2054" t="str" s="2">
        <x:v>Joey Marquez</x:v>
      </x:c>
      <x:c r="I2054" s="0"/>
      <x:c r="J2054" s="0"/>
      <x:c r="K2054" t="n" s="2">
        <x:v>5</x:v>
      </x:c>
      <x:c r="L2054" t="str" s="2">
        <x:v>1.1</x:v>
      </x:c>
      <x:c r="M2054" t="str" s="2">
        <x:v>Tentative</x:v>
      </x:c>
      <x:c r="N2054" t="str" s="2">
        <x:v>Prospect</x:v>
      </x:c>
      <x:c r="O2054" s="0"/>
      <x:c r="P2054" s="6">
        <x:v>46307</x:v>
      </x:c>
      <x:c r="Q2054" s="6">
        <x:v>46307.705479131946</x:v>
      </x:c>
      <x:c r="R2054" s="0"/>
      <x:c r="S2054" s="0"/>
      <x:c r="T2054" s="0"/>
      <x:c r="U2054" s="0"/>
      <x:c r="V2054" s="0"/>
      <x:c r="W2054" s="0"/>
      <x:c r="X2054" t="str" s="2">
        <x:v>2544550124</x:v>
      </x:c>
      <x:c r="Y2054" t="str" s="2">
        <x:v>paulinecavil@gmail.com</x:v>
      </x:c>
      <x:c r="Z2054" s="0"/>
      <x:c r="AA2054" s="0"/>
      <x:c r="AB2054" s="6">
        <x:v>46307.70548020834</x:v>
      </x:c>
      <x:c r="AC2054" t="n" s="2">
        <x:v>40760</x:v>
      </x:c>
      <x:c r="AD2054" s="0"/>
      <x:c r="AE2054" s="0"/>
      <x:c r="AF2054" s="0"/>
      <x:c r="AG2054" s="0"/>
      <x:c r="AH2054" s="0"/>
      <x:c r="AI2054" s="0"/>
      <x:c r="AJ2054" s="0"/>
      <x:c r="AK2054" s="0"/>
    </x:row>
    <x:row r="2055">
      <x:c r="A2055" t="str" s="2">
        <x:f>=HYPERLINK("https://rsms.futurehomex.com/lead/40761", "Steven Mullins")</x:f>
      </x:c>
      <x:c r="B2055" t="n" s="2">
        <x:v>1</x:v>
      </x:c>
      <x:c r="C2055" t="str" s="2">
        <x:v/>
      </x:c>
      <x:c r="D2055" t="str" s="2">
        <x:f>=""</x:f>
      </x:c>
      <x:c r="E2055" s="0"/>
      <x:c r="F2055" t="str" s="2">
        <x:v>Referrals</x:v>
      </x:c>
      <x:c r="G2055" t="str" s="2">
        <x:v>Heritage Housing of Athens</x:v>
      </x:c>
      <x:c r="H2055" t="str" s="2">
        <x:v>Nathan Bishop</x:v>
      </x:c>
      <x:c r="I2055" s="0"/>
      <x:c r="J2055" t="str" s="2">
        <x:v>Nathan Bishop</x:v>
      </x:c>
      <x:c r="K2055" t="n" s="2">
        <x:v>5</x:v>
      </x:c>
      <x:c r="L2055" t="str" s="2">
        <x:v>1.1</x:v>
      </x:c>
      <x:c r="M2055" t="str" s="2">
        <x:v>Tentative</x:v>
      </x:c>
      <x:c r="N2055" t="str" s="2">
        <x:v>Deal Created</x:v>
      </x:c>
      <x:c r="O2055" s="0"/>
      <x:c r="P2055" s="6">
        <x:v>46307</x:v>
      </x:c>
      <x:c r="Q2055" s="6">
        <x:v>46307.70818958333</x:v>
      </x:c>
      <x:c r="R2055" s="0"/>
      <x:c r="S2055" s="0"/>
      <x:c r="T2055" s="0"/>
      <x:c r="U2055" s="0"/>
      <x:c r="V2055" s="0"/>
      <x:c r="W2055" s="0"/>
      <x:c r="X2055" t="str" s="2">
        <x:v>2563486878</x:v>
      </x:c>
      <x:c r="Y2055" t="str" s="2">
        <x:v>kellyssteven4@gmail.com</x:v>
      </x:c>
      <x:c r="Z2055" s="0"/>
      <x:c r="AA2055" s="0"/>
      <x:c r="AB2055" s="6">
        <x:v>46307.708191087964</x:v>
      </x:c>
      <x:c r="AC2055" t="n" s="2">
        <x:v>40761</x:v>
      </x:c>
      <x:c r="AD2055" s="0"/>
      <x:c r="AE2055" s="0"/>
      <x:c r="AF2055" s="0"/>
      <x:c r="AG2055" s="0"/>
      <x:c r="AH2055" s="0"/>
      <x:c r="AI2055" s="0"/>
      <x:c r="AJ2055" s="0"/>
      <x:c r="AK2055" s="0"/>
    </x:row>
    <x:row r="2056">
      <x:c r="A2056" t="str" s="2">
        <x:f>=HYPERLINK("https://rsms.futurehomex.com/lead/40762", "Brandon Nance")</x:f>
      </x:c>
      <x:c r="B2056" t="n" s="2">
        <x:v>1</x:v>
      </x:c>
      <x:c r="C2056" t="str" s="2">
        <x:v/>
      </x:c>
      <x:c r="D2056" t="str" s="2">
        <x:f>=""</x:f>
      </x:c>
      <x:c r="E2056" s="0"/>
      <x:c r="F2056" t="str" s="2">
        <x:v>Walk-in</x:v>
      </x:c>
      <x:c r="G2056" t="str" s="2">
        <x:v>Heritage Housing of Asheboro</x:v>
      </x:c>
      <x:c r="H2056" t="str" s="2">
        <x:v>Maria Lopez</x:v>
      </x:c>
      <x:c r="I2056" s="0"/>
      <x:c r="J2056" s="0"/>
      <x:c r="K2056" t="n" s="2">
        <x:v>5</x:v>
      </x:c>
      <x:c r="L2056" t="str" s="2">
        <x:v>1.1</x:v>
      </x:c>
      <x:c r="M2056" t="str" s="2">
        <x:v>Tentative</x:v>
      </x:c>
      <x:c r="N2056" t="str" s="2">
        <x:v>Prospect</x:v>
      </x:c>
      <x:c r="O2056" s="0"/>
      <x:c r="P2056" s="6">
        <x:v>46307</x:v>
      </x:c>
      <x:c r="Q2056" s="6">
        <x:v>46307.745890659724</x:v>
      </x:c>
      <x:c r="R2056" s="0"/>
      <x:c r="S2056" s="0"/>
      <x:c r="T2056" s="0"/>
      <x:c r="U2056" s="0"/>
      <x:c r="V2056" s="0"/>
      <x:c r="W2056" s="0"/>
      <x:c r="X2056" t="str" s="2">
        <x:v>9802298283</x:v>
      </x:c>
      <x:c r="Y2056" t="str" s="2">
        <x:v>bray2250@gmail.com</x:v>
      </x:c>
      <x:c r="Z2056" s="6">
        <x:v>46307.780961145836</x:v>
      </x:c>
      <x:c r="AA2056" t="str" s="2">
        <x:v>Maria Lopez</x:v>
      </x:c>
      <x:c r="AB2056" s="6">
        <x:v>46307.74589140046</x:v>
      </x:c>
      <x:c r="AC2056" t="n" s="2">
        <x:v>40762</x:v>
      </x:c>
      <x:c r="AD2056" s="0"/>
      <x:c r="AE2056" s="0"/>
      <x:c r="AF2056" s="0"/>
      <x:c r="AG2056" s="0"/>
      <x:c r="AH2056" s="0"/>
      <x:c r="AI2056" s="0"/>
      <x:c r="AJ2056" s="0"/>
      <x:c r="AK2056" s="0"/>
    </x:row>
    <x:row r="2057">
      <x:c r="A2057" t="str" s="2">
        <x:f>=HYPERLINK("https://rsms.futurehomex.com/lead/40763", "Lisa Gayneaux")</x:f>
      </x:c>
      <x:c r="B2057" t="n" s="2">
        <x:v>1</x:v>
      </x:c>
      <x:c r="C2057" t="str" s="2">
        <x:v>1/1</x:v>
      </x:c>
      <x:c r="D2057" t="str" s="2">
        <x:f>=""</x:f>
      </x:c>
      <x:c r="E2057" s="0"/>
      <x:c r="F2057" t="str" s="2">
        <x:v>Walk-in</x:v>
      </x:c>
      <x:c r="G2057" t="str" s="2">
        <x:v>Heritage Housing of Jennings</x:v>
      </x:c>
      <x:c r="H2057" t="str" s="2">
        <x:v>Clint O'Neal</x:v>
      </x:c>
      <x:c r="I2057" s="0"/>
      <x:c r="J2057" s="0"/>
      <x:c r="K2057" t="n" s="2">
        <x:v>5</x:v>
      </x:c>
      <x:c r="L2057" t="str" s="2">
        <x:v>1.1</x:v>
      </x:c>
      <x:c r="M2057" t="str" s="2">
        <x:v>Tentative</x:v>
      </x:c>
      <x:c r="N2057" t="str" s="2">
        <x:v>Deal Created</x:v>
      </x:c>
      <x:c r="O2057" s="0"/>
      <x:c r="P2057" s="6">
        <x:v>46307</x:v>
      </x:c>
      <x:c r="Q2057" s="6">
        <x:v>46307.784262534726</x:v>
      </x:c>
      <x:c r="R2057" s="0"/>
      <x:c r="S2057" s="6">
        <x:v>46307</x:v>
      </x:c>
      <x:c r="T2057" s="0"/>
      <x:c r="U2057" s="0"/>
      <x:c r="V2057" s="0"/>
      <x:c r="W2057" s="0"/>
      <x:c r="X2057" t="str" s="2">
        <x:v>3378521009</x:v>
      </x:c>
      <x:c r="Y2057" t="str" s="2">
        <x:v>lg@nomail.com</x:v>
      </x:c>
      <x:c r="Z2057" s="6">
        <x:v>46307.78368302083</x:v>
      </x:c>
      <x:c r="AA2057" t="str" s="2">
        <x:v>Clint O'Neal</x:v>
      </x:c>
      <x:c r="AB2057" s="6">
        <x:v>46307.78297037037</x:v>
      </x:c>
      <x:c r="AC2057" t="n" s="2">
        <x:v>40763</x:v>
      </x:c>
      <x:c r="AD2057" s="0"/>
      <x:c r="AE2057" s="0"/>
      <x:c r="AF2057" s="0"/>
      <x:c r="AG2057" s="0"/>
      <x:c r="AH2057" s="0"/>
      <x:c r="AI2057" s="0"/>
      <x:c r="AJ2057" s="0"/>
      <x:c r="AK2057" s="0"/>
    </x:row>
    <x:row r="2058">
      <x:c r="A2058" t="str" s="2">
        <x:f>=HYPERLINK("https://rsms.futurehomex.com/lead/40764", "Kim Gilbreath")</x:f>
      </x:c>
      <x:c r="B2058" t="n" s="2">
        <x:v>1</x:v>
      </x:c>
      <x:c r="C2058" t="str" s="2">
        <x:v>1/1</x:v>
      </x:c>
      <x:c r="D2058" t="str" s="2">
        <x:f>=""</x:f>
      </x:c>
      <x:c r="E2058" s="0"/>
      <x:c r="F2058" t="str" s="2">
        <x:v>Facebook Messenger</x:v>
      </x:c>
      <x:c r="G2058" t="str" s="2">
        <x:v>Heritage Housing of Oklahoma City</x:v>
      </x:c>
      <x:c r="H2058" t="str" s="2">
        <x:v>Devon McCoy</x:v>
      </x:c>
      <x:c r="I2058" t="str" s="2">
        <x:v>Karol Romero</x:v>
      </x:c>
      <x:c r="J2058" t="str" s="2">
        <x:v>Devon McCoy</x:v>
      </x:c>
      <x:c r="K2058" t="n" s="2">
        <x:v>5</x:v>
      </x:c>
      <x:c r="L2058" t="str" s="2">
        <x:v>1.1</x:v>
      </x:c>
      <x:c r="M2058" t="str" s="2">
        <x:v>Tentative</x:v>
      </x:c>
      <x:c r="N2058" t="str" s="2">
        <x:v>Deal Created</x:v>
      </x:c>
      <x:c r="O2058" s="0"/>
      <x:c r="P2058" s="6">
        <x:v>46307</x:v>
      </x:c>
      <x:c r="Q2058" s="6">
        <x:v>46307.81529892361</x:v>
      </x:c>
      <x:c r="R2058" s="0"/>
      <x:c r="S2058" s="0"/>
      <x:c r="T2058" s="0"/>
      <x:c r="U2058" s="0"/>
      <x:c r="V2058" s="0"/>
      <x:c r="W2058" s="0"/>
      <x:c r="X2058" t="str" s="2">
        <x:v>5722288890</x:v>
      </x:c>
      <x:c r="Y2058" t="str" s="2">
        <x:v>5722288890</x:v>
      </x:c>
      <x:c r="Z2058" s="0"/>
      <x:c r="AA2058" s="0"/>
      <x:c r="AB2058" s="6">
        <x:v>46307.815303738425</x:v>
      </x:c>
      <x:c r="AC2058" t="n" s="2">
        <x:v>40764</x:v>
      </x:c>
      <x:c r="AD2058" s="0"/>
      <x:c r="AE2058" s="0"/>
      <x:c r="AF2058" s="0"/>
      <x:c r="AG2058" s="0"/>
      <x:c r="AH2058" s="0"/>
      <x:c r="AI2058" s="0"/>
      <x:c r="AJ2058" s="0"/>
      <x:c r="AK2058" s="0"/>
    </x:row>
    <x:row r="2059">
      <x:c r="A2059" t="str" s="2">
        <x:f>=HYPERLINK("https://rsms.futurehomex.com/lead/40765", "Raphael Guillory Jr")</x:f>
      </x:c>
      <x:c r="B2059" t="n" s="2">
        <x:v>1</x:v>
      </x:c>
      <x:c r="C2059" t="str" s="2">
        <x:v>1/1</x:v>
      </x:c>
      <x:c r="D2059" t="str" s="2">
        <x:f>=""</x:f>
      </x:c>
      <x:c r="E2059" s="0"/>
      <x:c r="F2059" t="str" s="2">
        <x:v>Walk-in</x:v>
      </x:c>
      <x:c r="G2059" t="str" s="2">
        <x:v>Heritage Housing of Jennings</x:v>
      </x:c>
      <x:c r="H2059" t="str" s="2">
        <x:v>Clint O'Neal</x:v>
      </x:c>
      <x:c r="I2059" s="0"/>
      <x:c r="J2059" t="str" s="2">
        <x:v>Clint O'Neal</x:v>
      </x:c>
      <x:c r="K2059" t="n" s="2">
        <x:v>5</x:v>
      </x:c>
      <x:c r="L2059" t="str" s="2">
        <x:v>1.1</x:v>
      </x:c>
      <x:c r="M2059" t="str" s="2">
        <x:v>Tentative</x:v>
      </x:c>
      <x:c r="N2059" t="str" s="2">
        <x:v>Deal Created</x:v>
      </x:c>
      <x:c r="O2059" s="0"/>
      <x:c r="P2059" s="6">
        <x:v>46307</x:v>
      </x:c>
      <x:c r="Q2059" s="6">
        <x:v>46307.82241959491</x:v>
      </x:c>
      <x:c r="R2059" s="0"/>
      <x:c r="S2059" s="0"/>
      <x:c r="T2059" s="0"/>
      <x:c r="U2059" s="0"/>
      <x:c r="V2059" s="0"/>
      <x:c r="W2059" s="0"/>
      <x:c r="X2059" t="str" s="2">
        <x:v>3372294553</x:v>
      </x:c>
      <x:c r="Y2059" t="str" s="2">
        <x:v>rg@nomail.com</x:v>
      </x:c>
      <x:c r="Z2059" s="6">
        <x:v>46307.82319471065</x:v>
      </x:c>
      <x:c r="AA2059" t="str" s="2">
        <x:v>Clint O'Neal</x:v>
      </x:c>
      <x:c r="AB2059" s="6">
        <x:v>46307.82242118056</x:v>
      </x:c>
      <x:c r="AC2059" t="n" s="2">
        <x:v>40765</x:v>
      </x:c>
      <x:c r="AD2059" s="0"/>
      <x:c r="AE2059" s="0"/>
      <x:c r="AF2059" s="0"/>
      <x:c r="AG2059" s="0"/>
      <x:c r="AH2059" s="0"/>
      <x:c r="AI2059" s="0"/>
      <x:c r="AJ2059" s="0"/>
      <x:c r="AK2059" s="0"/>
    </x:row>
    <x:row r="2060">
      <x:c r="A2060" t="str" s="2">
        <x:f>=HYPERLINK("https://rsms.futurehomex.com/lead/40766", "Aimee Fortner")</x:f>
      </x:c>
      <x:c r="B2060" t="n" s="2">
        <x:v>1</x:v>
      </x:c>
      <x:c r="C2060" t="str" s="2">
        <x:v/>
      </x:c>
      <x:c r="D2060" t="str" s="2">
        <x:f>=""</x:f>
      </x:c>
      <x:c r="E2060" s="0"/>
      <x:c r="F2060" t="str" s="2">
        <x:v>Walk-in</x:v>
      </x:c>
      <x:c r="G2060" t="str" s="2">
        <x:v>Heritage Housing of Athens</x:v>
      </x:c>
      <x:c r="H2060" t="str" s="2">
        <x:v>Ethan Fossett</x:v>
      </x:c>
      <x:c r="I2060" s="0"/>
      <x:c r="J2060" s="0"/>
      <x:c r="K2060" t="n" s="2">
        <x:v>5</x:v>
      </x:c>
      <x:c r="L2060" t="str" s="2">
        <x:v>1.1</x:v>
      </x:c>
      <x:c r="M2060" t="str" s="2">
        <x:v>Tentative</x:v>
      </x:c>
      <x:c r="N2060" t="str" s="2">
        <x:v>Prospect</x:v>
      </x:c>
      <x:c r="O2060" s="0"/>
      <x:c r="P2060" s="6">
        <x:v>46307</x:v>
      </x:c>
      <x:c r="Q2060" s="6">
        <x:v>46307.82855957176</x:v>
      </x:c>
      <x:c r="R2060" s="0"/>
      <x:c r="S2060" s="0"/>
      <x:c r="T2060" s="0"/>
      <x:c r="U2060" s="0"/>
      <x:c r="V2060" s="0"/>
      <x:c r="W2060" s="0"/>
      <x:c r="X2060" t="str" s="2">
        <x:v>6786652463</x:v>
      </x:c>
      <x:c r="Y2060" t="str" s="2">
        <x:v>aimee.dwelli@gmail.com</x:v>
      </x:c>
      <x:c r="Z2060" s="0"/>
      <x:c r="AA2060" s="0"/>
      <x:c r="AB2060" s="6">
        <x:v>46307.82856177083</x:v>
      </x:c>
      <x:c r="AC2060" t="n" s="2">
        <x:v>40766</x:v>
      </x:c>
      <x:c r="AD2060" s="0"/>
      <x:c r="AE2060" s="0"/>
      <x:c r="AF2060" s="0"/>
      <x:c r="AG2060" s="0"/>
      <x:c r="AH2060" s="0"/>
      <x:c r="AI2060" s="0"/>
      <x:c r="AJ2060" s="0"/>
      <x:c r="AK2060" s="0"/>
    </x:row>
    <x:row r="2061">
      <x:c r="A2061" t="str" s="2">
        <x:f>=HYPERLINK("https://rsms.futurehomex.com/lead/40767", "Roger Stubbs")</x:f>
      </x:c>
      <x:c r="B2061" t="n" s="2">
        <x:v>1</x:v>
      </x:c>
      <x:c r="C2061" t="str" s="2">
        <x:v/>
      </x:c>
      <x:c r="D2061" t="str" s="2">
        <x:f>=""</x:f>
      </x:c>
      <x:c r="E2061" s="0"/>
      <x:c r="F2061" t="str" s="2">
        <x:v>Website</x:v>
      </x:c>
      <x:c r="G2061" t="str" s="2">
        <x:v>Heritage Housing of Albany</x:v>
      </x:c>
      <x:c r="H2061" t="str" s="2">
        <x:v>Yanet Alvarez</x:v>
      </x:c>
      <x:c r="I2061" s="0"/>
      <x:c r="J2061" t="str" s="2">
        <x:v>Yanet Alvarez</x:v>
      </x:c>
      <x:c r="K2061" t="n" s="2">
        <x:v>5</x:v>
      </x:c>
      <x:c r="L2061" t="str" s="2">
        <x:v>1.1</x:v>
      </x:c>
      <x:c r="M2061" t="str" s="2">
        <x:v>Tentative</x:v>
      </x:c>
      <x:c r="N2061" t="str" s="2">
        <x:v>Deal Created</x:v>
      </x:c>
      <x:c r="O2061" s="0"/>
      <x:c r="P2061" s="6">
        <x:v>46307</x:v>
      </x:c>
      <x:c r="Q2061" s="6">
        <x:v>46307.85291261574</x:v>
      </x:c>
      <x:c r="R2061" s="0"/>
      <x:c r="S2061" s="0"/>
      <x:c r="T2061" s="0"/>
      <x:c r="U2061" s="0"/>
      <x:c r="V2061" s="0"/>
      <x:c r="W2061" s="0"/>
      <x:c r="X2061" t="str" s="2">
        <x:v>4786628575</x:v>
      </x:c>
      <x:c r="Y2061" t="str" s="2">
        <x:v>travis.stubbs@gmil.com</x:v>
      </x:c>
      <x:c r="Z2061" s="0"/>
      <x:c r="AA2061" s="0"/>
      <x:c r="AB2061" s="6">
        <x:v>46307.85291311343</x:v>
      </x:c>
      <x:c r="AC2061" t="n" s="2">
        <x:v>40767</x:v>
      </x:c>
      <x:c r="AD2061" s="0"/>
      <x:c r="AE2061" s="0"/>
      <x:c r="AF2061" s="0"/>
      <x:c r="AG2061" s="0"/>
      <x:c r="AH2061" s="0"/>
      <x:c r="AI2061" s="0"/>
      <x:c r="AJ2061" s="0"/>
      <x:c r="AK2061" s="0"/>
    </x:row>
    <x:row r="2062">
      <x:c r="A2062" t="str" s="2">
        <x:f>=HYPERLINK("https://rsms.futurehomex.com/lead/40768", "Wilda Krop")</x:f>
      </x:c>
      <x:c r="B2062" t="n" s="2">
        <x:v>1</x:v>
      </x:c>
      <x:c r="C2062" t="str" s="2">
        <x:v/>
      </x:c>
      <x:c r="D2062" t="str" s="2">
        <x:f>=""</x:f>
      </x:c>
      <x:c r="E2062" s="0"/>
      <x:c r="F2062" t="str" s="2">
        <x:v>Walk-in</x:v>
      </x:c>
      <x:c r="G2062" t="str" s="2">
        <x:v>Heritage Housing of Tulsa</x:v>
      </x:c>
      <x:c r="H2062" t="str" s="2">
        <x:v>Jenna Fransisco</x:v>
      </x:c>
      <x:c r="I2062" s="0"/>
      <x:c r="J2062" s="0"/>
      <x:c r="K2062" t="n" s="2">
        <x:v>5</x:v>
      </x:c>
      <x:c r="L2062" t="str" s="2">
        <x:v>1.1</x:v>
      </x:c>
      <x:c r="M2062" t="str" s="2">
        <x:v>Tentative</x:v>
      </x:c>
      <x:c r="N2062" t="str" s="2">
        <x:v>Prospect</x:v>
      </x:c>
      <x:c r="O2062" s="0"/>
      <x:c r="P2062" s="6">
        <x:v>46307</x:v>
      </x:c>
      <x:c r="Q2062" s="6">
        <x:v>46307.862145949075</x:v>
      </x:c>
      <x:c r="R2062" s="0"/>
      <x:c r="S2062" s="0"/>
      <x:c r="T2062" s="0"/>
      <x:c r="U2062" s="0"/>
      <x:c r="V2062" s="0"/>
      <x:c r="W2062" s="0"/>
      <x:c r="X2062" t="str" s="2">
        <x:v>9187342717</x:v>
      </x:c>
      <x:c r="Y2062" t="str" s="2">
        <x:v>morganwilda@yahoo.com</x:v>
      </x:c>
      <x:c r="Z2062" s="0"/>
      <x:c r="AA2062" s="0"/>
      <x:c r="AB2062" s="6">
        <x:v>46307.86214644676</x:v>
      </x:c>
      <x:c r="AC2062" t="n" s="2">
        <x:v>40768</x:v>
      </x:c>
      <x:c r="AD2062" s="0"/>
      <x:c r="AE2062" s="0"/>
      <x:c r="AF2062" s="0"/>
      <x:c r="AG2062" s="0"/>
      <x:c r="AH2062" s="0"/>
      <x:c r="AI2062" s="0"/>
      <x:c r="AJ2062" s="0"/>
      <x:c r="AK2062" s="0"/>
    </x:row>
    <x:row r="2063">
      <x:c r="A2063" t="str" s="2">
        <x:f>=HYPERLINK("https://rsms.futurehomex.com/lead/40769", "Richard Reeves")</x:f>
      </x:c>
      <x:c r="B2063" t="n" s="2">
        <x:v>1</x:v>
      </x:c>
      <x:c r="C2063" t="str" s="2">
        <x:v/>
      </x:c>
      <x:c r="D2063" t="str" s="2">
        <x:f>=""</x:f>
      </x:c>
      <x:c r="E2063" s="0"/>
      <x:c r="F2063" t="str" s="2">
        <x:v>Facebook Messenger</x:v>
      </x:c>
      <x:c r="G2063" t="str" s="2">
        <x:v>Heritage Housing of Oklahoma City</x:v>
      </x:c>
      <x:c r="H2063" t="str" s="2">
        <x:v>Steve Castell</x:v>
      </x:c>
      <x:c r="I2063" s="0"/>
      <x:c r="J2063" t="str" s="2">
        <x:v>Steve Castell</x:v>
      </x:c>
      <x:c r="K2063" t="n" s="2">
        <x:v>5</x:v>
      </x:c>
      <x:c r="L2063" t="str" s="2">
        <x:v>1.1</x:v>
      </x:c>
      <x:c r="M2063" t="str" s="2">
        <x:v>Dead</x:v>
      </x:c>
      <x:c r="N2063" t="str" s="2">
        <x:v>Deal Created</x:v>
      </x:c>
      <x:c r="O2063" s="0"/>
      <x:c r="P2063" s="6">
        <x:v>46307</x:v>
      </x:c>
      <x:c r="Q2063" s="6">
        <x:v>46307.894066469904</x:v>
      </x:c>
      <x:c r="R2063" s="0"/>
      <x:c r="S2063" s="0"/>
      <x:c r="T2063" s="0"/>
      <x:c r="U2063" s="0"/>
      <x:c r="V2063" s="0"/>
      <x:c r="W2063" s="0"/>
      <x:c r="X2063" t="str" s="2">
        <x:v>4057041624</x:v>
      </x:c>
      <x:c r="Y2063" t="str" s="2">
        <x:v>throwedoffrichard@aol.com</x:v>
      </x:c>
      <x:c r="Z2063" s="6">
        <x:v>46307.918179548615</x:v>
      </x:c>
      <x:c r="AA2063" t="str" s="2">
        <x:v>Steve Castell</x:v>
      </x:c>
      <x:c r="AB2063" s="6">
        <x:v>46307.894068518515</x:v>
      </x:c>
      <x:c r="AC2063" t="n" s="2">
        <x:v>40769</x:v>
      </x:c>
      <x:c r="AD2063" s="0"/>
      <x:c r="AE2063" s="0"/>
      <x:c r="AF2063" s="0"/>
      <x:c r="AG2063" s="0"/>
      <x:c r="AH2063" s="0"/>
      <x:c r="AI2063" s="0"/>
      <x:c r="AJ2063" s="0"/>
      <x:c r="AK2063" s="0"/>
    </x:row>
    <x:row r="2064">
      <x:c r="A2064" t="str" s="2">
        <x:f>=HYPERLINK("https://rsms.futurehomex.com/lead/40770", "Kristopher Baxter")</x:f>
      </x:c>
      <x:c r="B2064" t="n" s="2">
        <x:v>1</x:v>
      </x:c>
      <x:c r="C2064" t="str" s="2">
        <x:v>1/1</x:v>
      </x:c>
      <x:c r="D2064" t="str" s="2">
        <x:f>=""</x:f>
      </x:c>
      <x:c r="E2064" s="0"/>
      <x:c r="F2064" t="str" s="2">
        <x:v>Landing_BPM</x:v>
      </x:c>
      <x:c r="G2064" t="str" s="2">
        <x:v>Heritage Housing of Oklahoma City</x:v>
      </x:c>
      <x:c r="H2064" t="str" s="2">
        <x:v>Steve Castell</x:v>
      </x:c>
      <x:c r="I2064" s="0"/>
      <x:c r="J2064" t="str" s="2">
        <x:v>Steve Castell</x:v>
      </x:c>
      <x:c r="K2064" t="n" s="2">
        <x:v>5</x:v>
      </x:c>
      <x:c r="L2064" t="str" s="2">
        <x:v>1.1</x:v>
      </x:c>
      <x:c r="M2064" t="str" s="2">
        <x:v>Tentative</x:v>
      </x:c>
      <x:c r="N2064" t="str" s="2">
        <x:v>Deal Created</x:v>
      </x:c>
      <x:c r="O2064" s="0"/>
      <x:c r="P2064" s="6">
        <x:v>46307</x:v>
      </x:c>
      <x:c r="Q2064" s="6">
        <x:v>46307.907172604166</x:v>
      </x:c>
      <x:c r="R2064" s="0"/>
      <x:c r="S2064" s="0"/>
      <x:c r="T2064" s="0"/>
      <x:c r="U2064" s="0"/>
      <x:c r="V2064" s="0"/>
      <x:c r="W2064" s="0"/>
      <x:c r="X2064" t="str" s="2">
        <x:v>5803403549</x:v>
      </x:c>
      <x:c r="Y2064" t="str" s="2">
        <x:v>baxterkristopher@yahoo.com</x:v>
      </x:c>
      <x:c r="Z2064" s="6">
        <x:v>46307.90688090278</x:v>
      </x:c>
      <x:c r="AA2064" t="str" s="2">
        <x:v>Steve Castell</x:v>
      </x:c>
      <x:c r="AB2064" s="6">
        <x:v>46307.90666435185</x:v>
      </x:c>
      <x:c r="AC2064" t="n" s="2">
        <x:v>40770</x:v>
      </x:c>
      <x:c r="AD2064" s="0"/>
      <x:c r="AE2064" s="0"/>
      <x:c r="AF2064" s="0"/>
      <x:c r="AG2064" s="0"/>
      <x:c r="AH2064" s="0"/>
      <x:c r="AI2064" s="0"/>
      <x:c r="AJ2064" s="0"/>
      <x:c r="AK2064" s="0"/>
    </x:row>
    <x:row r="2065">
      <x:c r="A2065" t="str" s="2">
        <x:f>=HYPERLINK("https://rsms.futurehomex.com/lead/40772", "Martin Alvarado")</x:f>
      </x:c>
      <x:c r="B2065" t="n" s="2">
        <x:v>1</x:v>
      </x:c>
      <x:c r="C2065" t="str" s="2">
        <x:v>1/1</x:v>
      </x:c>
      <x:c r="D2065" t="str" s="2">
        <x:f>=""</x:f>
      </x:c>
      <x:c r="E2065" s="0"/>
      <x:c r="F2065" t="str" s="2">
        <x:v>Meta Ads - Forms</x:v>
      </x:c>
      <x:c r="G2065" t="str" s="2">
        <x:v>Heritage Housing of Oklahoma City</x:v>
      </x:c>
      <x:c r="H2065" t="str" s="2">
        <x:v>Trey Rixleben</x:v>
      </x:c>
      <x:c r="I2065" s="0"/>
      <x:c r="J2065" t="str" s="2">
        <x:v>Richard Bell</x:v>
      </x:c>
      <x:c r="K2065" t="n" s="2">
        <x:v>5</x:v>
      </x:c>
      <x:c r="L2065" t="str" s="2">
        <x:v>1.1</x:v>
      </x:c>
      <x:c r="M2065" t="str" s="2">
        <x:v>Tentative</x:v>
      </x:c>
      <x:c r="N2065" t="str" s="2">
        <x:v>Deal Created</x:v>
      </x:c>
      <x:c r="O2065" s="0"/>
      <x:c r="P2065" s="6">
        <x:v>46307</x:v>
      </x:c>
      <x:c r="Q2065" s="6">
        <x:v>46307.91024907408</x:v>
      </x:c>
      <x:c r="R2065" s="0"/>
      <x:c r="S2065" s="0"/>
      <x:c r="T2065" s="0"/>
      <x:c r="U2065" s="0"/>
      <x:c r="V2065" s="0"/>
      <x:c r="W2065" s="0"/>
      <x:c r="X2065" t="str" s="2">
        <x:v>4054108145</x:v>
      </x:c>
      <x:c r="Y2065" t="str" s="2">
        <x:v>martinborgas6464@gmail.com</x:v>
      </x:c>
      <x:c r="Z2065" s="0"/>
      <x:c r="AA2065" s="0"/>
      <x:c r="AB2065" s="6">
        <x:v>46307.910058298614</x:v>
      </x:c>
      <x:c r="AC2065" t="n" s="2">
        <x:v>40772</x:v>
      </x:c>
      <x:c r="AD2065" s="0"/>
      <x:c r="AE2065" s="0"/>
      <x:c r="AF2065" s="0"/>
      <x:c r="AG2065" s="0"/>
      <x:c r="AH2065" s="0"/>
      <x:c r="AI2065" s="0"/>
      <x:c r="AJ2065" s="0"/>
      <x:c r="AK2065" s="0"/>
    </x:row>
    <x:row r="2066">
      <x:c r="A2066" t="str" s="2">
        <x:f>=HYPERLINK("https://rsms.futurehomex.com/lead/40773", "Mayra Olsen")</x:f>
      </x:c>
      <x:c r="B2066" t="n" s="2">
        <x:v>1</x:v>
      </x:c>
      <x:c r="C2066" t="str" s="2">
        <x:v>1/1</x:v>
      </x:c>
      <x:c r="D2066" t="str" s="2">
        <x:f>=""</x:f>
      </x:c>
      <x:c r="E2066" s="0"/>
      <x:c r="F2066" t="str" s="2">
        <x:v>Meta Ads - Forms</x:v>
      </x:c>
      <x:c r="G2066" t="str" s="2">
        <x:v>Heritage Housing of Oklahoma City</x:v>
      </x:c>
      <x:c r="H2066" t="str" s="2">
        <x:v>Trey Rixleben</x:v>
      </x:c>
      <x:c r="I2066" s="0"/>
      <x:c r="J2066" t="str" s="2">
        <x:v>Richard Bell</x:v>
      </x:c>
      <x:c r="K2066" t="n" s="2">
        <x:v>5</x:v>
      </x:c>
      <x:c r="L2066" t="str" s="2">
        <x:v>1.1</x:v>
      </x:c>
      <x:c r="M2066" t="str" s="2">
        <x:v>Tentative</x:v>
      </x:c>
      <x:c r="N2066" t="str" s="2">
        <x:v>Deal Created</x:v>
      </x:c>
      <x:c r="O2066" s="0"/>
      <x:c r="P2066" s="6">
        <x:v>46307</x:v>
      </x:c>
      <x:c r="Q2066" s="6">
        <x:v>46307.911060729166</x:v>
      </x:c>
      <x:c r="R2066" s="0"/>
      <x:c r="S2066" s="0"/>
      <x:c r="T2066" s="0"/>
      <x:c r="U2066" s="0"/>
      <x:c r="V2066" s="0"/>
      <x:c r="W2066" s="0"/>
      <x:c r="X2066" t="str" s="2">
        <x:v>4055493413</x:v>
      </x:c>
      <x:c r="Y2066" t="str" s="2">
        <x:v>Alejaaaadrahedz@gmail.com</x:v>
      </x:c>
      <x:c r="Z2066" s="0"/>
      <x:c r="AA2066" s="0"/>
      <x:c r="AB2066" s="6">
        <x:v>46307.91079783565</x:v>
      </x:c>
      <x:c r="AC2066" t="n" s="2">
        <x:v>40773</x:v>
      </x:c>
      <x:c r="AD2066" s="0"/>
      <x:c r="AE2066" s="0"/>
      <x:c r="AF2066" s="0"/>
      <x:c r="AG2066" s="0"/>
      <x:c r="AH2066" s="0"/>
      <x:c r="AI2066" s="0"/>
      <x:c r="AJ2066" s="0"/>
      <x:c r="AK2066" s="0"/>
    </x:row>
    <x:row r="2067">
      <x:c r="A2067" t="str" s="2">
        <x:f>=HYPERLINK("https://rsms.futurehomex.com/lead/40774", "Claudia P")</x:f>
      </x:c>
      <x:c r="B2067" t="n" s="2">
        <x:v>1</x:v>
      </x:c>
      <x:c r="C2067" t="str" s="2">
        <x:v>1/1</x:v>
      </x:c>
      <x:c r="D2067" t="str" s="2">
        <x:f>=""</x:f>
      </x:c>
      <x:c r="E2067" s="0"/>
      <x:c r="F2067" t="str" s="2">
        <x:v>Meta Ads - Forms</x:v>
      </x:c>
      <x:c r="G2067" t="str" s="2">
        <x:v>Heritage Housing of Oklahoma City</x:v>
      </x:c>
      <x:c r="H2067" t="str" s="2">
        <x:v>Alejandra Calderon</x:v>
      </x:c>
      <x:c r="I2067" s="0"/>
      <x:c r="J2067" t="str" s="2">
        <x:v>Richard Bell</x:v>
      </x:c>
      <x:c r="K2067" t="n" s="2">
        <x:v>5</x:v>
      </x:c>
      <x:c r="L2067" t="str" s="2">
        <x:v>1.1</x:v>
      </x:c>
      <x:c r="M2067" t="str" s="2">
        <x:v>Tentative</x:v>
      </x:c>
      <x:c r="N2067" t="str" s="2">
        <x:v>Deal Created</x:v>
      </x:c>
      <x:c r="O2067" s="0"/>
      <x:c r="P2067" s="6">
        <x:v>46307</x:v>
      </x:c>
      <x:c r="Q2067" s="6">
        <x:v>46307.911608912036</x:v>
      </x:c>
      <x:c r="R2067" s="0"/>
      <x:c r="S2067" s="0"/>
      <x:c r="T2067" s="0"/>
      <x:c r="U2067" s="0"/>
      <x:c r="V2067" s="0"/>
      <x:c r="W2067" s="0"/>
      <x:c r="X2067" t="str" s="2">
        <x:v>5806498072</x:v>
      </x:c>
      <x:c r="Y2067" t="str" s="2">
        <x:v>claupaco@hotmail.com</x:v>
      </x:c>
      <x:c r="Z2067" s="0"/>
      <x:c r="AA2067" s="0"/>
      <x:c r="AB2067" s="6">
        <x:v>46307.91135524306</x:v>
      </x:c>
      <x:c r="AC2067" t="n" s="2">
        <x:v>40774</x:v>
      </x:c>
      <x:c r="AD2067" s="0"/>
      <x:c r="AE2067" s="0"/>
      <x:c r="AF2067" s="0"/>
      <x:c r="AG2067" s="0"/>
      <x:c r="AH2067" s="0"/>
      <x:c r="AI2067" s="0"/>
      <x:c r="AJ2067" s="0"/>
      <x:c r="AK2067" s="0"/>
    </x:row>
    <x:row r="2068">
      <x:c r="A2068" t="str" s="2">
        <x:f>=HYPERLINK("https://rsms.futurehomex.com/lead/40775", "Nikko Wilson")</x:f>
      </x:c>
      <x:c r="B2068" t="n" s="2">
        <x:v>1</x:v>
      </x:c>
      <x:c r="C2068" t="str" s="2">
        <x:v/>
      </x:c>
      <x:c r="D2068" t="str" s="2">
        <x:f>=""</x:f>
      </x:c>
      <x:c r="E2068" s="0"/>
      <x:c r="F2068" t="str" s="2">
        <x:v>Landing_BPM</x:v>
      </x:c>
      <x:c r="G2068" t="str" s="2">
        <x:v>Heritage Housing of Oklahoma City</x:v>
      </x:c>
      <x:c r="H2068" t="str" s="2">
        <x:v>Alejandra Calderon</x:v>
      </x:c>
      <x:c r="I2068" s="0"/>
      <x:c r="J2068" t="str" s="2">
        <x:v>Richard Bell</x:v>
      </x:c>
      <x:c r="K2068" t="n" s="2">
        <x:v>5</x:v>
      </x:c>
      <x:c r="L2068" t="str" s="2">
        <x:v>1.1</x:v>
      </x:c>
      <x:c r="M2068" t="str" s="2">
        <x:v>Tentative</x:v>
      </x:c>
      <x:c r="N2068" t="str" s="2">
        <x:v>Deal Created</x:v>
      </x:c>
      <x:c r="O2068" s="0"/>
      <x:c r="P2068" s="6">
        <x:v>46307</x:v>
      </x:c>
      <x:c r="Q2068" s="6">
        <x:v>46307.911879976855</x:v>
      </x:c>
      <x:c r="R2068" s="0"/>
      <x:c r="S2068" s="0"/>
      <x:c r="T2068" s="0"/>
      <x:c r="U2068" s="0"/>
      <x:c r="V2068" s="0"/>
      <x:c r="W2068" s="0"/>
      <x:c r="X2068" t="str" s="2">
        <x:v>4058754559</x:v>
      </x:c>
      <x:c r="Y2068" t="str" s="2">
        <x:v>myzz.wilson1.nk05@gmail.com</x:v>
      </x:c>
      <x:c r="Z2068" s="0"/>
      <x:c r="AA2068" s="0"/>
      <x:c r="AB2068" s="6">
        <x:v>46307.911880555555</x:v>
      </x:c>
      <x:c r="AC2068" t="n" s="2">
        <x:v>40775</x:v>
      </x:c>
      <x:c r="AD2068" s="0"/>
      <x:c r="AE2068" s="0"/>
      <x:c r="AF2068" s="0"/>
      <x:c r="AG2068" s="0"/>
      <x:c r="AH2068" s="0"/>
      <x:c r="AI2068" s="0"/>
      <x:c r="AJ2068" s="0"/>
      <x:c r="AK2068" s="0"/>
    </x:row>
    <x:row r="2069">
      <x:c r="A2069" t="str" s="2">
        <x:f>=HYPERLINK("https://rsms.futurehomex.com/lead/40776", "Jason Taylor")</x:f>
      </x:c>
      <x:c r="B2069" t="n" s="2">
        <x:v>1</x:v>
      </x:c>
      <x:c r="C2069" t="str" s="2">
        <x:v/>
      </x:c>
      <x:c r="D2069" t="str" s="2">
        <x:f>=""</x:f>
      </x:c>
      <x:c r="E2069" s="0"/>
      <x:c r="F2069" t="str" s="2">
        <x:v>Landing_BPM</x:v>
      </x:c>
      <x:c r="G2069" t="str" s="2">
        <x:v>Heritage Housing of Oklahoma City</x:v>
      </x:c>
      <x:c r="H2069" t="str" s="2">
        <x:v>Steve Castell</x:v>
      </x:c>
      <x:c r="I2069" s="0"/>
      <x:c r="J2069" t="str" s="2">
        <x:v>Steve Castell</x:v>
      </x:c>
      <x:c r="K2069" t="n" s="2">
        <x:v>5</x:v>
      </x:c>
      <x:c r="L2069" t="str" s="2">
        <x:v>1.1</x:v>
      </x:c>
      <x:c r="M2069" t="str" s="2">
        <x:v>Inactive</x:v>
      </x:c>
      <x:c r="N2069" t="str" s="2">
        <x:v>Deal Created</x:v>
      </x:c>
      <x:c r="O2069" s="0"/>
      <x:c r="P2069" s="6">
        <x:v>46307</x:v>
      </x:c>
      <x:c r="Q2069" s="6">
        <x:v>46307.91292743055</x:v>
      </x:c>
      <x:c r="R2069" s="0"/>
      <x:c r="S2069" s="0"/>
      <x:c r="T2069" s="0"/>
      <x:c r="U2069" s="0"/>
      <x:c r="V2069" s="0"/>
      <x:c r="W2069" s="0"/>
      <x:c r="X2069" t="str" s="2">
        <x:v>4053002279</x:v>
      </x:c>
      <x:c r="Y2069" t="str" s="2">
        <x:v>jasontaylor0418@gmail.com</x:v>
      </x:c>
      <x:c r="Z2069" s="6">
        <x:v>46307.913886574075</x:v>
      </x:c>
      <x:c r="AA2069" t="str" s="2">
        <x:v>Steve Castell</x:v>
      </x:c>
      <x:c r="AB2069" s="6">
        <x:v>46307.912628969905</x:v>
      </x:c>
      <x:c r="AC2069" t="n" s="2">
        <x:v>40776</x:v>
      </x:c>
      <x:c r="AD2069" s="0"/>
      <x:c r="AE2069" s="0"/>
      <x:c r="AF2069" s="0"/>
      <x:c r="AG2069" s="0"/>
      <x:c r="AH2069" s="0"/>
      <x:c r="AI2069" s="0"/>
      <x:c r="AJ2069" s="0"/>
      <x:c r="AK2069" s="0"/>
    </x:row>
    <x:row r="2070">
      <x:c r="A2070" t="str" s="2">
        <x:f>=HYPERLINK("https://rsms.futurehomex.com/lead/40777", "Zaquitta Bible")</x:f>
      </x:c>
      <x:c r="B2070" t="n" s="2">
        <x:v>1</x:v>
      </x:c>
      <x:c r="C2070" t="str" s="2">
        <x:v>1/1</x:v>
      </x:c>
      <x:c r="D2070" t="str" s="2">
        <x:f>=""</x:f>
      </x:c>
      <x:c r="E2070" s="0"/>
      <x:c r="F2070" t="str" s="2">
        <x:v>Landing_BPM</x:v>
      </x:c>
      <x:c r="G2070" t="str" s="2">
        <x:v>Heritage Housing of Oklahoma City</x:v>
      </x:c>
      <x:c r="H2070" t="str" s="2">
        <x:v>Devon McCoy</x:v>
      </x:c>
      <x:c r="I2070" s="0"/>
      <x:c r="J2070" t="str" s="2">
        <x:v>Richard Bell</x:v>
      </x:c>
      <x:c r="K2070" t="n" s="2">
        <x:v>5</x:v>
      </x:c>
      <x:c r="L2070" t="str" s="2">
        <x:v>1.1</x:v>
      </x:c>
      <x:c r="M2070" t="str" s="2">
        <x:v>Tentative</x:v>
      </x:c>
      <x:c r="N2070" t="str" s="2">
        <x:v>Deal Created</x:v>
      </x:c>
      <x:c r="O2070" s="0"/>
      <x:c r="P2070" s="6">
        <x:v>46307</x:v>
      </x:c>
      <x:c r="Q2070" s="6">
        <x:v>46307.91359440972</x:v>
      </x:c>
      <x:c r="R2070" s="0"/>
      <x:c r="S2070" s="0"/>
      <x:c r="T2070" s="0"/>
      <x:c r="U2070" s="0"/>
      <x:c r="V2070" s="0"/>
      <x:c r="W2070" s="0"/>
      <x:c r="X2070" t="str" s="2">
        <x:v>4053708015</x:v>
      </x:c>
      <x:c r="Y2070" t="str" s="2">
        <x:v>zaquittab.zb@gmail.com</x:v>
      </x:c>
      <x:c r="Z2070" s="0"/>
      <x:c r="AA2070" s="0"/>
      <x:c r="AB2070" s="6">
        <x:v>46307.91336496528</x:v>
      </x:c>
      <x:c r="AC2070" t="n" s="2">
        <x:v>40777</x:v>
      </x:c>
      <x:c r="AD2070" s="0"/>
      <x:c r="AE2070" s="0"/>
      <x:c r="AF2070" s="0"/>
      <x:c r="AG2070" s="0"/>
      <x:c r="AH2070" s="0"/>
      <x:c r="AI2070" s="0"/>
      <x:c r="AJ2070" s="0"/>
      <x:c r="AK2070" s="0"/>
    </x:row>
    <x:row r="2071">
      <x:c r="A2071" t="str" s="2">
        <x:f>=HYPERLINK("https://rsms.futurehomex.com/lead/40778", "Verda Ward")</x:f>
      </x:c>
      <x:c r="B2071" t="n" s="2">
        <x:v>1</x:v>
      </x:c>
      <x:c r="C2071" t="str" s="2">
        <x:v>1/1</x:v>
      </x:c>
      <x:c r="D2071" t="str" s="2">
        <x:f>=""</x:f>
      </x:c>
      <x:c r="E2071" s="0"/>
      <x:c r="F2071" t="str" s="2">
        <x:v>Landing_BPM</x:v>
      </x:c>
      <x:c r="G2071" t="str" s="2">
        <x:v>Heritage Housing of Oklahoma City</x:v>
      </x:c>
      <x:c r="H2071" t="str" s="2">
        <x:v>Trey Rixleben</x:v>
      </x:c>
      <x:c r="I2071" s="0"/>
      <x:c r="J2071" t="str" s="2">
        <x:v>Richard Bell</x:v>
      </x:c>
      <x:c r="K2071" t="n" s="2">
        <x:v>5</x:v>
      </x:c>
      <x:c r="L2071" t="str" s="2">
        <x:v>1.1</x:v>
      </x:c>
      <x:c r="M2071" t="str" s="2">
        <x:v>Tentative</x:v>
      </x:c>
      <x:c r="N2071" t="str" s="2">
        <x:v>Deal Created</x:v>
      </x:c>
      <x:c r="O2071" s="0"/>
      <x:c r="P2071" s="6">
        <x:v>46307</x:v>
      </x:c>
      <x:c r="Q2071" s="6">
        <x:v>46307.918184953705</x:v>
      </x:c>
      <x:c r="R2071" s="0"/>
      <x:c r="S2071" s="0"/>
      <x:c r="T2071" s="0"/>
      <x:c r="U2071" s="0"/>
      <x:c r="V2071" s="0"/>
      <x:c r="W2071" s="0"/>
      <x:c r="X2071" t="str" s="2">
        <x:v>4052138133</x:v>
      </x:c>
      <x:c r="Y2071" t="str" s="2">
        <x:v>verdaw1980@gmail.com</x:v>
      </x:c>
      <x:c r="Z2071" s="0"/>
      <x:c r="AA2071" s="0"/>
      <x:c r="AB2071" s="6">
        <x:v>46307.913948113426</x:v>
      </x:c>
      <x:c r="AC2071" t="n" s="2">
        <x:v>40778</x:v>
      </x:c>
      <x:c r="AD2071" s="0"/>
      <x:c r="AE2071" s="0"/>
      <x:c r="AF2071" s="0"/>
      <x:c r="AG2071" s="0"/>
      <x:c r="AH2071" s="0"/>
      <x:c r="AI2071" s="0"/>
      <x:c r="AJ2071" s="0"/>
      <x:c r="AK2071" s="0"/>
    </x:row>
    <x:row r="2072">
      <x:c r="A2072" t="str" s="2">
        <x:f>=HYPERLINK("https://rsms.futurehomex.com/lead/40779", "Breanna Johnston")</x:f>
      </x:c>
      <x:c r="B2072" t="n" s="2">
        <x:v>1</x:v>
      </x:c>
      <x:c r="C2072" t="str" s="2">
        <x:v>1/1</x:v>
      </x:c>
      <x:c r="D2072" t="str" s="2">
        <x:f>=""</x:f>
      </x:c>
      <x:c r="E2072" s="0"/>
      <x:c r="F2072" t="str" s="2">
        <x:v>Landing_BPM</x:v>
      </x:c>
      <x:c r="G2072" t="str" s="2">
        <x:v>Heritage Housing of Oklahoma City</x:v>
      </x:c>
      <x:c r="H2072" t="str" s="2">
        <x:v>Devon McCoy</x:v>
      </x:c>
      <x:c r="I2072" s="0"/>
      <x:c r="J2072" t="str" s="2">
        <x:v>Richard Bell</x:v>
      </x:c>
      <x:c r="K2072" t="n" s="2">
        <x:v>5</x:v>
      </x:c>
      <x:c r="L2072" t="str" s="2">
        <x:v>1.1</x:v>
      </x:c>
      <x:c r="M2072" t="str" s="2">
        <x:v>Tentative</x:v>
      </x:c>
      <x:c r="N2072" t="str" s="2">
        <x:v>Deal Created</x:v>
      </x:c>
      <x:c r="O2072" s="0"/>
      <x:c r="P2072" s="6">
        <x:v>46307</x:v>
      </x:c>
      <x:c r="Q2072" s="6">
        <x:v>46307.91912303241</x:v>
      </x:c>
      <x:c r="R2072" s="0"/>
      <x:c r="S2072" s="0"/>
      <x:c r="T2072" s="0"/>
      <x:c r="U2072" s="0"/>
      <x:c r="V2072" s="0"/>
      <x:c r="W2072" s="0"/>
      <x:c r="X2072" t="str" s="2">
        <x:v>4058632121</x:v>
      </x:c>
      <x:c r="Y2072" t="str" s="2">
        <x:v>breannajohnston548@gmail.com</x:v>
      </x:c>
      <x:c r="Z2072" s="0"/>
      <x:c r="AA2072" s="0"/>
      <x:c r="AB2072" s="6">
        <x:v>46307.91888761574</x:v>
      </x:c>
      <x:c r="AC2072" t="n" s="2">
        <x:v>40779</x:v>
      </x:c>
      <x:c r="AD2072" s="0"/>
      <x:c r="AE2072" s="0"/>
      <x:c r="AF2072" s="0"/>
      <x:c r="AG2072" s="0"/>
      <x:c r="AH2072" s="0"/>
      <x:c r="AI2072" s="0"/>
      <x:c r="AJ2072" s="0"/>
      <x:c r="AK2072" s="0"/>
    </x:row>
    <x:row r="2073">
      <x:c r="A2073" t="str" s="2">
        <x:f>=HYPERLINK("https://rsms.futurehomex.com/lead/40780", "Marilyn Hernandez")</x:f>
      </x:c>
      <x:c r="B2073" t="n" s="2">
        <x:v>1</x:v>
      </x:c>
      <x:c r="C2073" t="str" s="2">
        <x:v>1/1</x:v>
      </x:c>
      <x:c r="D2073" t="str" s="2">
        <x:f>=""</x:f>
      </x:c>
      <x:c r="E2073" s="0"/>
      <x:c r="F2073" t="str" s="2">
        <x:v>Meta Ads - Traffic</x:v>
      </x:c>
      <x:c r="G2073" t="str" s="2">
        <x:v>Heritage Housing of Oklahoma City</x:v>
      </x:c>
      <x:c r="H2073" t="str" s="2">
        <x:v>Trey Rixleben</x:v>
      </x:c>
      <x:c r="I2073" s="0"/>
      <x:c r="J2073" t="str" s="2">
        <x:v>Richard Bell</x:v>
      </x:c>
      <x:c r="K2073" t="n" s="2">
        <x:v>5</x:v>
      </x:c>
      <x:c r="L2073" t="str" s="2">
        <x:v>1.1</x:v>
      </x:c>
      <x:c r="M2073" t="str" s="2">
        <x:v>Tentative</x:v>
      </x:c>
      <x:c r="N2073" t="str" s="2">
        <x:v>Deal Created</x:v>
      </x:c>
      <x:c r="O2073" s="0"/>
      <x:c r="P2073" s="6">
        <x:v>46307</x:v>
      </x:c>
      <x:c r="Q2073" s="6">
        <x:v>46307.91943634259</x:v>
      </x:c>
      <x:c r="R2073" s="0"/>
      <x:c r="S2073" s="0"/>
      <x:c r="T2073" s="0"/>
      <x:c r="U2073" s="0"/>
      <x:c r="V2073" s="0"/>
      <x:c r="W2073" s="0"/>
      <x:c r="X2073" t="str" s="2">
        <x:v>4058817136</x:v>
      </x:c>
      <x:c r="Y2073" t="str" s="2">
        <x:v>marilyhernandez69@gmail.com</x:v>
      </x:c>
      <x:c r="Z2073" s="0"/>
      <x:c r="AA2073" s="0"/>
      <x:c r="AB2073" s="6">
        <x:v>46307.91943695602</x:v>
      </x:c>
      <x:c r="AC2073" t="n" s="2">
        <x:v>40780</x:v>
      </x:c>
      <x:c r="AD2073" s="0"/>
      <x:c r="AE2073" s="0"/>
      <x:c r="AF2073" s="0"/>
      <x:c r="AG2073" s="0"/>
      <x:c r="AH2073" s="0"/>
      <x:c r="AI2073" s="0"/>
      <x:c r="AJ2073" s="0"/>
      <x:c r="AK2073" s="0"/>
    </x:row>
    <x:row r="2074">
      <x:c r="A2074" t="str" s="2">
        <x:f>=HYPERLINK("https://rsms.futurehomex.com/lead/40781", "John Bauman")</x:f>
      </x:c>
      <x:c r="B2074" t="n" s="2">
        <x:v>1</x:v>
      </x:c>
      <x:c r="C2074" t="str" s="2">
        <x:v/>
      </x:c>
      <x:c r="D2074" t="str" s="2">
        <x:f>=""</x:f>
      </x:c>
      <x:c r="E2074" s="0"/>
      <x:c r="F2074" t="str" s="2">
        <x:v>Walk-in</x:v>
      </x:c>
      <x:c r="G2074" t="str" s="2">
        <x:v>Heritage Housing of Oklahoma City</x:v>
      </x:c>
      <x:c r="H2074" t="str" s="2">
        <x:v>Steve Castell</x:v>
      </x:c>
      <x:c r="I2074" s="0"/>
      <x:c r="J2074" t="str" s="2">
        <x:v>Steve Castell</x:v>
      </x:c>
      <x:c r="K2074" t="n" s="2">
        <x:v>5</x:v>
      </x:c>
      <x:c r="L2074" t="str" s="2">
        <x:v>1.1</x:v>
      </x:c>
      <x:c r="M2074" t="str" s="2">
        <x:v>Tentative</x:v>
      </x:c>
      <x:c r="N2074" t="str" s="2">
        <x:v>Deal Created</x:v>
      </x:c>
      <x:c r="O2074" s="0"/>
      <x:c r="P2074" s="6">
        <x:v>46307</x:v>
      </x:c>
      <x:c r="Q2074" s="6">
        <x:v>46307.92172554398</x:v>
      </x:c>
      <x:c r="R2074" s="0"/>
      <x:c r="S2074" s="0"/>
      <x:c r="T2074" s="0"/>
      <x:c r="U2074" s="0"/>
      <x:c r="V2074" s="0"/>
      <x:c r="W2074" s="0"/>
      <x:c r="X2074" t="str" s="2">
        <x:v>4053233005</x:v>
      </x:c>
      <x:c r="Y2074" t="str" s="2">
        <x:v>jabauman64@gmail.com</x:v>
      </x:c>
      <x:c r="Z2074" s="6">
        <x:v>46307.923091122684</x:v>
      </x:c>
      <x:c r="AA2074" t="str" s="2">
        <x:v>Steve Castell</x:v>
      </x:c>
      <x:c r="AB2074" s="6">
        <x:v>46307.921727280096</x:v>
      </x:c>
      <x:c r="AC2074" t="n" s="2">
        <x:v>40781</x:v>
      </x:c>
      <x:c r="AD2074" s="0"/>
      <x:c r="AE2074" s="0"/>
      <x:c r="AF2074" s="0"/>
      <x:c r="AG2074" s="0"/>
      <x:c r="AH2074" s="0"/>
      <x:c r="AI2074" s="0"/>
      <x:c r="AJ2074" s="0"/>
      <x:c r="AK2074" s="0"/>
    </x:row>
    <x:row r="2075">
      <x:c r="A2075" t="str" s="2">
        <x:f>=HYPERLINK("https://rsms.futurehomex.com/lead/40782", "Tommy Roedell")</x:f>
      </x:c>
      <x:c r="B2075" t="n" s="2">
        <x:v>1</x:v>
      </x:c>
      <x:c r="C2075" t="str" s="2">
        <x:v>1/1</x:v>
      </x:c>
      <x:c r="D2075" t="str" s="2">
        <x:f>=""</x:f>
      </x:c>
      <x:c r="E2075" s="0"/>
      <x:c r="F2075" t="str" s="2">
        <x:v>Facebook Messenger</x:v>
      </x:c>
      <x:c r="G2075" t="str" s="2">
        <x:v>Heritage Housing of Oklahoma City</x:v>
      </x:c>
      <x:c r="H2075" t="str" s="2">
        <x:v>Steve Castell</x:v>
      </x:c>
      <x:c r="I2075" s="0"/>
      <x:c r="J2075" t="str" s="2">
        <x:v>Steve Castell</x:v>
      </x:c>
      <x:c r="K2075" t="n" s="2">
        <x:v>5</x:v>
      </x:c>
      <x:c r="L2075" t="str" s="2">
        <x:v>1.1</x:v>
      </x:c>
      <x:c r="M2075" t="str" s="2">
        <x:v>Tentative</x:v>
      </x:c>
      <x:c r="N2075" t="str" s="2">
        <x:v>Deal Created</x:v>
      </x:c>
      <x:c r="O2075" s="0"/>
      <x:c r="P2075" s="6">
        <x:v>46307</x:v>
      </x:c>
      <x:c r="Q2075" s="6">
        <x:v>46307.92709267361</x:v>
      </x:c>
      <x:c r="R2075" s="0"/>
      <x:c r="S2075" s="0"/>
      <x:c r="T2075" s="0"/>
      <x:c r="U2075" s="0"/>
      <x:c r="V2075" s="0"/>
      <x:c r="W2075" s="0"/>
      <x:c r="X2075" t="str" s="2">
        <x:v>5807481100</x:v>
      </x:c>
      <x:c r="Y2075" t="str" s="2">
        <x:v>5807481100</x:v>
      </x:c>
      <x:c r="Z2075" s="6">
        <x:v>46307.935300034726</x:v>
      </x:c>
      <x:c r="AA2075" t="str" s="2">
        <x:v>Steve Castell</x:v>
      </x:c>
      <x:c r="AB2075" s="6">
        <x:v>46307.92709417824</x:v>
      </x:c>
      <x:c r="AC2075" t="n" s="2">
        <x:v>40782</x:v>
      </x:c>
      <x:c r="AD2075" s="0"/>
      <x:c r="AE2075" s="0"/>
      <x:c r="AF2075" s="0"/>
      <x:c r="AG2075" s="0"/>
      <x:c r="AH2075" s="0"/>
      <x:c r="AI2075" s="0"/>
      <x:c r="AJ2075" s="0"/>
      <x:c r="AK2075" s="0"/>
    </x:row>
    <x:row r="2076">
      <x:c r="A2076" t="str" s="2">
        <x:f>=HYPERLINK("https://rsms.futurehomex.com/lead/40784", "Joshua Huff")</x:f>
      </x:c>
      <x:c r="B2076" t="n" s="2">
        <x:v>0</x:v>
      </x:c>
      <x:c r="C2076" t="str" s="2">
        <x:v>1/1</x:v>
      </x:c>
      <x:c r="D2076" t="str" s="2">
        <x:f>=""</x:f>
      </x:c>
      <x:c r="E2076" s="0"/>
      <x:c r="F2076" t="str" s="2">
        <x:v>Landing_BPM</x:v>
      </x:c>
      <x:c r="G2076" t="str" s="2">
        <x:v>Heritage Housing of Oklahoma City</x:v>
      </x:c>
      <x:c r="H2076" t="str" s="2">
        <x:v>Steve Castell</x:v>
      </x:c>
      <x:c r="I2076" s="0"/>
      <x:c r="J2076" t="str" s="2">
        <x:v>Steve Castell</x:v>
      </x:c>
      <x:c r="K2076" t="n" s="2">
        <x:v>5</x:v>
      </x:c>
      <x:c r="L2076" t="str" s="2">
        <x:v>1.1</x:v>
      </x:c>
      <x:c r="M2076" t="str" s="2">
        <x:v>Tentative</x:v>
      </x:c>
      <x:c r="N2076" t="str" s="2">
        <x:v>Deal Created</x:v>
      </x:c>
      <x:c r="O2076" s="0"/>
      <x:c r="P2076" s="6">
        <x:v>46308</x:v>
      </x:c>
      <x:c r="Q2076" s="6">
        <x:v>46308.039515474535</x:v>
      </x:c>
      <x:c r="R2076" s="0"/>
      <x:c r="S2076" s="0"/>
      <x:c r="T2076" s="0"/>
      <x:c r="U2076" s="0"/>
      <x:c r="V2076" s="0"/>
      <x:c r="W2076" s="0"/>
      <x:c r="X2076" t="str" s="2">
        <x:v>5804705325</x:v>
      </x:c>
      <x:c r="Y2076" t="str" s="2">
        <x:v>joshuahiff1004@gmail.com</x:v>
      </x:c>
      <x:c r="Z2076" s="6">
        <x:v>46308.03888954861</x:v>
      </x:c>
      <x:c r="AA2076" t="str" s="2">
        <x:v>Steve Castell</x:v>
      </x:c>
      <x:c r="AB2076" s="6">
        <x:v>46308.0387193287</x:v>
      </x:c>
      <x:c r="AC2076" t="n" s="2">
        <x:v>40784</x:v>
      </x:c>
      <x:c r="AD2076" s="0"/>
      <x:c r="AE2076" s="0"/>
      <x:c r="AF2076" s="0"/>
      <x:c r="AG2076" s="0"/>
      <x:c r="AH2076" s="0"/>
      <x:c r="AI2076" s="0"/>
      <x:c r="AJ2076" s="0"/>
      <x:c r="AK2076" s="0"/>
    </x:row>
    <x:row r="2077">
      <x:c r="A2077" t="str" s="2">
        <x:f>=HYPERLINK("https://rsms.futurehomex.com/lead/40785", "Shannon Roberts")</x:f>
      </x:c>
      <x:c r="B2077" t="n" s="2">
        <x:v>0</x:v>
      </x:c>
      <x:c r="C2077" t="str" s="2">
        <x:v>1/1</x:v>
      </x:c>
      <x:c r="D2077" t="str" s="2">
        <x:f>=""</x:f>
      </x:c>
      <x:c r="E2077" s="0"/>
      <x:c r="F2077" t="str" s="2">
        <x:v>Landing_BPM</x:v>
      </x:c>
      <x:c r="G2077" t="str" s="2">
        <x:v>Heritage Housing of Oklahoma City</x:v>
      </x:c>
      <x:c r="H2077" t="str" s="2">
        <x:v>Steve Castell</x:v>
      </x:c>
      <x:c r="I2077" s="0"/>
      <x:c r="J2077" t="str" s="2">
        <x:v>Steve Castell</x:v>
      </x:c>
      <x:c r="K2077" t="n" s="2">
        <x:v>5</x:v>
      </x:c>
      <x:c r="L2077" t="str" s="2">
        <x:v>1.1</x:v>
      </x:c>
      <x:c r="M2077" t="str" s="2">
        <x:v>Tentative</x:v>
      </x:c>
      <x:c r="N2077" t="str" s="2">
        <x:v>Deal Created</x:v>
      </x:c>
      <x:c r="O2077" s="0"/>
      <x:c r="P2077" s="6">
        <x:v>46308</x:v>
      </x:c>
      <x:c r="Q2077" s="6">
        <x:v>46308.14093927083</x:v>
      </x:c>
      <x:c r="R2077" s="0"/>
      <x:c r="S2077" s="0"/>
      <x:c r="T2077" s="0"/>
      <x:c r="U2077" s="0"/>
      <x:c r="V2077" s="0"/>
      <x:c r="W2077" s="0"/>
      <x:c r="X2077" t="str" s="2">
        <x:v>5809675490</x:v>
      </x:c>
      <x:c r="Y2077" t="str" s="2">
        <x:v>shannonrobertsjr2001@gmail.com</x:v>
      </x:c>
      <x:c r="Z2077" s="0"/>
      <x:c r="AA2077" s="0"/>
      <x:c r="AB2077" s="6">
        <x:v>46308.140939930556</x:v>
      </x:c>
      <x:c r="AC2077" t="n" s="2">
        <x:v>40785</x:v>
      </x:c>
      <x:c r="AD2077" s="0"/>
      <x:c r="AE2077" s="0"/>
      <x:c r="AF2077" s="0"/>
      <x:c r="AG2077" s="0"/>
      <x:c r="AH2077" s="0"/>
      <x:c r="AI2077" s="0"/>
      <x:c r="AJ2077" s="0"/>
      <x:c r="AK2077" s="0"/>
    </x:row>
    <x:row r="2078">
      <x:c r="A2078" t="str" s="2">
        <x:f>=HYPERLINK("https://rsms.futurehomex.com/lead/40786", "Yosselin Darr")</x:f>
      </x:c>
      <x:c r="B2078" t="n" s="2">
        <x:v>0</x:v>
      </x:c>
      <x:c r="C2078" t="str" s="2">
        <x:v>1/1</x:v>
      </x:c>
      <x:c r="D2078" t="str" s="2">
        <x:f>=""</x:f>
      </x:c>
      <x:c r="E2078" s="0"/>
      <x:c r="F2078" t="str" s="2">
        <x:v>Financing Form</x:v>
      </x:c>
      <x:c r="G2078" t="str" s="2">
        <x:v>Heritage Housing of Oklahoma City</x:v>
      </x:c>
      <x:c r="H2078" t="str" s="2">
        <x:v>Trey Rixleben</x:v>
      </x:c>
      <x:c r="I2078" s="0"/>
      <x:c r="J2078" t="str" s="2">
        <x:v>Trey Rixleben</x:v>
      </x:c>
      <x:c r="K2078" t="n" s="2">
        <x:v>5</x:v>
      </x:c>
      <x:c r="L2078" t="str" s="2">
        <x:v>1.1</x:v>
      </x:c>
      <x:c r="M2078" t="str" s="2">
        <x:v>Tentative</x:v>
      </x:c>
      <x:c r="N2078" t="str" s="2">
        <x:v>Deal Created</x:v>
      </x:c>
      <x:c r="O2078" s="0"/>
      <x:c r="P2078" s="6">
        <x:v>46308</x:v>
      </x:c>
      <x:c r="Q2078" s="6">
        <x:v>46308.580590011574</x:v>
      </x:c>
      <x:c r="R2078" s="0"/>
      <x:c r="S2078" s="0"/>
      <x:c r="T2078" s="0"/>
      <x:c r="U2078" s="0"/>
      <x:c r="V2078" s="0"/>
      <x:c r="W2078" s="0"/>
      <x:c r="X2078" t="str" s="2">
        <x:v>4059067272</x:v>
      </x:c>
      <x:c r="Y2078" t="str" s="2">
        <x:v>yosselin52@icloud.com</x:v>
      </x:c>
      <x:c r="Z2078" s="6">
        <x:v>46308.585161030096</x:v>
      </x:c>
      <x:c r="AA2078" t="str" s="2">
        <x:v>Trey Rixleben</x:v>
      </x:c>
      <x:c r="AB2078" s="6">
        <x:v>46308.58017630787</x:v>
      </x:c>
      <x:c r="AC2078" t="n" s="2">
        <x:v>40786</x:v>
      </x:c>
      <x:c r="AD2078" s="0"/>
      <x:c r="AE2078" s="0"/>
      <x:c r="AF2078" s="0"/>
      <x:c r="AG2078" s="0"/>
      <x:c r="AH2078" s="0"/>
      <x:c r="AI2078" s="0"/>
      <x:c r="AJ2078" s="0"/>
      <x:c r="AK2078" s="0"/>
    </x:row>
    <x:row r="2079">
      <x:c r="A2079" t="str" s="2">
        <x:f>=HYPERLINK("https://rsms.futurehomex.com/lead/40787", "Samaya Holden")</x:f>
      </x:c>
      <x:c r="B2079" t="n" s="2">
        <x:v>0</x:v>
      </x:c>
      <x:c r="C2079" t="str" s="2">
        <x:v/>
      </x:c>
      <x:c r="D2079" t="str" s="2">
        <x:f>=""</x:f>
      </x:c>
      <x:c r="E2079" s="0"/>
      <x:c r="F2079" t="str" s="2">
        <x:v>Financing Form</x:v>
      </x:c>
      <x:c r="G2079" t="str" s="2">
        <x:v>Heritage Housing of Jennings</x:v>
      </x:c>
      <x:c r="H2079" t="str" s="2">
        <x:v>Mervin Leslie Smith</x:v>
      </x:c>
      <x:c r="I2079" s="0"/>
      <x:c r="J2079" t="str" s="2">
        <x:v>Mervin Leslie Smith</x:v>
      </x:c>
      <x:c r="K2079" t="n" s="2">
        <x:v>5</x:v>
      </x:c>
      <x:c r="L2079" t="str" s="2">
        <x:v>1.1</x:v>
      </x:c>
      <x:c r="M2079" t="str" s="2">
        <x:v>Tentative</x:v>
      </x:c>
      <x:c r="N2079" t="str" s="2">
        <x:v>Deal Created</x:v>
      </x:c>
      <x:c r="O2079" s="0"/>
      <x:c r="P2079" s="6">
        <x:v>46308</x:v>
      </x:c>
      <x:c r="Q2079" s="6">
        <x:v>46308.68391385417</x:v>
      </x:c>
      <x:c r="R2079" s="0"/>
      <x:c r="S2079" s="0"/>
      <x:c r="T2079" s="0"/>
      <x:c r="U2079" s="0"/>
      <x:c r="V2079" s="0"/>
      <x:c r="W2079" s="0"/>
      <x:c r="X2079" t="str" s="2">
        <x:v>2254005416</x:v>
      </x:c>
      <x:c r="Y2079" t="str" s="2">
        <x:v>samayaholden13@icloud.com</x:v>
      </x:c>
      <x:c r="Z2079" s="0"/>
      <x:c r="AA2079" s="0"/>
      <x:c r="AB2079" s="6">
        <x:v>46308.59968348379</x:v>
      </x:c>
      <x:c r="AC2079" t="n" s="2">
        <x:v>40787</x:v>
      </x:c>
      <x:c r="AD2079" s="0"/>
      <x:c r="AE2079" s="0"/>
      <x:c r="AF2079" s="0"/>
      <x:c r="AG2079" s="0"/>
      <x:c r="AH2079" s="0"/>
      <x:c r="AI2079" t="str" s="2">
        <x:v>550</x:v>
      </x:c>
      <x:c r="AJ2079" s="0"/>
      <x:c r="AK2079" s="0"/>
    </x:row>
    <x:row r="2080">
      <x:c r="A2080" t="str" s="2">
        <x:f>=HYPERLINK("https://rsms.futurehomex.com/lead/40788", "Polly Porter")</x:f>
      </x:c>
      <x:c r="B2080" t="n" s="2">
        <x:v>0</x:v>
      </x:c>
      <x:c r="C2080" t="str" s="2">
        <x:v/>
      </x:c>
      <x:c r="D2080" t="str" s="2">
        <x:f>=""</x:f>
      </x:c>
      <x:c r="E2080" s="0"/>
      <x:c r="F2080" t="str" s="2">
        <x:v>Landing_BPM</x:v>
      </x:c>
      <x:c r="G2080" t="str" s="2">
        <x:v>Heritage Housing of Athens</x:v>
      </x:c>
      <x:c r="H2080" t="str" s="2">
        <x:v>Ethan Fossett</x:v>
      </x:c>
      <x:c r="I2080" s="0"/>
      <x:c r="J2080" t="str" s="2">
        <x:v>Ethan Fossett</x:v>
      </x:c>
      <x:c r="K2080" t="n" s="2">
        <x:v>5</x:v>
      </x:c>
      <x:c r="L2080" t="str" s="2">
        <x:v>1.1</x:v>
      </x:c>
      <x:c r="M2080" t="str" s="2">
        <x:v>Tentative</x:v>
      </x:c>
      <x:c r="N2080" t="str" s="2">
        <x:v>Prospect</x:v>
      </x:c>
      <x:c r="O2080" s="0"/>
      <x:c r="P2080" s="6">
        <x:v>46308</x:v>
      </x:c>
      <x:c r="Q2080" s="6">
        <x:v>46308.60332835648</x:v>
      </x:c>
      <x:c r="R2080" s="0"/>
      <x:c r="S2080" s="0"/>
      <x:c r="T2080" s="0"/>
      <x:c r="U2080" s="0"/>
      <x:c r="V2080" s="0"/>
      <x:c r="W2080" s="0"/>
      <x:c r="X2080" t="str" s="2">
        <x:v>7063474824</x:v>
      </x:c>
      <x:c r="Y2080" t="str" s="2">
        <x:v>pollyporter3@gmail.com</x:v>
      </x:c>
      <x:c r="Z2080" s="0"/>
      <x:c r="AA2080" s="0"/>
      <x:c r="AB2080" s="6">
        <x:v>46308.6033290162</x:v>
      </x:c>
      <x:c r="AC2080" t="n" s="2">
        <x:v>40788</x:v>
      </x:c>
      <x:c r="AD2080" s="0"/>
      <x:c r="AE2080" s="0"/>
      <x:c r="AF2080" s="0"/>
      <x:c r="AG2080" s="0"/>
      <x:c r="AH2080" s="0"/>
      <x:c r="AI2080" s="0"/>
      <x:c r="AJ2080" s="0"/>
      <x:c r="AK2080" s="0"/>
    </x:row>
    <x:row r="2081">
      <x:c r="A2081" t="str" s="2">
        <x:f>=HYPERLINK("https://rsms.futurehomex.com/lead/40789", "Neida Aldarran")</x:f>
      </x:c>
      <x:c r="B2081" t="n" s="2">
        <x:v>0</x:v>
      </x:c>
      <x:c r="C2081" t="str" s="2">
        <x:v/>
      </x:c>
      <x:c r="D2081" t="str" s="2">
        <x:f>=""</x:f>
      </x:c>
      <x:c r="E2081" s="0"/>
      <x:c r="F2081" t="str" s="2">
        <x:v>Walk-in</x:v>
      </x:c>
      <x:c r="G2081" t="str" s="2">
        <x:v>Heritage Housing of Athens</x:v>
      </x:c>
      <x:c r="H2081" t="str" s="2">
        <x:v>Nathan Bishop</x:v>
      </x:c>
      <x:c r="I2081" s="0"/>
      <x:c r="J2081" s="0"/>
      <x:c r="K2081" t="n" s="2">
        <x:v>5</x:v>
      </x:c>
      <x:c r="L2081" t="str" s="2">
        <x:v>1.1</x:v>
      </x:c>
      <x:c r="M2081" t="str" s="2">
        <x:v>Tentative</x:v>
      </x:c>
      <x:c r="N2081" t="str" s="2">
        <x:v>Prospect</x:v>
      </x:c>
      <x:c r="O2081" s="0"/>
      <x:c r="P2081" s="6">
        <x:v>46308</x:v>
      </x:c>
      <x:c r="Q2081" s="6">
        <x:v>46308.657906168984</x:v>
      </x:c>
      <x:c r="R2081" s="0"/>
      <x:c r="S2081" s="0"/>
      <x:c r="T2081" s="0"/>
      <x:c r="U2081" s="0"/>
      <x:c r="V2081" s="0"/>
      <x:c r="W2081" s="0"/>
      <x:c r="X2081" t="str" s="2">
        <x:v>7623511266</x:v>
      </x:c>
      <x:c r="Y2081" t="str" s="2">
        <x:v>neidaaldarran@gmail.com</x:v>
      </x:c>
      <x:c r="Z2081" s="0"/>
      <x:c r="AA2081" s="0"/>
      <x:c r="AB2081" s="6">
        <x:v>46308.6579068287</x:v>
      </x:c>
      <x:c r="AC2081" t="n" s="2">
        <x:v>40789</x:v>
      </x:c>
      <x:c r="AD2081" s="0"/>
      <x:c r="AE2081" s="0"/>
      <x:c r="AF2081" s="0"/>
      <x:c r="AG2081" s="0"/>
      <x:c r="AH2081" s="0"/>
      <x:c r="AI2081" s="0"/>
      <x:c r="AJ2081" s="0"/>
      <x:c r="AK2081" s="0"/>
    </x:row>
    <x:row r="2082">
      <x:c r="A2082" t="str" s="2">
        <x:f>=HYPERLINK("https://rsms.futurehomex.com/lead/40790", "Travis Goodson")</x:f>
      </x:c>
      <x:c r="B2082" t="n" s="2">
        <x:v>0</x:v>
      </x:c>
      <x:c r="C2082" t="str" s="2">
        <x:v/>
      </x:c>
      <x:c r="D2082" t="str" s="2">
        <x:f>=""</x:f>
      </x:c>
      <x:c r="E2082" s="0"/>
      <x:c r="F2082" t="str" s="2">
        <x:v>Walk-in</x:v>
      </x:c>
      <x:c r="G2082" t="str" s="2">
        <x:v>Heritage Housing of Asheboro</x:v>
      </x:c>
      <x:c r="H2082" t="str" s="2">
        <x:v>Joe Lopez</x:v>
      </x:c>
      <x:c r="I2082" s="0"/>
      <x:c r="J2082" s="0"/>
      <x:c r="K2082" t="n" s="2">
        <x:v>5</x:v>
      </x:c>
      <x:c r="L2082" t="str" s="2">
        <x:v>1.1</x:v>
      </x:c>
      <x:c r="M2082" t="str" s="2">
        <x:v>Tentative</x:v>
      </x:c>
      <x:c r="N2082" t="str" s="2">
        <x:v>Prospect</x:v>
      </x:c>
      <x:c r="O2082" s="0"/>
      <x:c r="P2082" s="6">
        <x:v>46308</x:v>
      </x:c>
      <x:c r="Q2082" s="6">
        <x:v>46308.66469224537</x:v>
      </x:c>
      <x:c r="R2082" s="0"/>
      <x:c r="S2082" s="0"/>
      <x:c r="T2082" s="0"/>
      <x:c r="U2082" s="0"/>
      <x:c r="V2082" s="0"/>
      <x:c r="W2082" s="0"/>
      <x:c r="X2082" t="str" s="2">
        <x:v>3368172013</x:v>
      </x:c>
      <x:c r="Y2082" t="str" s="2">
        <x:v>goodsontransportllc@yahoo.com</x:v>
      </x:c>
      <x:c r="Z2082" s="0"/>
      <x:c r="AA2082" s="0"/>
      <x:c r="AB2082" s="6">
        <x:v>46308.66469302083</x:v>
      </x:c>
      <x:c r="AC2082" t="n" s="2">
        <x:v>40790</x:v>
      </x:c>
      <x:c r="AD2082" s="0"/>
      <x:c r="AE2082" s="0"/>
      <x:c r="AF2082" s="0"/>
      <x:c r="AG2082" s="0"/>
      <x:c r="AH2082" s="0"/>
      <x:c r="AI2082" s="0"/>
      <x:c r="AJ2082" s="0"/>
      <x:c r="AK2082" s="0"/>
    </x:row>
    <x:row r="2083">
      <x:c r="A2083" t="str" s="2">
        <x:f>=HYPERLINK("https://rsms.futurehomex.com/lead/40792", "Pauline Simon")</x:f>
      </x:c>
      <x:c r="B2083" t="n" s="2">
        <x:v>0</x:v>
      </x:c>
      <x:c r="C2083" t="str" s="2">
        <x:v/>
      </x:c>
      <x:c r="D2083" t="str" s="2">
        <x:f>=""</x:f>
      </x:c>
      <x:c r="E2083" s="0"/>
      <x:c r="F2083" t="str" s="2">
        <x:v>Office Hot Calls</x:v>
      </x:c>
      <x:c r="G2083" t="str" s="2">
        <x:v>Heritage Housing of Oklahoma City</x:v>
      </x:c>
      <x:c r="H2083" t="str" s="2">
        <x:v>Alejandra Calderon</x:v>
      </x:c>
      <x:c r="I2083" t="str" s="2">
        <x:v>Karol Romero</x:v>
      </x:c>
      <x:c r="J2083" t="str" s="2">
        <x:v>Alejandra Calderon</x:v>
      </x:c>
      <x:c r="K2083" t="n" s="2">
        <x:v>5</x:v>
      </x:c>
      <x:c r="L2083" t="str" s="2">
        <x:v>1.1</x:v>
      </x:c>
      <x:c r="M2083" t="str" s="2">
        <x:v>Tentative</x:v>
      </x:c>
      <x:c r="N2083" t="str" s="2">
        <x:v>Deal Created</x:v>
      </x:c>
      <x:c r="O2083" s="0"/>
      <x:c r="P2083" s="6">
        <x:v>46308</x:v>
      </x:c>
      <x:c r="Q2083" s="6">
        <x:v>46308.66790173611</x:v>
      </x:c>
      <x:c r="R2083" s="0"/>
      <x:c r="S2083" s="0"/>
      <x:c r="T2083" s="0"/>
      <x:c r="U2083" s="0"/>
      <x:c r="V2083" s="0"/>
      <x:c r="W2083" s="0"/>
      <x:c r="X2083" t="str" s="2">
        <x:v>4058987382</x:v>
      </x:c>
      <x:c r="Y2083" t="str" s="2">
        <x:v>paulineroshelle@gmail.com</x:v>
      </x:c>
      <x:c r="Z2083" s="0"/>
      <x:c r="AA2083" s="0"/>
      <x:c r="AB2083" s="6">
        <x:v>46308.666994363426</x:v>
      </x:c>
      <x:c r="AC2083" t="n" s="2">
        <x:v>40792</x:v>
      </x:c>
      <x:c r="AD2083" s="0"/>
      <x:c r="AE2083" s="0"/>
      <x:c r="AF2083" s="0"/>
      <x:c r="AG2083" s="0"/>
      <x:c r="AH2083" s="0"/>
      <x:c r="AI2083" s="0"/>
      <x:c r="AJ2083" s="0"/>
      <x:c r="AK2083" s="0"/>
    </x:row>
    <x:row r="2084">
      <x:c r="A2084" t="str" s="2">
        <x:f>=HYPERLINK("https://rsms.futurehomex.com/lead/40793", "Molly Markanson")</x:f>
      </x:c>
      <x:c r="B2084" t="n" s="2">
        <x:v>0</x:v>
      </x:c>
      <x:c r="C2084" t="str" s="2">
        <x:v>1/1</x:v>
      </x:c>
      <x:c r="D2084" t="str" s="2">
        <x:f>=""</x:f>
      </x:c>
      <x:c r="E2084" s="0"/>
      <x:c r="F2084" t="str" s="2">
        <x:v>Landing_BPM</x:v>
      </x:c>
      <x:c r="G2084" t="str" s="2">
        <x:v>Heritage Housing of Oklahoma City</x:v>
      </x:c>
      <x:c r="H2084" t="str" s="2">
        <x:v>Trey Rixleben</x:v>
      </x:c>
      <x:c r="I2084" s="0"/>
      <x:c r="J2084" t="str" s="2">
        <x:v>Trey Rixleben</x:v>
      </x:c>
      <x:c r="K2084" t="n" s="2">
        <x:v>5</x:v>
      </x:c>
      <x:c r="L2084" t="str" s="2">
        <x:v>1.1</x:v>
      </x:c>
      <x:c r="M2084" t="str" s="2">
        <x:v>Dead</x:v>
      </x:c>
      <x:c r="N2084" t="str" s="2">
        <x:v>Deal Created</x:v>
      </x:c>
      <x:c r="O2084" s="0"/>
      <x:c r="P2084" s="6">
        <x:v>46308</x:v>
      </x:c>
      <x:c r="Q2084" s="6">
        <x:v>46308.69128769676</x:v>
      </x:c>
      <x:c r="R2084" s="0"/>
      <x:c r="S2084" s="0"/>
      <x:c r="T2084" s="0"/>
      <x:c r="U2084" s="0"/>
      <x:c r="V2084" s="0"/>
      <x:c r="W2084" s="0"/>
      <x:c r="X2084" t="str" s="2">
        <x:v>4058623797</x:v>
      </x:c>
      <x:c r="Y2084" t="str" s="2">
        <x:v>mo.markanson@gmail.com</x:v>
      </x:c>
      <x:c r="Z2084" s="6">
        <x:v>46308.697420254626</x:v>
      </x:c>
      <x:c r="AA2084" t="str" s="2">
        <x:v>Trey Rixleben</x:v>
      </x:c>
      <x:c r="AB2084" s="6">
        <x:v>46308.69109024305</x:v>
      </x:c>
      <x:c r="AC2084" t="n" s="2">
        <x:v>40793</x:v>
      </x:c>
      <x:c r="AD2084" s="0"/>
      <x:c r="AE2084" s="0"/>
      <x:c r="AF2084" s="0"/>
      <x:c r="AG2084" s="0"/>
      <x:c r="AH2084" s="0"/>
      <x:c r="AI2084" s="0"/>
      <x:c r="AJ2084" s="0"/>
      <x:c r="AK2084" s="0"/>
    </x:row>
    <x:row r="2085">
      <x:c r="A2085" t="str" s="2">
        <x:f>=HYPERLINK("https://rsms.futurehomex.com/lead/40794", "Jamles Wilkerson")</x:f>
      </x:c>
      <x:c r="B2085" t="n" s="2">
        <x:v>0</x:v>
      </x:c>
      <x:c r="C2085" t="str" s="2">
        <x:v/>
      </x:c>
      <x:c r="D2085" t="str" s="2">
        <x:f>=""</x:f>
      </x:c>
      <x:c r="E2085" s="0"/>
      <x:c r="F2085" t="str" s="2">
        <x:v>Walk-in</x:v>
      </x:c>
      <x:c r="G2085" t="str" s="2">
        <x:v>Heritage Housing of Athens</x:v>
      </x:c>
      <x:c r="H2085" t="str" s="2">
        <x:v>Ethan Fossett</x:v>
      </x:c>
      <x:c r="I2085" s="0"/>
      <x:c r="J2085" s="0"/>
      <x:c r="K2085" t="n" s="2">
        <x:v>5</x:v>
      </x:c>
      <x:c r="L2085" t="str" s="2">
        <x:v>1.1</x:v>
      </x:c>
      <x:c r="M2085" t="str" s="2">
        <x:v>Tentative</x:v>
      </x:c>
      <x:c r="N2085" t="str" s="2">
        <x:v>Prospect</x:v>
      </x:c>
      <x:c r="O2085" s="0"/>
      <x:c r="P2085" s="6">
        <x:v>46308</x:v>
      </x:c>
      <x:c r="Q2085" s="6">
        <x:v>46308.69310755787</x:v>
      </x:c>
      <x:c r="R2085" s="0"/>
      <x:c r="S2085" s="0"/>
      <x:c r="T2085" s="0"/>
      <x:c r="U2085" s="0"/>
      <x:c r="V2085" s="0"/>
      <x:c r="W2085" s="0"/>
      <x:c r="X2085" t="str" s="2">
        <x:v>7068710544</x:v>
      </x:c>
      <x:c r="Y2085" t="str" s="2">
        <x:v>jaw.wilkerson2@gmail.com</x:v>
      </x:c>
      <x:c r="Z2085" s="0"/>
      <x:c r="AA2085" s="0"/>
      <x:c r="AB2085" s="6">
        <x:v>46308.69310810185</x:v>
      </x:c>
      <x:c r="AC2085" t="n" s="2">
        <x:v>40794</x:v>
      </x:c>
      <x:c r="AD2085" s="0"/>
      <x:c r="AE2085" s="0"/>
      <x:c r="AF2085" s="0"/>
      <x:c r="AG2085" s="0"/>
      <x:c r="AH2085" s="0"/>
      <x:c r="AI2085" s="0"/>
      <x:c r="AJ2085" s="0"/>
      <x:c r="AK2085" s="0"/>
    </x:row>
    <x:drawing r:id="drawing1"/>
  </x:sheetData>
  <x:autoFilter ref="A1:AK2085"/>
</x:worksheet>
</file>